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d23\Documents\RPA\User Acceptance Testing\20. Upload Draft Documents Bot\"/>
    </mc:Choice>
  </mc:AlternateContent>
  <xr:revisionPtr revIDLastSave="0" documentId="8_{A6849EA8-D6DE-4E2B-B31E-58AB9C3E20C2}" xr6:coauthVersionLast="45" xr6:coauthVersionMax="45" xr10:uidLastSave="{00000000-0000-0000-0000-000000000000}"/>
  <bookViews>
    <workbookView xWindow="28680" yWindow="-120" windowWidth="29040" windowHeight="15840" tabRatio="744" xr2:uid="{00000000-000D-0000-FFFF-FFFF00000000}"/>
  </bookViews>
  <sheets>
    <sheet name="Results" sheetId="1" r:id="rId1"/>
    <sheet name="WP" sheetId="2" state="hidden" r:id="rId2"/>
    <sheet name="Serie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7" i="1"/>
  <c r="E8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F23" i="1"/>
  <c r="E24" i="1"/>
  <c r="E25" i="1"/>
  <c r="E26" i="1"/>
  <c r="E27" i="1"/>
  <c r="E28" i="1"/>
  <c r="E29" i="1"/>
  <c r="E30" i="1"/>
  <c r="F31" i="1"/>
  <c r="E32" i="1"/>
  <c r="E33" i="1"/>
  <c r="E34" i="1"/>
  <c r="E35" i="1"/>
  <c r="E36" i="1"/>
  <c r="E37" i="1"/>
  <c r="E38" i="1"/>
  <c r="F39" i="1"/>
  <c r="E40" i="1"/>
  <c r="E41" i="1"/>
  <c r="E42" i="1"/>
  <c r="E43" i="1"/>
  <c r="E44" i="1"/>
  <c r="E45" i="1"/>
  <c r="E46" i="1"/>
  <c r="F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F63" i="1"/>
  <c r="E64" i="1"/>
  <c r="E65" i="1"/>
  <c r="E66" i="1"/>
  <c r="E67" i="1"/>
  <c r="E68" i="1"/>
  <c r="E69" i="1"/>
  <c r="E70" i="1"/>
  <c r="F71" i="1"/>
  <c r="E72" i="1"/>
  <c r="E73" i="1"/>
  <c r="E74" i="1"/>
  <c r="E75" i="1"/>
  <c r="E76" i="1"/>
  <c r="E77" i="1"/>
  <c r="E78" i="1"/>
  <c r="F79" i="1"/>
  <c r="E80" i="1"/>
  <c r="E81" i="1"/>
  <c r="E82" i="1"/>
  <c r="E83" i="1"/>
  <c r="E84" i="1"/>
  <c r="E85" i="1"/>
  <c r="E86" i="1"/>
  <c r="F87" i="1"/>
  <c r="E88" i="1"/>
  <c r="E89" i="1"/>
  <c r="E90" i="1"/>
  <c r="E91" i="1"/>
  <c r="E92" i="1"/>
  <c r="E93" i="1"/>
  <c r="E94" i="1"/>
  <c r="F95" i="1"/>
  <c r="E96" i="1"/>
  <c r="E97" i="1"/>
  <c r="E98" i="1"/>
  <c r="E99" i="1"/>
  <c r="E100" i="1"/>
  <c r="E101" i="1"/>
  <c r="E102" i="1"/>
  <c r="F103" i="1"/>
  <c r="E104" i="1"/>
  <c r="E105" i="1"/>
  <c r="E106" i="1"/>
  <c r="E107" i="1"/>
  <c r="E108" i="1"/>
  <c r="E109" i="1"/>
  <c r="E110" i="1"/>
  <c r="F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F127" i="1"/>
  <c r="E128" i="1"/>
  <c r="E129" i="1"/>
  <c r="E130" i="1"/>
  <c r="E131" i="1"/>
  <c r="E132" i="1"/>
  <c r="E133" i="1"/>
  <c r="E134" i="1"/>
  <c r="F135" i="1"/>
  <c r="E136" i="1"/>
  <c r="E137" i="1"/>
  <c r="E138" i="1"/>
  <c r="E139" i="1"/>
  <c r="E140" i="1"/>
  <c r="E141" i="1"/>
  <c r="E142" i="1"/>
  <c r="F143" i="1"/>
  <c r="E144" i="1"/>
  <c r="E145" i="1"/>
  <c r="E146" i="1"/>
  <c r="E147" i="1"/>
  <c r="E148" i="1"/>
  <c r="E149" i="1"/>
  <c r="E150" i="1"/>
  <c r="F151" i="1"/>
  <c r="E152" i="1"/>
  <c r="E153" i="1"/>
  <c r="E154" i="1"/>
  <c r="E155" i="1"/>
  <c r="E156" i="1"/>
  <c r="E157" i="1"/>
  <c r="E158" i="1"/>
  <c r="F159" i="1"/>
  <c r="E160" i="1"/>
  <c r="E161" i="1"/>
  <c r="E162" i="1"/>
  <c r="E163" i="1"/>
  <c r="E164" i="1"/>
  <c r="E165" i="1"/>
  <c r="E166" i="1"/>
  <c r="F167" i="1"/>
  <c r="E168" i="1"/>
  <c r="E169" i="1"/>
  <c r="E170" i="1"/>
  <c r="E171" i="1"/>
  <c r="E172" i="1"/>
  <c r="E173" i="1"/>
  <c r="E174" i="1"/>
  <c r="F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F191" i="1"/>
  <c r="E192" i="1"/>
  <c r="E193" i="1"/>
  <c r="E194" i="1"/>
  <c r="E195" i="1"/>
  <c r="E196" i="1"/>
  <c r="E197" i="1"/>
  <c r="E198" i="1"/>
  <c r="F199" i="1"/>
  <c r="E200" i="1"/>
  <c r="E201" i="1"/>
  <c r="E202" i="1"/>
  <c r="E203" i="1"/>
  <c r="E204" i="1"/>
  <c r="E205" i="1"/>
  <c r="E206" i="1"/>
  <c r="F207" i="1"/>
  <c r="E208" i="1"/>
  <c r="E209" i="1"/>
  <c r="E210" i="1"/>
  <c r="E211" i="1"/>
  <c r="E212" i="1"/>
  <c r="E213" i="1"/>
  <c r="E214" i="1"/>
  <c r="F215" i="1"/>
  <c r="E216" i="1"/>
  <c r="E217" i="1"/>
  <c r="E218" i="1"/>
  <c r="E219" i="1"/>
  <c r="E220" i="1"/>
  <c r="E221" i="1"/>
  <c r="E222" i="1"/>
  <c r="F223" i="1"/>
  <c r="E224" i="1"/>
  <c r="E225" i="1"/>
  <c r="E226" i="1"/>
  <c r="E227" i="1"/>
  <c r="E228" i="1"/>
  <c r="E229" i="1"/>
  <c r="E230" i="1"/>
  <c r="E232" i="1"/>
  <c r="E233" i="1"/>
  <c r="E234" i="1"/>
  <c r="E235" i="1"/>
  <c r="E236" i="1"/>
  <c r="E237" i="1"/>
  <c r="E238" i="1"/>
  <c r="E240" i="1"/>
  <c r="E241" i="1"/>
  <c r="E242" i="1"/>
  <c r="E243" i="1"/>
  <c r="E244" i="1"/>
  <c r="E245" i="1"/>
  <c r="E246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4" i="1"/>
  <c r="E265" i="1"/>
  <c r="E266" i="1"/>
  <c r="E267" i="1"/>
  <c r="E268" i="1"/>
  <c r="E269" i="1"/>
  <c r="E270" i="1"/>
  <c r="E272" i="1"/>
  <c r="E273" i="1"/>
  <c r="E274" i="1"/>
  <c r="E275" i="1"/>
  <c r="E276" i="1"/>
  <c r="E277" i="1"/>
  <c r="E278" i="1"/>
  <c r="E280" i="1"/>
  <c r="E281" i="1"/>
  <c r="E282" i="1"/>
  <c r="E283" i="1"/>
  <c r="E284" i="1"/>
  <c r="E285" i="1"/>
  <c r="E286" i="1"/>
  <c r="E288" i="1"/>
  <c r="E289" i="1"/>
  <c r="E290" i="1"/>
  <c r="E291" i="1"/>
  <c r="E292" i="1"/>
  <c r="E293" i="1"/>
  <c r="E294" i="1"/>
  <c r="E296" i="1"/>
  <c r="E297" i="1"/>
  <c r="E298" i="1"/>
  <c r="E299" i="1"/>
  <c r="E300" i="1"/>
  <c r="E301" i="1"/>
  <c r="E302" i="1"/>
  <c r="E304" i="1"/>
  <c r="E305" i="1"/>
  <c r="E306" i="1"/>
  <c r="E307" i="1"/>
  <c r="E308" i="1"/>
  <c r="E309" i="1"/>
  <c r="E310" i="1"/>
  <c r="E312" i="1"/>
  <c r="E313" i="1"/>
  <c r="E314" i="1"/>
  <c r="E315" i="1"/>
  <c r="E316" i="1"/>
  <c r="E317" i="1"/>
  <c r="E318" i="1"/>
  <c r="E320" i="1"/>
  <c r="E321" i="1"/>
  <c r="E322" i="1"/>
  <c r="E323" i="1"/>
  <c r="E324" i="1"/>
  <c r="E325" i="1"/>
  <c r="E326" i="1"/>
  <c r="E328" i="1"/>
  <c r="E329" i="1"/>
  <c r="E330" i="1"/>
  <c r="E331" i="1"/>
  <c r="E332" i="1"/>
  <c r="E333" i="1"/>
  <c r="E334" i="1"/>
  <c r="E336" i="1"/>
  <c r="E337" i="1"/>
  <c r="E338" i="1"/>
  <c r="E339" i="1"/>
  <c r="E340" i="1"/>
  <c r="E341" i="1"/>
  <c r="E342" i="1"/>
  <c r="E344" i="1"/>
  <c r="E345" i="1"/>
  <c r="E346" i="1"/>
  <c r="E347" i="1"/>
  <c r="E348" i="1"/>
  <c r="E349" i="1"/>
  <c r="E350" i="1"/>
  <c r="E352" i="1"/>
  <c r="E353" i="1"/>
  <c r="E354" i="1"/>
  <c r="E355" i="1"/>
  <c r="E356" i="1"/>
  <c r="E357" i="1"/>
  <c r="E358" i="1"/>
  <c r="E360" i="1"/>
  <c r="E361" i="1"/>
  <c r="E362" i="1"/>
  <c r="E363" i="1"/>
  <c r="E364" i="1"/>
  <c r="E365" i="1"/>
  <c r="E366" i="1"/>
  <c r="E368" i="1"/>
  <c r="E369" i="1"/>
  <c r="E370" i="1"/>
  <c r="E371" i="1"/>
  <c r="E372" i="1"/>
  <c r="E373" i="1"/>
  <c r="E374" i="1"/>
  <c r="E376" i="1"/>
  <c r="E377" i="1"/>
  <c r="E378" i="1"/>
  <c r="E379" i="1"/>
  <c r="E380" i="1"/>
  <c r="E381" i="1"/>
  <c r="E382" i="1"/>
  <c r="E384" i="1"/>
  <c r="E385" i="1"/>
  <c r="E386" i="1"/>
  <c r="E387" i="1"/>
  <c r="E388" i="1"/>
  <c r="E389" i="1"/>
  <c r="E390" i="1"/>
  <c r="E392" i="1"/>
  <c r="E393" i="1"/>
  <c r="E394" i="1"/>
  <c r="E395" i="1"/>
  <c r="E396" i="1"/>
  <c r="E397" i="1"/>
  <c r="E398" i="1"/>
  <c r="E400" i="1"/>
  <c r="E401" i="1"/>
  <c r="E402" i="1"/>
  <c r="E403" i="1"/>
  <c r="E404" i="1"/>
  <c r="E405" i="1"/>
  <c r="E406" i="1"/>
  <c r="E408" i="1"/>
  <c r="E409" i="1"/>
  <c r="E410" i="1"/>
  <c r="E411" i="1"/>
  <c r="E412" i="1"/>
  <c r="E413" i="1"/>
  <c r="E414" i="1"/>
  <c r="E416" i="1"/>
  <c r="E417" i="1"/>
  <c r="E418" i="1"/>
  <c r="E419" i="1"/>
  <c r="E420" i="1"/>
  <c r="E421" i="1"/>
  <c r="E422" i="1"/>
  <c r="E424" i="1"/>
  <c r="E425" i="1"/>
  <c r="E426" i="1"/>
  <c r="E427" i="1"/>
  <c r="E428" i="1"/>
  <c r="E429" i="1"/>
  <c r="E430" i="1"/>
  <c r="E432" i="1"/>
  <c r="E433" i="1"/>
  <c r="E434" i="1"/>
  <c r="E435" i="1"/>
  <c r="E436" i="1"/>
  <c r="E437" i="1"/>
  <c r="E438" i="1"/>
  <c r="E440" i="1"/>
  <c r="E441" i="1"/>
  <c r="E442" i="1"/>
  <c r="E443" i="1"/>
  <c r="E444" i="1"/>
  <c r="E445" i="1"/>
  <c r="E446" i="1"/>
  <c r="E448" i="1"/>
  <c r="E449" i="1"/>
  <c r="E450" i="1"/>
  <c r="E451" i="1"/>
  <c r="E452" i="1"/>
  <c r="E453" i="1"/>
  <c r="E454" i="1"/>
  <c r="E456" i="1"/>
  <c r="E457" i="1"/>
  <c r="E458" i="1"/>
  <c r="E459" i="1"/>
  <c r="E460" i="1"/>
  <c r="E461" i="1"/>
  <c r="E462" i="1"/>
  <c r="E464" i="1"/>
  <c r="E465" i="1"/>
  <c r="E466" i="1"/>
  <c r="E467" i="1"/>
  <c r="E468" i="1"/>
  <c r="E469" i="1"/>
  <c r="E470" i="1"/>
  <c r="E472" i="1"/>
  <c r="E473" i="1"/>
  <c r="E474" i="1"/>
  <c r="E475" i="1"/>
  <c r="E476" i="1"/>
  <c r="E477" i="1"/>
  <c r="E478" i="1"/>
  <c r="E480" i="1"/>
  <c r="E481" i="1"/>
  <c r="E482" i="1"/>
  <c r="E483" i="1"/>
  <c r="E484" i="1"/>
  <c r="E485" i="1"/>
  <c r="E486" i="1"/>
  <c r="E488" i="1"/>
  <c r="E489" i="1"/>
  <c r="E490" i="1"/>
  <c r="E491" i="1"/>
  <c r="E492" i="1"/>
  <c r="E493" i="1"/>
  <c r="E494" i="1"/>
  <c r="E496" i="1"/>
  <c r="E497" i="1"/>
  <c r="E498" i="1"/>
  <c r="E499" i="1"/>
  <c r="E500" i="1"/>
  <c r="E7" i="1"/>
  <c r="C9" i="1"/>
  <c r="F13" i="1"/>
  <c r="F14" i="1"/>
  <c r="F19" i="1"/>
  <c r="F20" i="1"/>
  <c r="F21" i="1"/>
  <c r="F22" i="1"/>
  <c r="F24" i="1"/>
  <c r="F28" i="1"/>
  <c r="F32" i="1"/>
  <c r="F33" i="1"/>
  <c r="F34" i="1"/>
  <c r="F35" i="1"/>
  <c r="F36" i="1"/>
  <c r="F37" i="1"/>
  <c r="F38" i="1"/>
  <c r="F40" i="1"/>
  <c r="F41" i="1"/>
  <c r="F42" i="1"/>
  <c r="F43" i="1"/>
  <c r="F44" i="1"/>
  <c r="F45" i="1"/>
  <c r="F46" i="1"/>
  <c r="F48" i="1"/>
  <c r="F49" i="1"/>
  <c r="F50" i="1"/>
  <c r="F51" i="1"/>
  <c r="F52" i="1"/>
  <c r="F53" i="1"/>
  <c r="F54" i="1"/>
  <c r="F56" i="1"/>
  <c r="F57" i="1"/>
  <c r="F58" i="1"/>
  <c r="F59" i="1"/>
  <c r="F60" i="1"/>
  <c r="F61" i="1"/>
  <c r="F62" i="1"/>
  <c r="F64" i="1"/>
  <c r="F65" i="1"/>
  <c r="F66" i="1"/>
  <c r="F67" i="1"/>
  <c r="F68" i="1"/>
  <c r="F69" i="1"/>
  <c r="F70" i="1"/>
  <c r="F72" i="1"/>
  <c r="F73" i="1"/>
  <c r="F74" i="1"/>
  <c r="F75" i="1"/>
  <c r="F76" i="1"/>
  <c r="F77" i="1"/>
  <c r="F78" i="1"/>
  <c r="F80" i="1"/>
  <c r="F81" i="1"/>
  <c r="F82" i="1"/>
  <c r="F83" i="1"/>
  <c r="F84" i="1"/>
  <c r="F85" i="1"/>
  <c r="F86" i="1"/>
  <c r="F88" i="1"/>
  <c r="F89" i="1"/>
  <c r="F90" i="1"/>
  <c r="F91" i="1"/>
  <c r="F92" i="1"/>
  <c r="F93" i="1"/>
  <c r="F94" i="1"/>
  <c r="F96" i="1"/>
  <c r="F97" i="1"/>
  <c r="F98" i="1"/>
  <c r="F99" i="1"/>
  <c r="F100" i="1"/>
  <c r="F101" i="1"/>
  <c r="F102" i="1"/>
  <c r="F104" i="1"/>
  <c r="F105" i="1"/>
  <c r="F106" i="1"/>
  <c r="F107" i="1"/>
  <c r="F108" i="1"/>
  <c r="F109" i="1"/>
  <c r="F110" i="1"/>
  <c r="F112" i="1"/>
  <c r="F113" i="1"/>
  <c r="F114" i="1"/>
  <c r="F115" i="1"/>
  <c r="F116" i="1"/>
  <c r="F117" i="1"/>
  <c r="F118" i="1"/>
  <c r="F120" i="1"/>
  <c r="F121" i="1"/>
  <c r="F122" i="1"/>
  <c r="F123" i="1"/>
  <c r="F124" i="1"/>
  <c r="F125" i="1"/>
  <c r="F126" i="1"/>
  <c r="F128" i="1"/>
  <c r="F129" i="1"/>
  <c r="F130" i="1"/>
  <c r="F131" i="1"/>
  <c r="F132" i="1"/>
  <c r="F133" i="1"/>
  <c r="F134" i="1"/>
  <c r="F136" i="1"/>
  <c r="F137" i="1"/>
  <c r="F138" i="1"/>
  <c r="F139" i="1"/>
  <c r="F140" i="1"/>
  <c r="F141" i="1"/>
  <c r="F142" i="1"/>
  <c r="F144" i="1"/>
  <c r="F145" i="1"/>
  <c r="F146" i="1"/>
  <c r="F147" i="1"/>
  <c r="F148" i="1"/>
  <c r="F149" i="1"/>
  <c r="F150" i="1"/>
  <c r="F152" i="1"/>
  <c r="F153" i="1"/>
  <c r="F154" i="1"/>
  <c r="F155" i="1"/>
  <c r="F156" i="1"/>
  <c r="F157" i="1"/>
  <c r="F158" i="1"/>
  <c r="F160" i="1"/>
  <c r="F161" i="1"/>
  <c r="F162" i="1"/>
  <c r="F163" i="1"/>
  <c r="F164" i="1"/>
  <c r="F165" i="1"/>
  <c r="F166" i="1"/>
  <c r="F168" i="1"/>
  <c r="F169" i="1"/>
  <c r="F170" i="1"/>
  <c r="F171" i="1"/>
  <c r="F172" i="1"/>
  <c r="F173" i="1"/>
  <c r="F174" i="1"/>
  <c r="F176" i="1"/>
  <c r="F177" i="1"/>
  <c r="F178" i="1"/>
  <c r="F179" i="1"/>
  <c r="F180" i="1"/>
  <c r="F181" i="1"/>
  <c r="F182" i="1"/>
  <c r="F184" i="1"/>
  <c r="F185" i="1"/>
  <c r="F186" i="1"/>
  <c r="F187" i="1"/>
  <c r="F188" i="1"/>
  <c r="F189" i="1"/>
  <c r="F190" i="1"/>
  <c r="F192" i="1"/>
  <c r="F193" i="1"/>
  <c r="F194" i="1"/>
  <c r="F195" i="1"/>
  <c r="F196" i="1"/>
  <c r="F197" i="1"/>
  <c r="F198" i="1"/>
  <c r="F200" i="1"/>
  <c r="F201" i="1"/>
  <c r="F202" i="1"/>
  <c r="F203" i="1"/>
  <c r="F204" i="1"/>
  <c r="F205" i="1"/>
  <c r="F206" i="1"/>
  <c r="F208" i="1"/>
  <c r="F209" i="1"/>
  <c r="F210" i="1"/>
  <c r="F211" i="1"/>
  <c r="F212" i="1"/>
  <c r="F213" i="1"/>
  <c r="F214" i="1"/>
  <c r="F216" i="1"/>
  <c r="F217" i="1"/>
  <c r="F218" i="1"/>
  <c r="F219" i="1"/>
  <c r="F220" i="1"/>
  <c r="F221" i="1"/>
  <c r="F222" i="1"/>
  <c r="F224" i="1"/>
  <c r="F225" i="1"/>
  <c r="F226" i="1"/>
  <c r="F227" i="1"/>
  <c r="F228" i="1"/>
  <c r="F229" i="1"/>
  <c r="F230" i="1"/>
  <c r="F232" i="1"/>
  <c r="F233" i="1"/>
  <c r="F234" i="1"/>
  <c r="F235" i="1"/>
  <c r="F236" i="1"/>
  <c r="F237" i="1"/>
  <c r="F238" i="1"/>
  <c r="F240" i="1"/>
  <c r="F241" i="1"/>
  <c r="F242" i="1"/>
  <c r="F243" i="1"/>
  <c r="F244" i="1"/>
  <c r="F245" i="1"/>
  <c r="F246" i="1"/>
  <c r="F248" i="1"/>
  <c r="F249" i="1"/>
  <c r="F250" i="1"/>
  <c r="F251" i="1"/>
  <c r="F252" i="1"/>
  <c r="F253" i="1"/>
  <c r="F254" i="1"/>
  <c r="F256" i="1"/>
  <c r="F257" i="1"/>
  <c r="F258" i="1"/>
  <c r="F259" i="1"/>
  <c r="F260" i="1"/>
  <c r="F261" i="1"/>
  <c r="F262" i="1"/>
  <c r="F264" i="1"/>
  <c r="F265" i="1"/>
  <c r="F266" i="1"/>
  <c r="F267" i="1"/>
  <c r="F268" i="1"/>
  <c r="F269" i="1"/>
  <c r="F270" i="1"/>
  <c r="F272" i="1"/>
  <c r="F273" i="1"/>
  <c r="F274" i="1"/>
  <c r="F275" i="1"/>
  <c r="F276" i="1"/>
  <c r="F277" i="1"/>
  <c r="F278" i="1"/>
  <c r="F280" i="1"/>
  <c r="F281" i="1"/>
  <c r="F282" i="1"/>
  <c r="F283" i="1"/>
  <c r="F284" i="1"/>
  <c r="F285" i="1"/>
  <c r="F286" i="1"/>
  <c r="F288" i="1"/>
  <c r="F289" i="1"/>
  <c r="F290" i="1"/>
  <c r="F291" i="1"/>
  <c r="F292" i="1"/>
  <c r="F293" i="1"/>
  <c r="F294" i="1"/>
  <c r="F296" i="1"/>
  <c r="F297" i="1"/>
  <c r="F298" i="1"/>
  <c r="F299" i="1"/>
  <c r="F300" i="1"/>
  <c r="F301" i="1"/>
  <c r="F302" i="1"/>
  <c r="F304" i="1"/>
  <c r="F305" i="1"/>
  <c r="F306" i="1"/>
  <c r="F307" i="1"/>
  <c r="F308" i="1"/>
  <c r="F309" i="1"/>
  <c r="F310" i="1"/>
  <c r="F312" i="1"/>
  <c r="F313" i="1"/>
  <c r="F314" i="1"/>
  <c r="F315" i="1"/>
  <c r="F316" i="1"/>
  <c r="F317" i="1"/>
  <c r="F318" i="1"/>
  <c r="F320" i="1"/>
  <c r="F321" i="1"/>
  <c r="F322" i="1"/>
  <c r="F323" i="1"/>
  <c r="F324" i="1"/>
  <c r="F325" i="1"/>
  <c r="F326" i="1"/>
  <c r="F328" i="1"/>
  <c r="F329" i="1"/>
  <c r="F330" i="1"/>
  <c r="F331" i="1"/>
  <c r="F332" i="1"/>
  <c r="F333" i="1"/>
  <c r="F334" i="1"/>
  <c r="F336" i="1"/>
  <c r="F337" i="1"/>
  <c r="F338" i="1"/>
  <c r="F339" i="1"/>
  <c r="F340" i="1"/>
  <c r="F341" i="1"/>
  <c r="F342" i="1"/>
  <c r="F344" i="1"/>
  <c r="F345" i="1"/>
  <c r="F346" i="1"/>
  <c r="F347" i="1"/>
  <c r="F348" i="1"/>
  <c r="F349" i="1"/>
  <c r="F350" i="1"/>
  <c r="F352" i="1"/>
  <c r="F353" i="1"/>
  <c r="F354" i="1"/>
  <c r="F355" i="1"/>
  <c r="F356" i="1"/>
  <c r="F357" i="1"/>
  <c r="F358" i="1"/>
  <c r="F360" i="1"/>
  <c r="F361" i="1"/>
  <c r="F362" i="1"/>
  <c r="F363" i="1"/>
  <c r="F364" i="1"/>
  <c r="F365" i="1"/>
  <c r="F366" i="1"/>
  <c r="F368" i="1"/>
  <c r="F369" i="1"/>
  <c r="F370" i="1"/>
  <c r="F371" i="1"/>
  <c r="F372" i="1"/>
  <c r="F373" i="1"/>
  <c r="F374" i="1"/>
  <c r="F376" i="1"/>
  <c r="F377" i="1"/>
  <c r="F378" i="1"/>
  <c r="F379" i="1"/>
  <c r="F380" i="1"/>
  <c r="F381" i="1"/>
  <c r="F382" i="1"/>
  <c r="F384" i="1"/>
  <c r="F385" i="1"/>
  <c r="F386" i="1"/>
  <c r="F387" i="1"/>
  <c r="F388" i="1"/>
  <c r="F389" i="1"/>
  <c r="F390" i="1"/>
  <c r="F392" i="1"/>
  <c r="F393" i="1"/>
  <c r="F394" i="1"/>
  <c r="F395" i="1"/>
  <c r="F396" i="1"/>
  <c r="F397" i="1"/>
  <c r="F398" i="1"/>
  <c r="F400" i="1"/>
  <c r="F401" i="1"/>
  <c r="F402" i="1"/>
  <c r="F403" i="1"/>
  <c r="F404" i="1"/>
  <c r="F405" i="1"/>
  <c r="F406" i="1"/>
  <c r="F408" i="1"/>
  <c r="F409" i="1"/>
  <c r="F410" i="1"/>
  <c r="F411" i="1"/>
  <c r="F412" i="1"/>
  <c r="F413" i="1"/>
  <c r="F414" i="1"/>
  <c r="F416" i="1"/>
  <c r="F417" i="1"/>
  <c r="F418" i="1"/>
  <c r="F419" i="1"/>
  <c r="F420" i="1"/>
  <c r="F421" i="1"/>
  <c r="F422" i="1"/>
  <c r="F424" i="1"/>
  <c r="F425" i="1"/>
  <c r="F426" i="1"/>
  <c r="F427" i="1"/>
  <c r="F428" i="1"/>
  <c r="F429" i="1"/>
  <c r="F430" i="1"/>
  <c r="F432" i="1"/>
  <c r="F433" i="1"/>
  <c r="F434" i="1"/>
  <c r="F435" i="1"/>
  <c r="F436" i="1"/>
  <c r="F437" i="1"/>
  <c r="F438" i="1"/>
  <c r="F440" i="1"/>
  <c r="F441" i="1"/>
  <c r="F442" i="1"/>
  <c r="F443" i="1"/>
  <c r="F444" i="1"/>
  <c r="F445" i="1"/>
  <c r="F446" i="1"/>
  <c r="F448" i="1"/>
  <c r="F449" i="1"/>
  <c r="F450" i="1"/>
  <c r="F451" i="1"/>
  <c r="F452" i="1"/>
  <c r="F453" i="1"/>
  <c r="F454" i="1"/>
  <c r="F456" i="1"/>
  <c r="F457" i="1"/>
  <c r="F458" i="1"/>
  <c r="F459" i="1"/>
  <c r="F460" i="1"/>
  <c r="F461" i="1"/>
  <c r="F462" i="1"/>
  <c r="F464" i="1"/>
  <c r="F465" i="1"/>
  <c r="F466" i="1"/>
  <c r="F467" i="1"/>
  <c r="F468" i="1"/>
  <c r="F469" i="1"/>
  <c r="F470" i="1"/>
  <c r="F472" i="1"/>
  <c r="F473" i="1"/>
  <c r="F474" i="1"/>
  <c r="F475" i="1"/>
  <c r="F476" i="1"/>
  <c r="F477" i="1"/>
  <c r="F478" i="1"/>
  <c r="F480" i="1"/>
  <c r="F481" i="1"/>
  <c r="F482" i="1"/>
  <c r="F483" i="1"/>
  <c r="F484" i="1"/>
  <c r="F485" i="1"/>
  <c r="F486" i="1"/>
  <c r="F488" i="1"/>
  <c r="F489" i="1"/>
  <c r="F490" i="1"/>
  <c r="F491" i="1"/>
  <c r="F492" i="1"/>
  <c r="F493" i="1"/>
  <c r="F494" i="1"/>
  <c r="F496" i="1"/>
  <c r="F497" i="1"/>
  <c r="F498" i="1"/>
  <c r="F499" i="1"/>
  <c r="F500" i="1"/>
  <c r="C8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G500" i="1" l="1"/>
  <c r="G491" i="1"/>
  <c r="G482" i="1"/>
  <c r="G473" i="1"/>
  <c r="G464" i="1"/>
  <c r="G454" i="1"/>
  <c r="G445" i="1"/>
  <c r="G436" i="1"/>
  <c r="G427" i="1"/>
  <c r="G418" i="1"/>
  <c r="G409" i="1"/>
  <c r="G400" i="1"/>
  <c r="G390" i="1"/>
  <c r="G381" i="1"/>
  <c r="G372" i="1"/>
  <c r="G363" i="1"/>
  <c r="G354" i="1"/>
  <c r="G345" i="1"/>
  <c r="G336" i="1"/>
  <c r="G326" i="1"/>
  <c r="G317" i="1"/>
  <c r="G308" i="1"/>
  <c r="G299" i="1"/>
  <c r="G290" i="1"/>
  <c r="G281" i="1"/>
  <c r="G272" i="1"/>
  <c r="G262" i="1"/>
  <c r="G253" i="1"/>
  <c r="G244" i="1"/>
  <c r="G235" i="1"/>
  <c r="G226" i="1"/>
  <c r="G217" i="1"/>
  <c r="G208" i="1"/>
  <c r="G198" i="1"/>
  <c r="G189" i="1"/>
  <c r="G180" i="1"/>
  <c r="G171" i="1"/>
  <c r="G162" i="1"/>
  <c r="G153" i="1"/>
  <c r="G144" i="1"/>
  <c r="G134" i="1"/>
  <c r="G125" i="1"/>
  <c r="G116" i="1"/>
  <c r="G107" i="1"/>
  <c r="G98" i="1"/>
  <c r="G89" i="1"/>
  <c r="G80" i="1"/>
  <c r="G70" i="1"/>
  <c r="G61" i="1"/>
  <c r="G52" i="1"/>
  <c r="G43" i="1"/>
  <c r="G34" i="1"/>
  <c r="G19" i="1"/>
  <c r="G223" i="1"/>
  <c r="G215" i="1"/>
  <c r="G207" i="1"/>
  <c r="G199" i="1"/>
  <c r="G191" i="1"/>
  <c r="G175" i="1"/>
  <c r="G167" i="1"/>
  <c r="G159" i="1"/>
  <c r="G151" i="1"/>
  <c r="G143" i="1"/>
  <c r="G135" i="1"/>
  <c r="G127" i="1"/>
  <c r="G111" i="1"/>
  <c r="G103" i="1"/>
  <c r="G95" i="1"/>
  <c r="G87" i="1"/>
  <c r="G79" i="1"/>
  <c r="G71" i="1"/>
  <c r="G63" i="1"/>
  <c r="G47" i="1"/>
  <c r="G39" i="1"/>
  <c r="G31" i="1"/>
  <c r="G23" i="1"/>
  <c r="G499" i="1"/>
  <c r="G490" i="1"/>
  <c r="G481" i="1"/>
  <c r="G472" i="1"/>
  <c r="G462" i="1"/>
  <c r="G453" i="1"/>
  <c r="G444" i="1"/>
  <c r="G435" i="1"/>
  <c r="G426" i="1"/>
  <c r="G417" i="1"/>
  <c r="G408" i="1"/>
  <c r="G398" i="1"/>
  <c r="G389" i="1"/>
  <c r="G380" i="1"/>
  <c r="G371" i="1"/>
  <c r="G362" i="1"/>
  <c r="G353" i="1"/>
  <c r="G344" i="1"/>
  <c r="G334" i="1"/>
  <c r="G325" i="1"/>
  <c r="G316" i="1"/>
  <c r="G307" i="1"/>
  <c r="G298" i="1"/>
  <c r="G289" i="1"/>
  <c r="G280" i="1"/>
  <c r="G270" i="1"/>
  <c r="G261" i="1"/>
  <c r="G252" i="1"/>
  <c r="G243" i="1"/>
  <c r="G234" i="1"/>
  <c r="G225" i="1"/>
  <c r="G216" i="1"/>
  <c r="G206" i="1"/>
  <c r="G197" i="1"/>
  <c r="G188" i="1"/>
  <c r="G179" i="1"/>
  <c r="G170" i="1"/>
  <c r="G161" i="1"/>
  <c r="G152" i="1"/>
  <c r="G142" i="1"/>
  <c r="G133" i="1"/>
  <c r="G124" i="1"/>
  <c r="G115" i="1"/>
  <c r="G106" i="1"/>
  <c r="G97" i="1"/>
  <c r="G88" i="1"/>
  <c r="G78" i="1"/>
  <c r="G69" i="1"/>
  <c r="G60" i="1"/>
  <c r="G51" i="1"/>
  <c r="G42" i="1"/>
  <c r="G33" i="1"/>
  <c r="G14" i="1"/>
  <c r="G498" i="1"/>
  <c r="G489" i="1"/>
  <c r="G480" i="1"/>
  <c r="G470" i="1"/>
  <c r="G461" i="1"/>
  <c r="G452" i="1"/>
  <c r="G443" i="1"/>
  <c r="G434" i="1"/>
  <c r="G425" i="1"/>
  <c r="G416" i="1"/>
  <c r="G406" i="1"/>
  <c r="G397" i="1"/>
  <c r="G388" i="1"/>
  <c r="G379" i="1"/>
  <c r="G370" i="1"/>
  <c r="G361" i="1"/>
  <c r="G352" i="1"/>
  <c r="G342" i="1"/>
  <c r="G333" i="1"/>
  <c r="G324" i="1"/>
  <c r="G315" i="1"/>
  <c r="G306" i="1"/>
  <c r="G297" i="1"/>
  <c r="G288" i="1"/>
  <c r="G278" i="1"/>
  <c r="G269" i="1"/>
  <c r="G260" i="1"/>
  <c r="G251" i="1"/>
  <c r="G242" i="1"/>
  <c r="G233" i="1"/>
  <c r="G224" i="1"/>
  <c r="G214" i="1"/>
  <c r="G205" i="1"/>
  <c r="G196" i="1"/>
  <c r="G187" i="1"/>
  <c r="G178" i="1"/>
  <c r="G169" i="1"/>
  <c r="G160" i="1"/>
  <c r="G150" i="1"/>
  <c r="G141" i="1"/>
  <c r="G132" i="1"/>
  <c r="G123" i="1"/>
  <c r="G114" i="1"/>
  <c r="G105" i="1"/>
  <c r="G96" i="1"/>
  <c r="G86" i="1"/>
  <c r="G77" i="1"/>
  <c r="G68" i="1"/>
  <c r="G59" i="1"/>
  <c r="G50" i="1"/>
  <c r="G41" i="1"/>
  <c r="G32" i="1"/>
  <c r="G13" i="1"/>
  <c r="G497" i="1"/>
  <c r="G488" i="1"/>
  <c r="G478" i="1"/>
  <c r="G469" i="1"/>
  <c r="G460" i="1"/>
  <c r="G451" i="1"/>
  <c r="G442" i="1"/>
  <c r="G433" i="1"/>
  <c r="G424" i="1"/>
  <c r="G414" i="1"/>
  <c r="G405" i="1"/>
  <c r="G396" i="1"/>
  <c r="G387" i="1"/>
  <c r="G378" i="1"/>
  <c r="G369" i="1"/>
  <c r="G360" i="1"/>
  <c r="G350" i="1"/>
  <c r="G341" i="1"/>
  <c r="G332" i="1"/>
  <c r="G323" i="1"/>
  <c r="G314" i="1"/>
  <c r="G305" i="1"/>
  <c r="G296" i="1"/>
  <c r="G286" i="1"/>
  <c r="G277" i="1"/>
  <c r="G268" i="1"/>
  <c r="G259" i="1"/>
  <c r="G250" i="1"/>
  <c r="G241" i="1"/>
  <c r="G232" i="1"/>
  <c r="G222" i="1"/>
  <c r="G213" i="1"/>
  <c r="G204" i="1"/>
  <c r="G195" i="1"/>
  <c r="G186" i="1"/>
  <c r="G177" i="1"/>
  <c r="G168" i="1"/>
  <c r="G158" i="1"/>
  <c r="G149" i="1"/>
  <c r="G140" i="1"/>
  <c r="G131" i="1"/>
  <c r="G122" i="1"/>
  <c r="G113" i="1"/>
  <c r="G104" i="1"/>
  <c r="G94" i="1"/>
  <c r="G85" i="1"/>
  <c r="G76" i="1"/>
  <c r="G67" i="1"/>
  <c r="G58" i="1"/>
  <c r="G49" i="1"/>
  <c r="G40" i="1"/>
  <c r="G28" i="1"/>
  <c r="G496" i="1"/>
  <c r="G486" i="1"/>
  <c r="G477" i="1"/>
  <c r="G468" i="1"/>
  <c r="G459" i="1"/>
  <c r="G450" i="1"/>
  <c r="G441" i="1"/>
  <c r="G432" i="1"/>
  <c r="G422" i="1"/>
  <c r="G413" i="1"/>
  <c r="G404" i="1"/>
  <c r="G395" i="1"/>
  <c r="G386" i="1"/>
  <c r="G377" i="1"/>
  <c r="G368" i="1"/>
  <c r="G358" i="1"/>
  <c r="G349" i="1"/>
  <c r="G340" i="1"/>
  <c r="G331" i="1"/>
  <c r="G322" i="1"/>
  <c r="G313" i="1"/>
  <c r="G304" i="1"/>
  <c r="G294" i="1"/>
  <c r="G285" i="1"/>
  <c r="G276" i="1"/>
  <c r="G267" i="1"/>
  <c r="G258" i="1"/>
  <c r="G249" i="1"/>
  <c r="G240" i="1"/>
  <c r="G230" i="1"/>
  <c r="G221" i="1"/>
  <c r="G212" i="1"/>
  <c r="G203" i="1"/>
  <c r="G194" i="1"/>
  <c r="G185" i="1"/>
  <c r="G176" i="1"/>
  <c r="G166" i="1"/>
  <c r="G157" i="1"/>
  <c r="G148" i="1"/>
  <c r="G139" i="1"/>
  <c r="G130" i="1"/>
  <c r="G121" i="1"/>
  <c r="G112" i="1"/>
  <c r="G102" i="1"/>
  <c r="G93" i="1"/>
  <c r="G84" i="1"/>
  <c r="G75" i="1"/>
  <c r="G66" i="1"/>
  <c r="G57" i="1"/>
  <c r="G48" i="1"/>
  <c r="G38" i="1"/>
  <c r="G24" i="1"/>
  <c r="G494" i="1"/>
  <c r="G485" i="1"/>
  <c r="G476" i="1"/>
  <c r="G467" i="1"/>
  <c r="G458" i="1"/>
  <c r="G449" i="1"/>
  <c r="G440" i="1"/>
  <c r="G430" i="1"/>
  <c r="G421" i="1"/>
  <c r="G412" i="1"/>
  <c r="G403" i="1"/>
  <c r="G394" i="1"/>
  <c r="G385" i="1"/>
  <c r="G376" i="1"/>
  <c r="G366" i="1"/>
  <c r="G357" i="1"/>
  <c r="G348" i="1"/>
  <c r="G339" i="1"/>
  <c r="G330" i="1"/>
  <c r="G321" i="1"/>
  <c r="G312" i="1"/>
  <c r="G302" i="1"/>
  <c r="G293" i="1"/>
  <c r="G284" i="1"/>
  <c r="G275" i="1"/>
  <c r="G266" i="1"/>
  <c r="G257" i="1"/>
  <c r="G248" i="1"/>
  <c r="G238" i="1"/>
  <c r="G229" i="1"/>
  <c r="G220" i="1"/>
  <c r="G211" i="1"/>
  <c r="G202" i="1"/>
  <c r="G193" i="1"/>
  <c r="G184" i="1"/>
  <c r="G174" i="1"/>
  <c r="G165" i="1"/>
  <c r="G156" i="1"/>
  <c r="G147" i="1"/>
  <c r="G138" i="1"/>
  <c r="G129" i="1"/>
  <c r="G120" i="1"/>
  <c r="G110" i="1"/>
  <c r="G101" i="1"/>
  <c r="G92" i="1"/>
  <c r="G83" i="1"/>
  <c r="G74" i="1"/>
  <c r="G65" i="1"/>
  <c r="G56" i="1"/>
  <c r="G46" i="1"/>
  <c r="G37" i="1"/>
  <c r="G22" i="1"/>
  <c r="G493" i="1"/>
  <c r="G484" i="1"/>
  <c r="G475" i="1"/>
  <c r="G466" i="1"/>
  <c r="G457" i="1"/>
  <c r="G448" i="1"/>
  <c r="G438" i="1"/>
  <c r="G429" i="1"/>
  <c r="G420" i="1"/>
  <c r="G411" i="1"/>
  <c r="G402" i="1"/>
  <c r="G393" i="1"/>
  <c r="G384" i="1"/>
  <c r="G374" i="1"/>
  <c r="G365" i="1"/>
  <c r="G356" i="1"/>
  <c r="G347" i="1"/>
  <c r="G338" i="1"/>
  <c r="G329" i="1"/>
  <c r="G320" i="1"/>
  <c r="G310" i="1"/>
  <c r="G301" i="1"/>
  <c r="G292" i="1"/>
  <c r="G283" i="1"/>
  <c r="G274" i="1"/>
  <c r="G265" i="1"/>
  <c r="G256" i="1"/>
  <c r="G246" i="1"/>
  <c r="G237" i="1"/>
  <c r="G228" i="1"/>
  <c r="G219" i="1"/>
  <c r="G210" i="1"/>
  <c r="G201" i="1"/>
  <c r="G192" i="1"/>
  <c r="G182" i="1"/>
  <c r="G173" i="1"/>
  <c r="G164" i="1"/>
  <c r="G155" i="1"/>
  <c r="G146" i="1"/>
  <c r="G137" i="1"/>
  <c r="G128" i="1"/>
  <c r="G118" i="1"/>
  <c r="G109" i="1"/>
  <c r="G100" i="1"/>
  <c r="G91" i="1"/>
  <c r="G82" i="1"/>
  <c r="G73" i="1"/>
  <c r="G64" i="1"/>
  <c r="G54" i="1"/>
  <c r="G45" i="1"/>
  <c r="G36" i="1"/>
  <c r="G21" i="1"/>
  <c r="G492" i="1"/>
  <c r="G483" i="1"/>
  <c r="G474" i="1"/>
  <c r="G465" i="1"/>
  <c r="G456" i="1"/>
  <c r="G446" i="1"/>
  <c r="G437" i="1"/>
  <c r="G428" i="1"/>
  <c r="G419" i="1"/>
  <c r="G410" i="1"/>
  <c r="G401" i="1"/>
  <c r="G392" i="1"/>
  <c r="G382" i="1"/>
  <c r="G373" i="1"/>
  <c r="G364" i="1"/>
  <c r="G355" i="1"/>
  <c r="G346" i="1"/>
  <c r="G337" i="1"/>
  <c r="G328" i="1"/>
  <c r="G318" i="1"/>
  <c r="G309" i="1"/>
  <c r="G300" i="1"/>
  <c r="G291" i="1"/>
  <c r="G282" i="1"/>
  <c r="G273" i="1"/>
  <c r="G264" i="1"/>
  <c r="G254" i="1"/>
  <c r="G245" i="1"/>
  <c r="G236" i="1"/>
  <c r="G227" i="1"/>
  <c r="G218" i="1"/>
  <c r="G209" i="1"/>
  <c r="G200" i="1"/>
  <c r="G190" i="1"/>
  <c r="G181" i="1"/>
  <c r="G172" i="1"/>
  <c r="G163" i="1"/>
  <c r="G154" i="1"/>
  <c r="G145" i="1"/>
  <c r="G136" i="1"/>
  <c r="G126" i="1"/>
  <c r="G117" i="1"/>
  <c r="G108" i="1"/>
  <c r="G99" i="1"/>
  <c r="G90" i="1"/>
  <c r="G81" i="1"/>
  <c r="G72" i="1"/>
  <c r="G62" i="1"/>
  <c r="G53" i="1"/>
  <c r="G44" i="1"/>
  <c r="G35" i="1"/>
  <c r="G20" i="1"/>
  <c r="F495" i="1"/>
  <c r="G495" i="1" s="1"/>
  <c r="E495" i="1"/>
  <c r="F487" i="1"/>
  <c r="G487" i="1" s="1"/>
  <c r="E487" i="1"/>
  <c r="F479" i="1"/>
  <c r="G479" i="1" s="1"/>
  <c r="E479" i="1"/>
  <c r="F471" i="1"/>
  <c r="G471" i="1" s="1"/>
  <c r="E471" i="1"/>
  <c r="F463" i="1"/>
  <c r="G463" i="1" s="1"/>
  <c r="E463" i="1"/>
  <c r="F455" i="1"/>
  <c r="G455" i="1" s="1"/>
  <c r="E455" i="1"/>
  <c r="F447" i="1"/>
  <c r="G447" i="1" s="1"/>
  <c r="E447" i="1"/>
  <c r="F439" i="1"/>
  <c r="G439" i="1" s="1"/>
  <c r="E439" i="1"/>
  <c r="F431" i="1"/>
  <c r="G431" i="1" s="1"/>
  <c r="E431" i="1"/>
  <c r="F423" i="1"/>
  <c r="G423" i="1" s="1"/>
  <c r="E423" i="1"/>
  <c r="F415" i="1"/>
  <c r="G415" i="1" s="1"/>
  <c r="E415" i="1"/>
  <c r="F407" i="1"/>
  <c r="G407" i="1" s="1"/>
  <c r="E407" i="1"/>
  <c r="F399" i="1"/>
  <c r="G399" i="1" s="1"/>
  <c r="E399" i="1"/>
  <c r="F391" i="1"/>
  <c r="G391" i="1" s="1"/>
  <c r="E391" i="1"/>
  <c r="F383" i="1"/>
  <c r="G383" i="1" s="1"/>
  <c r="E383" i="1"/>
  <c r="F375" i="1"/>
  <c r="G375" i="1" s="1"/>
  <c r="E375" i="1"/>
  <c r="F367" i="1"/>
  <c r="G367" i="1" s="1"/>
  <c r="E367" i="1"/>
  <c r="F359" i="1"/>
  <c r="G359" i="1" s="1"/>
  <c r="E359" i="1"/>
  <c r="F351" i="1"/>
  <c r="G351" i="1" s="1"/>
  <c r="E351" i="1"/>
  <c r="F343" i="1"/>
  <c r="G343" i="1" s="1"/>
  <c r="E343" i="1"/>
  <c r="F335" i="1"/>
  <c r="G335" i="1" s="1"/>
  <c r="E335" i="1"/>
  <c r="F327" i="1"/>
  <c r="G327" i="1" s="1"/>
  <c r="E327" i="1"/>
  <c r="F319" i="1"/>
  <c r="G319" i="1" s="1"/>
  <c r="E319" i="1"/>
  <c r="F311" i="1"/>
  <c r="G311" i="1" s="1"/>
  <c r="E311" i="1"/>
  <c r="F303" i="1"/>
  <c r="G303" i="1" s="1"/>
  <c r="E303" i="1"/>
  <c r="F295" i="1"/>
  <c r="G295" i="1" s="1"/>
  <c r="E295" i="1"/>
  <c r="F287" i="1"/>
  <c r="G287" i="1" s="1"/>
  <c r="E287" i="1"/>
  <c r="F279" i="1"/>
  <c r="G279" i="1" s="1"/>
  <c r="E279" i="1"/>
  <c r="F271" i="1"/>
  <c r="G271" i="1" s="1"/>
  <c r="E271" i="1"/>
  <c r="F263" i="1"/>
  <c r="G263" i="1" s="1"/>
  <c r="E263" i="1"/>
  <c r="F255" i="1"/>
  <c r="G255" i="1" s="1"/>
  <c r="E255" i="1"/>
  <c r="F247" i="1"/>
  <c r="G247" i="1" s="1"/>
  <c r="E247" i="1"/>
  <c r="F239" i="1"/>
  <c r="G239" i="1" s="1"/>
  <c r="E239" i="1"/>
  <c r="F231" i="1"/>
  <c r="G231" i="1" s="1"/>
  <c r="E231" i="1"/>
  <c r="E223" i="1"/>
  <c r="E215" i="1"/>
  <c r="E207" i="1"/>
  <c r="E199" i="1"/>
  <c r="E191" i="1"/>
  <c r="E175" i="1"/>
  <c r="E167" i="1"/>
  <c r="E159" i="1"/>
  <c r="E151" i="1"/>
  <c r="E143" i="1"/>
  <c r="E135" i="1"/>
  <c r="E127" i="1"/>
  <c r="E111" i="1"/>
  <c r="E103" i="1"/>
  <c r="E95" i="1"/>
  <c r="E87" i="1"/>
  <c r="E79" i="1"/>
  <c r="E71" i="1"/>
  <c r="E63" i="1"/>
  <c r="E47" i="1"/>
  <c r="E39" i="1"/>
  <c r="E31" i="1"/>
  <c r="E23" i="1"/>
  <c r="F183" i="1"/>
  <c r="G183" i="1" s="1"/>
  <c r="F119" i="1"/>
  <c r="G119" i="1" s="1"/>
  <c r="F55" i="1"/>
  <c r="G55" i="1" s="1"/>
  <c r="I499" i="1" l="1"/>
  <c r="I493" i="1"/>
  <c r="I490" i="1"/>
  <c r="I483" i="1"/>
  <c r="I429" i="1"/>
  <c r="I417" i="1"/>
  <c r="I413" i="1"/>
  <c r="I409" i="1"/>
  <c r="I399" i="1"/>
  <c r="I397" i="1"/>
  <c r="I395" i="1"/>
  <c r="I393" i="1"/>
  <c r="I379" i="1"/>
  <c r="I359" i="1"/>
  <c r="I353" i="1"/>
  <c r="I339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267" i="1"/>
  <c r="I263" i="1"/>
  <c r="I259" i="1"/>
  <c r="I255" i="1"/>
  <c r="I251" i="1"/>
  <c r="I247" i="1"/>
  <c r="I245" i="1"/>
  <c r="I243" i="1"/>
  <c r="I241" i="1"/>
  <c r="I239" i="1"/>
  <c r="I237" i="1"/>
  <c r="I233" i="1"/>
  <c r="I231" i="1"/>
  <c r="I229" i="1"/>
  <c r="I225" i="1"/>
  <c r="I223" i="1"/>
  <c r="I221" i="1"/>
  <c r="I219" i="1"/>
  <c r="I215" i="1"/>
  <c r="I213" i="1"/>
  <c r="I211" i="1"/>
  <c r="I209" i="1"/>
  <c r="I207" i="1"/>
  <c r="I205" i="1"/>
  <c r="I203" i="1"/>
  <c r="I197" i="1"/>
  <c r="I193" i="1"/>
  <c r="I191" i="1"/>
  <c r="I189" i="1"/>
  <c r="I188" i="1"/>
  <c r="I185" i="1"/>
  <c r="I177" i="1"/>
  <c r="I173" i="1"/>
  <c r="I165" i="1"/>
  <c r="I161" i="1"/>
  <c r="I145" i="1"/>
  <c r="I141" i="1"/>
  <c r="I133" i="1"/>
  <c r="I129" i="1"/>
  <c r="I125" i="1"/>
  <c r="I113" i="1"/>
  <c r="I109" i="1"/>
  <c r="I107" i="1"/>
  <c r="I103" i="1"/>
  <c r="I101" i="1"/>
  <c r="I97" i="1"/>
  <c r="I93" i="1"/>
  <c r="I81" i="1"/>
  <c r="I77" i="1"/>
  <c r="I69" i="1"/>
  <c r="I61" i="1"/>
  <c r="I49" i="1"/>
  <c r="I45" i="1"/>
  <c r="I41" i="1"/>
  <c r="I37" i="1"/>
  <c r="I33" i="1"/>
  <c r="I17" i="1"/>
  <c r="F17" i="1" s="1"/>
  <c r="G17" i="1" s="1"/>
  <c r="I13" i="1"/>
  <c r="C7" i="1"/>
  <c r="I157" i="1" l="1"/>
  <c r="I104" i="1"/>
  <c r="I349" i="1"/>
  <c r="I65" i="1"/>
  <c r="I123" i="1"/>
  <c r="I464" i="1"/>
  <c r="I100" i="1"/>
  <c r="I119" i="1"/>
  <c r="I167" i="1"/>
  <c r="I171" i="1"/>
  <c r="I487" i="1"/>
  <c r="I29" i="1"/>
  <c r="F29" i="1" s="1"/>
  <c r="G29" i="1" s="1"/>
  <c r="I55" i="1"/>
  <c r="I59" i="1"/>
  <c r="I164" i="1"/>
  <c r="I168" i="1"/>
  <c r="I183" i="1"/>
  <c r="I187" i="1"/>
  <c r="I363" i="1"/>
  <c r="I380" i="1"/>
  <c r="I84" i="1"/>
  <c r="I24" i="1"/>
  <c r="I148" i="1"/>
  <c r="I217" i="1"/>
  <c r="I470" i="1"/>
  <c r="I40" i="1"/>
  <c r="I43" i="1"/>
  <c r="I117" i="1"/>
  <c r="I411" i="1"/>
  <c r="I27" i="1"/>
  <c r="F27" i="1" s="1"/>
  <c r="G27" i="1" s="1"/>
  <c r="I201" i="1"/>
  <c r="I373" i="1"/>
  <c r="I21" i="1"/>
  <c r="I91" i="1"/>
  <c r="I136" i="1"/>
  <c r="I139" i="1"/>
  <c r="I348" i="1"/>
  <c r="I357" i="1"/>
  <c r="I382" i="1"/>
  <c r="I85" i="1"/>
  <c r="I169" i="1"/>
  <c r="I407" i="1"/>
  <c r="I433" i="1"/>
  <c r="I346" i="1"/>
  <c r="I485" i="1"/>
  <c r="I405" i="1"/>
  <c r="I137" i="1"/>
  <c r="I181" i="1"/>
  <c r="I350" i="1"/>
  <c r="I73" i="1"/>
  <c r="I53" i="1"/>
  <c r="I155" i="1"/>
  <c r="I184" i="1"/>
  <c r="I200" i="1"/>
  <c r="I343" i="1"/>
  <c r="I347" i="1"/>
  <c r="I389" i="1"/>
  <c r="I56" i="1"/>
  <c r="I72" i="1"/>
  <c r="I75" i="1"/>
  <c r="I105" i="1"/>
  <c r="I149" i="1"/>
  <c r="I227" i="1"/>
  <c r="I450" i="1"/>
  <c r="I448" i="1"/>
  <c r="I468" i="1"/>
  <c r="I446" i="1"/>
  <c r="I11" i="1"/>
  <c r="F11" i="1" s="1"/>
  <c r="G11" i="1" s="1"/>
  <c r="I8" i="1"/>
  <c r="F8" i="1" s="1"/>
  <c r="G8" i="1" s="1"/>
  <c r="I28" i="1"/>
  <c r="I98" i="1"/>
  <c r="I95" i="1"/>
  <c r="I156" i="1"/>
  <c r="I31" i="1"/>
  <c r="I60" i="1"/>
  <c r="I159" i="1"/>
  <c r="I162" i="1"/>
  <c r="I32" i="1"/>
  <c r="I35" i="1"/>
  <c r="I63" i="1"/>
  <c r="I66" i="1"/>
  <c r="I124" i="1"/>
  <c r="I34" i="1"/>
  <c r="I14" i="1"/>
  <c r="I38" i="1"/>
  <c r="I127" i="1"/>
  <c r="I130" i="1"/>
  <c r="I42" i="1"/>
  <c r="I92" i="1"/>
  <c r="I377" i="1"/>
  <c r="I392" i="1"/>
  <c r="I456" i="1"/>
  <c r="I58" i="1"/>
  <c r="I90" i="1"/>
  <c r="I154" i="1"/>
  <c r="I186" i="1"/>
  <c r="I342" i="1"/>
  <c r="I384" i="1"/>
  <c r="I46" i="1"/>
  <c r="I110" i="1"/>
  <c r="I142" i="1"/>
  <c r="I174" i="1"/>
  <c r="I228" i="1"/>
  <c r="I244" i="1"/>
  <c r="I266" i="1"/>
  <c r="I282" i="1"/>
  <c r="I286" i="1"/>
  <c r="I298" i="1"/>
  <c r="I318" i="1"/>
  <c r="I330" i="1"/>
  <c r="I338" i="1"/>
  <c r="I361" i="1"/>
  <c r="I194" i="1"/>
  <c r="I214" i="1"/>
  <c r="I230" i="1"/>
  <c r="I248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78" i="1"/>
  <c r="I364" i="1"/>
  <c r="I394" i="1"/>
  <c r="I410" i="1"/>
  <c r="I74" i="1"/>
  <c r="I106" i="1"/>
  <c r="I138" i="1"/>
  <c r="I354" i="1"/>
  <c r="I388" i="1"/>
  <c r="I398" i="1"/>
  <c r="I414" i="1"/>
  <c r="I30" i="1"/>
  <c r="F30" i="1" s="1"/>
  <c r="G30" i="1" s="1"/>
  <c r="I94" i="1"/>
  <c r="I126" i="1"/>
  <c r="I158" i="1"/>
  <c r="I386" i="1"/>
  <c r="I360" i="1"/>
  <c r="I442" i="1"/>
  <c r="I484" i="1"/>
  <c r="I497" i="1"/>
  <c r="I480" i="1"/>
  <c r="I416" i="1"/>
  <c r="I420" i="1"/>
  <c r="I424" i="1"/>
  <c r="I500" i="1"/>
  <c r="I422" i="1"/>
  <c r="I426" i="1"/>
  <c r="I496" i="1"/>
  <c r="I481" i="1"/>
  <c r="I488" i="1"/>
  <c r="I9" i="1" l="1"/>
  <c r="F9" i="1" s="1"/>
  <c r="G9" i="1" s="1"/>
  <c r="I10" i="1"/>
  <c r="F10" i="1" s="1"/>
  <c r="G10" i="1" s="1"/>
  <c r="I252" i="1"/>
  <c r="I334" i="1"/>
  <c r="I26" i="1"/>
  <c r="F26" i="1" s="1"/>
  <c r="G26" i="1" s="1"/>
  <c r="I322" i="1"/>
  <c r="I302" i="1"/>
  <c r="I418" i="1"/>
  <c r="I376" i="1"/>
  <c r="I202" i="1"/>
  <c r="I220" i="1"/>
  <c r="I474" i="1"/>
  <c r="I440" i="1"/>
  <c r="I428" i="1"/>
  <c r="I494" i="1"/>
  <c r="I78" i="1"/>
  <c r="I432" i="1"/>
  <c r="I400" i="1"/>
  <c r="I210" i="1"/>
  <c r="I406" i="1"/>
  <c r="I218" i="1"/>
  <c r="I326" i="1"/>
  <c r="I262" i="1"/>
  <c r="I120" i="1"/>
  <c r="I236" i="1"/>
  <c r="I462" i="1"/>
  <c r="I444" i="1"/>
  <c r="I458" i="1"/>
  <c r="I258" i="1"/>
  <c r="I212" i="1"/>
  <c r="I438" i="1"/>
  <c r="I374" i="1"/>
  <c r="I358" i="1"/>
  <c r="I246" i="1"/>
  <c r="I472" i="1"/>
  <c r="I294" i="1"/>
  <c r="I242" i="1"/>
  <c r="I404" i="1"/>
  <c r="I290" i="1"/>
  <c r="I204" i="1"/>
  <c r="I390" i="1"/>
  <c r="I234" i="1"/>
  <c r="I278" i="1"/>
  <c r="I190" i="1"/>
  <c r="I62" i="1"/>
  <c r="I306" i="1"/>
  <c r="I436" i="1"/>
  <c r="I170" i="1"/>
  <c r="I344" i="1"/>
  <c r="I274" i="1"/>
  <c r="I466" i="1"/>
  <c r="I254" i="1"/>
  <c r="I250" i="1"/>
  <c r="I314" i="1"/>
  <c r="I460" i="1"/>
  <c r="I430" i="1"/>
  <c r="I88" i="1"/>
  <c r="I226" i="1"/>
  <c r="I385" i="1"/>
  <c r="I135" i="1"/>
  <c r="I116" i="1"/>
  <c r="I367" i="1"/>
  <c r="I20" i="1"/>
  <c r="I180" i="1"/>
  <c r="I310" i="1"/>
  <c r="I235" i="1"/>
  <c r="I132" i="1"/>
  <c r="I434" i="1"/>
  <c r="I370" i="1"/>
  <c r="I476" i="1"/>
  <c r="I199" i="1"/>
  <c r="I71" i="1"/>
  <c r="I270" i="1"/>
  <c r="I122" i="1"/>
  <c r="I351" i="1"/>
  <c r="I454" i="1"/>
  <c r="I23" i="1"/>
  <c r="I196" i="1"/>
  <c r="I68" i="1"/>
  <c r="I87" i="1"/>
  <c r="I425" i="1"/>
  <c r="I383" i="1"/>
  <c r="I391" i="1"/>
  <c r="I415" i="1"/>
  <c r="I408" i="1"/>
  <c r="I452" i="1"/>
  <c r="I152" i="1"/>
  <c r="I478" i="1"/>
  <c r="I52" i="1"/>
  <c r="I421" i="1"/>
  <c r="I151" i="1"/>
  <c r="I356" i="1"/>
  <c r="I457" i="1"/>
  <c r="I166" i="1"/>
  <c r="I341" i="1"/>
  <c r="I412" i="1"/>
  <c r="I437" i="1"/>
  <c r="I402" i="1"/>
  <c r="I461" i="1"/>
  <c r="I489" i="1"/>
  <c r="I365" i="1"/>
  <c r="I192" i="1"/>
  <c r="I163" i="1"/>
  <c r="I15" i="1"/>
  <c r="F15" i="1" s="1"/>
  <c r="G15" i="1" s="1"/>
  <c r="I325" i="1"/>
  <c r="I309" i="1"/>
  <c r="I293" i="1"/>
  <c r="I277" i="1"/>
  <c r="I261" i="1"/>
  <c r="I206" i="1"/>
  <c r="I345" i="1"/>
  <c r="I39" i="1"/>
  <c r="I232" i="1"/>
  <c r="I22" i="1"/>
  <c r="I153" i="1"/>
  <c r="I419" i="1"/>
  <c r="I16" i="1"/>
  <c r="F16" i="1" s="1"/>
  <c r="G16" i="1" s="1"/>
  <c r="I451" i="1"/>
  <c r="I471" i="1"/>
  <c r="I495" i="1"/>
  <c r="I482" i="1"/>
  <c r="I492" i="1"/>
  <c r="I352" i="1"/>
  <c r="I208" i="1"/>
  <c r="I134" i="1"/>
  <c r="I102" i="1"/>
  <c r="I70" i="1"/>
  <c r="I143" i="1"/>
  <c r="I12" i="1"/>
  <c r="F12" i="1" s="1"/>
  <c r="G12" i="1" s="1"/>
  <c r="I249" i="1"/>
  <c r="I178" i="1"/>
  <c r="I47" i="1"/>
  <c r="I403" i="1"/>
  <c r="I25" i="1"/>
  <c r="F25" i="1" s="1"/>
  <c r="G25" i="1" s="1"/>
  <c r="I121" i="1"/>
  <c r="I76" i="1"/>
  <c r="I449" i="1"/>
  <c r="I469" i="1"/>
  <c r="I441" i="1"/>
  <c r="I475" i="1"/>
  <c r="I371" i="1"/>
  <c r="I160" i="1"/>
  <c r="I131" i="1"/>
  <c r="I99" i="1"/>
  <c r="I67" i="1"/>
  <c r="I140" i="1"/>
  <c r="I337" i="1"/>
  <c r="I321" i="1"/>
  <c r="I305" i="1"/>
  <c r="I289" i="1"/>
  <c r="I273" i="1"/>
  <c r="I146" i="1"/>
  <c r="I36" i="1"/>
  <c r="I19" i="1"/>
  <c r="I48" i="1"/>
  <c r="I115" i="1"/>
  <c r="I465" i="1"/>
  <c r="I467" i="1"/>
  <c r="I369" i="1"/>
  <c r="I381" i="1"/>
  <c r="I172" i="1"/>
  <c r="I435" i="1"/>
  <c r="I455" i="1"/>
  <c r="I445" i="1"/>
  <c r="I423" i="1"/>
  <c r="I401" i="1"/>
  <c r="I368" i="1"/>
  <c r="I224" i="1"/>
  <c r="I362" i="1"/>
  <c r="I257" i="1"/>
  <c r="I114" i="1"/>
  <c r="I18" i="1"/>
  <c r="F18" i="1" s="1"/>
  <c r="G18" i="1" s="1"/>
  <c r="I479" i="1"/>
  <c r="I396" i="1"/>
  <c r="I182" i="1"/>
  <c r="I150" i="1"/>
  <c r="I89" i="1"/>
  <c r="I54" i="1"/>
  <c r="I144" i="1"/>
  <c r="I44" i="1"/>
  <c r="I491" i="1"/>
  <c r="I473" i="1"/>
  <c r="I459" i="1"/>
  <c r="I355" i="1"/>
  <c r="I128" i="1"/>
  <c r="I96" i="1"/>
  <c r="I64" i="1"/>
  <c r="I222" i="1"/>
  <c r="I333" i="1"/>
  <c r="I317" i="1"/>
  <c r="I301" i="1"/>
  <c r="I285" i="1"/>
  <c r="I269" i="1"/>
  <c r="I111" i="1"/>
  <c r="I7" i="1"/>
  <c r="F7" i="1" s="1"/>
  <c r="G7" i="1" s="1"/>
  <c r="I179" i="1"/>
  <c r="I83" i="1"/>
  <c r="I86" i="1"/>
  <c r="I57" i="1"/>
  <c r="I486" i="1"/>
  <c r="I453" i="1"/>
  <c r="I439" i="1"/>
  <c r="I477" i="1"/>
  <c r="I372" i="1"/>
  <c r="I431" i="1"/>
  <c r="I240" i="1"/>
  <c r="I198" i="1"/>
  <c r="I79" i="1"/>
  <c r="I238" i="1"/>
  <c r="I108" i="1"/>
  <c r="I463" i="1"/>
  <c r="I427" i="1"/>
  <c r="I447" i="1"/>
  <c r="I387" i="1"/>
  <c r="I112" i="1"/>
  <c r="I147" i="1"/>
  <c r="I498" i="1"/>
  <c r="I443" i="1"/>
  <c r="I195" i="1"/>
  <c r="I175" i="1"/>
  <c r="I50" i="1"/>
  <c r="I329" i="1"/>
  <c r="I313" i="1"/>
  <c r="I297" i="1"/>
  <c r="I281" i="1"/>
  <c r="I265" i="1"/>
  <c r="I253" i="1"/>
  <c r="I82" i="1"/>
  <c r="I366" i="1"/>
  <c r="I375" i="1"/>
  <c r="I216" i="1"/>
  <c r="I176" i="1"/>
  <c r="I118" i="1"/>
  <c r="I80" i="1"/>
  <c r="I51" i="1"/>
</calcChain>
</file>

<file path=xl/sharedStrings.xml><?xml version="1.0" encoding="utf-8"?>
<sst xmlns="http://schemas.openxmlformats.org/spreadsheetml/2006/main" count="123" uniqueCount="93">
  <si>
    <t>File Name</t>
  </si>
  <si>
    <t>Main Tab</t>
  </si>
  <si>
    <t>Series</t>
  </si>
  <si>
    <t>Tab Index</t>
  </si>
  <si>
    <t>Tab Name</t>
  </si>
  <si>
    <t>WP Index</t>
  </si>
  <si>
    <t>WP Name</t>
  </si>
  <si>
    <t>Status</t>
  </si>
  <si>
    <t>Related Party Statement</t>
  </si>
  <si>
    <t>Letter of Representation</t>
  </si>
  <si>
    <t>Statement letter</t>
  </si>
  <si>
    <t>Statement of Significant Contract and Agreement</t>
  </si>
  <si>
    <t>Subsequent Event Questionnaire</t>
  </si>
  <si>
    <t>Index</t>
  </si>
  <si>
    <t>Confirmation Suite</t>
  </si>
  <si>
    <t>31255 Series</t>
  </si>
  <si>
    <t>Bank Request Letter - Bank Name</t>
  </si>
  <si>
    <t>Bank Verification and Confirmation</t>
  </si>
  <si>
    <t>Statement of Significant Contract</t>
  </si>
  <si>
    <t>Client Representation - Preliminary</t>
  </si>
  <si>
    <t>Statutory Disclosures - Director Name</t>
  </si>
  <si>
    <t>Related Party Transactions</t>
  </si>
  <si>
    <t>60460 Series</t>
  </si>
  <si>
    <t>Remuneration Confirmation - Director Name</t>
  </si>
  <si>
    <t>Inventory Certificate and Confirmation</t>
  </si>
  <si>
    <t>30660 Series</t>
  </si>
  <si>
    <t>Inventories Confirmation - Third Party Name</t>
  </si>
  <si>
    <t>30960 Series</t>
  </si>
  <si>
    <t>Trade Receivables - Confirmations Sent - Third Party Name</t>
  </si>
  <si>
    <t>Trade Receivables Balance Confirmation</t>
  </si>
  <si>
    <t>Draft Cash Certificate</t>
  </si>
  <si>
    <t>Cash Certificate</t>
  </si>
  <si>
    <t>40260 Series</t>
  </si>
  <si>
    <t>Trade Payables - Confirmations Sent - Third Party Name</t>
  </si>
  <si>
    <t>Trade Payables Balance Confirmation</t>
  </si>
  <si>
    <t>60660 Series</t>
  </si>
  <si>
    <t>Statement Letter</t>
  </si>
  <si>
    <t>Client Representation - Final</t>
  </si>
  <si>
    <t>Confirmation of Minutes</t>
  </si>
  <si>
    <t>Letter of Financial Support</t>
  </si>
  <si>
    <t>Draft Management Letter</t>
  </si>
  <si>
    <t>Management Letter</t>
  </si>
  <si>
    <t>Draft Adjusting Entries</t>
  </si>
  <si>
    <t>Journal Entries</t>
  </si>
  <si>
    <t>Draft Reclassification Entries</t>
  </si>
  <si>
    <t>Draft Letter of Representation</t>
  </si>
  <si>
    <t>Bank Request Letters</t>
  </si>
  <si>
    <t>Draft Statutory Disclosures</t>
  </si>
  <si>
    <t>50350-1, 50350-2, etc.</t>
  </si>
  <si>
    <t>Draft Remuneration Confirmations</t>
  </si>
  <si>
    <t>60450-1, 60450-2, etc.</t>
  </si>
  <si>
    <t>Inventories Confirmations Sent</t>
  </si>
  <si>
    <t>30660-1, 30660-2, etc.</t>
  </si>
  <si>
    <t>Trade Receivables - Confirmations Sent</t>
  </si>
  <si>
    <t>30960-1, 30960-2, etc.</t>
  </si>
  <si>
    <t>Trade Payables - Confirmations Sent</t>
  </si>
  <si>
    <t>40260-1, 40260-2, etc.</t>
  </si>
  <si>
    <t>Legal Verifications and Confirmations Sent</t>
  </si>
  <si>
    <t>Statutory Interest Disclosure</t>
  </si>
  <si>
    <t>Director's Remuneration</t>
  </si>
  <si>
    <t>Inventory Certificate</t>
  </si>
  <si>
    <t>Inventory Confirmation</t>
  </si>
  <si>
    <t>Legal Verification</t>
  </si>
  <si>
    <t>Legal Confirmation</t>
  </si>
  <si>
    <t>Letter of Support - Shareholder</t>
  </si>
  <si>
    <t>Letter of Support - Holding Company</t>
  </si>
  <si>
    <t>Adjusting JE</t>
  </si>
  <si>
    <t>Reclassification JE</t>
  </si>
  <si>
    <t>Legal Verifications Sent - Law Firm Name</t>
  </si>
  <si>
    <t>Legal Confirmations Sent - Law Firm Name</t>
  </si>
  <si>
    <t xml:space="preserve">Legal Confirmation </t>
  </si>
  <si>
    <t>Letter of Financial Support (Shareholder)</t>
  </si>
  <si>
    <t>Letter of Financial Support (Holding Company)</t>
  </si>
  <si>
    <t>Bank Verification</t>
  </si>
  <si>
    <t>Bank Confirmation</t>
  </si>
  <si>
    <t>31255-1A, 31255-2, etc.</t>
  </si>
  <si>
    <t>31255-1B, 31255-2, etc.</t>
  </si>
  <si>
    <t>60650-1A, 60650-2, etc.</t>
  </si>
  <si>
    <t>60650-1B, 60650-2, etc.</t>
  </si>
  <si>
    <t>50345 Series</t>
  </si>
  <si>
    <t>Bank Request Letter - Verification</t>
  </si>
  <si>
    <t>Bank Request Letter - Confirmation</t>
  </si>
  <si>
    <t>Statutory Disclosures</t>
  </si>
  <si>
    <t>Remuneration Confirmation</t>
  </si>
  <si>
    <t xml:space="preserve">Inventories Confirmation </t>
  </si>
  <si>
    <t xml:space="preserve">Legal Verifications and Confirmations Sent </t>
  </si>
  <si>
    <t xml:space="preserve">Trade Receivables - Confirmations Sent </t>
  </si>
  <si>
    <t xml:space="preserve">Trade Payables - Confirmations Sent </t>
  </si>
  <si>
    <t>WP Name - Part 1</t>
  </si>
  <si>
    <t>Count</t>
  </si>
  <si>
    <t>Confirmation Suite - Upload Draft Documents Result Log</t>
  </si>
  <si>
    <t>Draft Inventories Certificate</t>
  </si>
  <si>
    <t>Output Folder Path: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</si>
</sst>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24"/>
      <color theme="0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Fill="1" applyAlignment="1" applyProtection="1"/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1" fillId="0" borderId="2" xfId="0" applyNumberFormat="1" applyFont="1" applyFill="1" applyBorder="1" applyAlignment="1" applyProtection="1"/>
    <xf numFmtId="0" fontId="4" fillId="0" borderId="6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ont="1"/>
    <xf numFmtId="0" fontId="2" fillId="0" borderId="1" xfId="0" applyNumberFormat="1" applyFont="1" applyFill="1" applyBorder="1" applyAlignment="1" applyProtection="1">
      <alignment horizontal="center"/>
    </xf>
    <xf numFmtId="0" fontId="0" fillId="0" borderId="0" xfId="0" applyFill="1"/>
    <xf numFmtId="0" fontId="1" fillId="0" borderId="0" xfId="0" applyNumberFormat="1" applyFont="1" applyFill="1" applyBorder="1" applyAlignment="1" applyProtection="1">
      <alignment horizontal="center"/>
    </xf>
    <xf numFmtId="0" fontId="1" fillId="0" borderId="2" xfId="0" applyNumberFormat="1" applyFont="1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left"/>
    </xf>
    <xf numFmtId="0" fontId="0" fillId="0" borderId="0" xfId="0" applyAlignment="1">
      <alignment horizontal="left"/>
    </xf>
    <xf numFmtId="0" fontId="2" fillId="0" borderId="0" xfId="0" applyNumberFormat="1" applyFont="1" applyFill="1" applyBorder="1" applyAlignment="1" applyProtection="1">
      <alignment horizontal="center"/>
    </xf>
    <xf numFmtId="0" fontId="0" fillId="0" borderId="0" xfId="0" applyFill="1" applyAlignment="1">
      <alignment horizontal="left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2" borderId="8" xfId="0" applyNumberFormat="1" applyFont="1" applyFill="1" applyBorder="1" applyAlignment="1" applyProtection="1">
      <alignment horizontal="center" vertical="center"/>
    </xf>
    <xf numFmtId="0" fontId="3" fillId="2" borderId="8" xfId="0" applyNumberFormat="1" applyFont="1" applyFill="1" applyBorder="1" applyAlignment="1" applyProtection="1">
      <alignment horizontal="left" vertical="center"/>
    </xf>
    <xf numFmtId="0" fontId="3" fillId="2" borderId="9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/>
    <xf numFmtId="0" fontId="2" fillId="0" borderId="1" xfId="0" applyNumberFormat="1" applyFont="1" applyFill="1" applyBorder="1" applyAlignment="1" applyProtection="1">
      <protection locked="0"/>
    </xf>
    <xf numFmtId="0" fontId="3" fillId="2" borderId="3" xfId="0" applyNumberFormat="1" applyFont="1" applyFill="1" applyBorder="1" applyAlignment="1" applyProtection="1">
      <alignment horizontal="left" vertical="center"/>
    </xf>
    <xf numFmtId="0" fontId="3" fillId="2" borderId="4" xfId="0" applyNumberFormat="1" applyFont="1" applyFill="1" applyBorder="1" applyAlignment="1" applyProtection="1">
      <alignment horizontal="left" vertical="center"/>
    </xf>
    <xf numFmtId="0" fontId="3" fillId="2" borderId="5" xfId="0" applyNumberFormat="1" applyFont="1" applyFill="1" applyBorder="1" applyAlignment="1" applyProtection="1">
      <alignment horizontal="left" vertical="center"/>
    </xf>
    <xf numFmtId="0" fontId="2" fillId="0" borderId="3" xfId="0" applyNumberFormat="1" applyFont="1" applyFill="1" applyBorder="1" applyAlignment="1" applyProtection="1">
      <alignment horizontal="left" vertical="center"/>
      <protection locked="0"/>
    </xf>
    <xf numFmtId="0" fontId="2" fillId="0" borderId="4" xfId="0" applyNumberFormat="1" applyFont="1" applyFill="1" applyBorder="1" applyAlignment="1" applyProtection="1">
      <alignment horizontal="left" vertical="center"/>
      <protection locked="0"/>
    </xf>
    <xf numFmtId="0" fontId="2" fillId="0" borderId="5" xfId="0" applyNumberFormat="1" applyFont="1" applyFill="1" applyBorder="1" applyAlignment="1" applyProtection="1">
      <alignment horizontal="left"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</xf>
    <xf numFmtId="0" fontId="4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Completed%20Projects%20for%20RMS\UiPath%20Projects\Upload%20Draft%20Document%20Bot\Main.xa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358140</xdr:colOff>
      <xdr:row>0</xdr:row>
      <xdr:rowOff>30480</xdr:rowOff>
    </xdr:from>
    <xdr:to>
      <xdr:col>7</xdr:col>
      <xdr:colOff>1257300</xdr:colOff>
      <xdr:row>0</xdr:row>
      <xdr:rowOff>289260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7A2F7B3E-A851-414B-94C5-BBCF5CCEE172}"/>
            </a:ext>
          </a:extLst>
        </xdr:cNvPr>
        <xdr:cNvSpPr/>
      </xdr:nvSpPr>
      <xdr:spPr>
        <a:xfrm>
          <a:off x="12492990" y="30480"/>
          <a:ext cx="899160" cy="26830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900" b="1">
              <a:solidFill>
                <a:schemeClr val="bg1"/>
              </a:solidFill>
              <a:latin typeface="Century Gothic" panose="020B0502020202020204" pitchFamily="34" charset="0"/>
            </a:rPr>
            <a:t>Clear</a:t>
          </a:r>
        </a:p>
      </xdr:txBody>
    </xdr:sp>
    <xdr:clientData/>
  </xdr:twoCellAnchor>
  <xdr:twoCellAnchor editAs="oneCell">
    <xdr:from>
      <xdr:col>6</xdr:col>
      <xdr:colOff>3007360</xdr:colOff>
      <xdr:row>0</xdr:row>
      <xdr:rowOff>26670</xdr:rowOff>
    </xdr:from>
    <xdr:to>
      <xdr:col>7</xdr:col>
      <xdr:colOff>321945</xdr:colOff>
      <xdr:row>0</xdr:row>
      <xdr:rowOff>288078</xdr:rowOff>
    </xdr:to>
    <xdr:sp macro="[0]!_xlnm.Extract" textlink="">
      <xdr:nvSpPr>
        <xdr:cNvPr id="7" name="Rectangle 6">
          <a:extLst>
            <a:ext uri="{FF2B5EF4-FFF2-40B4-BE49-F238E27FC236}">
              <a16:creationId xmlns:a16="http://schemas.microsoft.com/office/drawing/2014/main" id="{F9E9DF94-ABCF-4760-9293-EFEAF922752E}"/>
            </a:ext>
          </a:extLst>
        </xdr:cNvPr>
        <xdr:cNvSpPr/>
      </xdr:nvSpPr>
      <xdr:spPr>
        <a:xfrm>
          <a:off x="11579860" y="26670"/>
          <a:ext cx="876935" cy="26712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SG" sz="900" b="1">
              <a:solidFill>
                <a:schemeClr val="bg1"/>
              </a:solidFill>
              <a:latin typeface="Century Gothic" panose="020B0502020202020204" pitchFamily="34" charset="0"/>
            </a:rPr>
            <a:t>Extract</a:t>
          </a:r>
        </a:p>
      </xdr:txBody>
    </xdr:sp>
    <xdr:clientData/>
  </xdr:twoCellAnchor>
  <xdr:twoCellAnchor>
    <xdr:from>
      <xdr:col>6</xdr:col>
      <xdr:colOff>70063</xdr:colOff>
      <xdr:row>2</xdr:row>
      <xdr:rowOff>192407</xdr:rowOff>
    </xdr:from>
    <xdr:to>
      <xdr:col>6</xdr:col>
      <xdr:colOff>1006053</xdr:colOff>
      <xdr:row>4</xdr:row>
      <xdr:rowOff>14606</xdr:rowOff>
    </xdr:to>
    <xdr:sp macro="[0]!browse" textlink="">
      <xdr:nvSpPr>
        <xdr:cNvPr id="9" name="Rectangle 8">
          <a:extLst>
            <a:ext uri="{FF2B5EF4-FFF2-40B4-BE49-F238E27FC236}">
              <a16:creationId xmlns:a16="http://schemas.microsoft.com/office/drawing/2014/main" id="{19610313-8FD7-49FD-B018-81A36437A3C1}"/>
            </a:ext>
          </a:extLst>
        </xdr:cNvPr>
        <xdr:cNvSpPr/>
      </xdr:nvSpPr>
      <xdr:spPr>
        <a:xfrm>
          <a:off x="8595996" y="1191474"/>
          <a:ext cx="935990" cy="330199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900" b="1">
              <a:latin typeface="Century Gothic" panose="020B0502020202020204" pitchFamily="34" charset="0"/>
            </a:rPr>
            <a:t>Browse</a:t>
          </a:r>
        </a:p>
      </xdr:txBody>
    </xdr:sp>
    <xdr:clientData/>
  </xdr:twoCellAnchor>
  <xdr:twoCellAnchor>
    <xdr:from>
      <xdr:col>6</xdr:col>
      <xdr:colOff>1073760</xdr:colOff>
      <xdr:row>2</xdr:row>
      <xdr:rowOff>190228</xdr:rowOff>
    </xdr:from>
    <xdr:to>
      <xdr:col>7</xdr:col>
      <xdr:colOff>226967</xdr:colOff>
      <xdr:row>4</xdr:row>
      <xdr:rowOff>19198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F42C4-0590-4725-937A-57BE5D4E4123}"/>
            </a:ext>
          </a:extLst>
        </xdr:cNvPr>
        <xdr:cNvSpPr/>
      </xdr:nvSpPr>
      <xdr:spPr>
        <a:xfrm>
          <a:off x="9579585" y="1218928"/>
          <a:ext cx="1877357" cy="324270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SG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Upload</a:t>
          </a:r>
          <a:r>
            <a:rPr lang="en-SG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Draft Documents</a:t>
          </a:r>
          <a:r>
            <a:rPr lang="en-SG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Bot</a:t>
          </a:r>
          <a:r>
            <a:rPr lang="en-SG" sz="1100"/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00"/>
  <sheetViews>
    <sheetView showGridLines="0" tabSelected="1" zoomScaleNormal="100" workbookViewId="0">
      <selection activeCell="B4" sqref="B4:F4"/>
    </sheetView>
  </sheetViews>
  <sheetFormatPr defaultRowHeight="14.4" x14ac:dyDescent="0.3"/>
  <cols>
    <col min="1" max="1" width="2.6640625" style="3" customWidth="1"/>
    <col min="2" max="2" width="50.6640625" style="25" customWidth="1"/>
    <col min="3" max="3" width="10.6640625" style="19" customWidth="1"/>
    <col min="4" max="4" width="10.6640625" style="8" customWidth="1"/>
    <col min="5" max="5" width="29.5546875" style="8" bestFit="1" customWidth="1"/>
    <col min="6" max="6" width="20.6640625" style="8" customWidth="1"/>
    <col min="7" max="7" width="51.88671875" style="8" bestFit="1" customWidth="1"/>
    <col min="8" max="8" width="18.88671875" style="18" customWidth="1"/>
    <col min="9" max="9" width="20.6640625" style="8" hidden="1" customWidth="1"/>
    <col min="10" max="10" width="10.6640625" style="8" customWidth="1"/>
    <col min="12" max="12" width="8.88671875" style="8"/>
  </cols>
  <sheetData>
    <row r="1" spans="1:12" ht="70.2" customHeight="1" x14ac:dyDescent="0.3">
      <c r="A1" s="1"/>
      <c r="B1" s="33" t="s">
        <v>90</v>
      </c>
      <c r="C1" s="33"/>
      <c r="D1" s="33"/>
      <c r="E1" s="33"/>
      <c r="F1" s="33"/>
      <c r="G1" s="33"/>
      <c r="H1" s="33"/>
      <c r="I1" s="33"/>
      <c r="J1" s="19"/>
    </row>
    <row r="2" spans="1:12" ht="10.199999999999999" customHeight="1" x14ac:dyDescent="0.3">
      <c r="A2" s="1"/>
      <c r="B2" s="2"/>
      <c r="C2" s="14"/>
    </row>
    <row r="3" spans="1:12" ht="19.95" customHeight="1" x14ac:dyDescent="0.25">
      <c r="A3" s="1"/>
      <c r="B3" s="27" t="s">
        <v>92</v>
      </c>
      <c r="C3" s="28"/>
      <c r="D3" s="28"/>
      <c r="E3" s="28"/>
      <c r="F3" s="29"/>
    </row>
    <row r="4" spans="1:12" ht="19.95" customHeight="1" x14ac:dyDescent="0.25">
      <c r="A4" s="1"/>
      <c r="B4" s="30"/>
      <c r="C4" s="31"/>
      <c r="D4" s="31"/>
      <c r="E4" s="31"/>
      <c r="F4" s="32"/>
      <c r="G4" s="16"/>
      <c r="H4" s="20"/>
      <c r="I4" s="16"/>
      <c r="J4" s="16"/>
    </row>
    <row r="5" spans="1:12" ht="30" customHeight="1" x14ac:dyDescent="0.3">
      <c r="B5" s="4"/>
      <c r="C5" s="15"/>
    </row>
    <row r="6" spans="1:12" ht="19.95" customHeight="1" x14ac:dyDescent="0.3">
      <c r="A6" s="1"/>
      <c r="B6" s="21" t="s">
        <v>0</v>
      </c>
      <c r="C6" s="22" t="s">
        <v>1</v>
      </c>
      <c r="D6" s="22" t="s">
        <v>3</v>
      </c>
      <c r="E6" s="22" t="s">
        <v>4</v>
      </c>
      <c r="F6" s="22" t="s">
        <v>5</v>
      </c>
      <c r="G6" s="23" t="s">
        <v>6</v>
      </c>
      <c r="H6" s="22" t="s">
        <v>7</v>
      </c>
      <c r="I6" s="24" t="s">
        <v>89</v>
      </c>
      <c r="J6"/>
      <c r="K6" s="8"/>
      <c r="L6"/>
    </row>
    <row r="7" spans="1:12" x14ac:dyDescent="0.3">
      <c r="A7" s="1"/>
      <c r="B7" s="26"/>
      <c r="C7" s="12" t="str">
        <f>_xlfn.IFNA(IFERROR(IF(FIND("_",$B7)&gt;0,INDEX(WP!$A$2:$F$23,MATCH(LEFT($B7,FIND("_",$B7)-1),WP!$E$2:$E$23,0),1),IF(FIND("-",$B7)&gt;0,INDEX(WP!$A$2:$F$23,MATCH(LEFT($B7,FIND("_",$B7)-1),WP!$E$2:$E$23,0),1))),INDEX(WP!$A$2:$F$23,MATCH(Results!$B7,WP!$E$2:$E$23,0),1)),"")</f>
        <v/>
      </c>
      <c r="D7" s="12" t="str">
        <f>IFERROR(IFERROR(IF(RIGHT(INDEX(WP!$A$2:$F$23,MATCH(IF(FIND("_",$B7)&gt;0,LEFT($B7,FIND("_",$B7)-1)),WP!$E$2:$E$23,0),2),6)="Series",LEFT(INDEX(WP!$A$2:$F$23,MATCH(IF(FIND("_",$B7)&gt;0,LEFT($B7,FIND("_",$B7)-1)),WP!$E$2:$E$23,0),2),5),""),IF(RIGHT(INDEX(WP!$A$2:$F$23,MATCH($B7,WP!$E$2:$E$23,0),2),6)="Series",LEFT(INDEX(WP!$A$2:$F$23,MATCH($B7,WP!$E$2:$E$23,0),2),5),"")),"")</f>
        <v/>
      </c>
      <c r="E7" s="17" t="str">
        <f>IFERROR(VLOOKUP(VALUE($D7),Series!$B$3:$F$11,2,0),"")</f>
        <v/>
      </c>
      <c r="F7" s="12" t="str">
        <f>_xlfn.IFNA(IF(IF($D7&lt;&gt;"",COUNTIF($E:$E,"="&amp;$D7),"")="",IF(RIGHT(IFERROR(IF(FIND("_",$B7)&gt;0,INDEX(WP!$A$2:$F$23,MATCH(LEFT($B7,FIND("_",$B7)-1),WP!$E$2:$E$23,0),2),IF(FIND("-",$B7)&gt;0,INDEX(WP!$A$2:$F$23,MATCH(LEFT($B7,FIND("_",$B7)-1),WP!$E$2:$E$23,0),2))),INDEX(WP!$A$2:$F$23,MATCH(Results!$B7,WP!$E$2:$E$23,0),2)),6)="Series",LEFT(IFERROR(IF(FIND("_",$B7)&gt;0,INDEX(WP!$A$2:$F$23,MATCH(LEFT($B7,FIND("_",$B7)-1),WP!$E$2:$E$23,0),2),IF(FIND("-",$B7)&gt;0,INDEX(WP!$A$2:$F$23,MATCH(LEFT($B7,FIND("_",$B7)-1),WP!$E$2:$E$23,0),2))),INDEX(WP!$A$2:$F$23,MATCH(Results!$B7,WP!$E$2:$E$23,0),2)),5),(IFERROR(IF(FIND("_",$B7)&gt;0,INDEX(WP!$A$2:$F$23,MATCH(LEFT($B7,FIND("_",$B7)-1),WP!$E$2:$E$23,0),2),IF(FIND("-",$B7)&gt;0,INDEX(WP!$A$2:$F$23,MATCH(LEFT($B7,FIND("_",$B7)-1),WP!$E$2:$E$23,0),2))),INDEX(WP!$A$2:$F$23,MATCH(Results!$B7,WP!$E$2:$E$23,0),2)))),IF(RIGHT(IFERROR(IF(FIND("_",$B7)&gt;0,INDEX(WP!$A$2:$F$23,MATCH(LEFT($B7,FIND("_",$B7)-1),WP!$E$2:$E$23,0),2),IF(FIND("-",$B7)&gt;0,INDEX(WP!$A$2:$F$23,MATCH(LEFT($B7,FIND("_",$B7)-1),WP!$E$2:$E$23,0),2))),INDEX(WP!$A$2:$F$23,MATCH(Results!$B7,WP!$E$2:$E$23,0),2)),6)="Series",LEFT(IFERROR(IF(FIND("_",$B7)&gt;0,INDEX(WP!$A$2:$F$23,MATCH(LEFT($B7,FIND("_",$B7)-1),WP!$E$2:$E$23,0),2),IF(FIND("-",$B7)&gt;0,INDEX(WP!$A$2:$F$23,MATCH(LEFT($B7,FIND("_",$B7)-1),WP!$E$2:$E$23,0),2))),INDEX(WP!$A$2:$F$23,MATCH(Results!$B7,WP!$E$2:$E$23,0),2)),5),(IFERROR(IF(FIND("_",$B7)&gt;0,INDEX(WP!$A$2:$F$23,MATCH(LEFT($B7,FIND("_",$B7)-1),WP!$E$2:$E$23,0),2),IF(FIND("-",$B7)&gt;0,INDEX(WP!$A$2:$F$23,MATCH(LEFT($B7,FIND("_",$B7)-1),WP!$E$2:$E$23,0),2))),INDEX(WP!$A$2:$F$23,MATCH(Results!$B7,WP!$E$2:$E$23,0),2))))&amp;"-"&amp;$I7),"")</f>
        <v/>
      </c>
      <c r="G7" s="17" t="str">
        <f>IF(LEN(_xlfn.IFNA(IF(IFERROR(IF(FIND("_",$B7)&gt;0,MID($B7,FIND("_",$B7)+1,LEN($B7)),IF(FIND("-",$B7)&gt;0,MID($B7,FIND("-",$B7)+1,LEN($B7)))),"")="",IFERROR(VLOOKUP($F7,WP!$B$2:$C$23,2,0),VLOOKUP($C7,Series!$A$3:$F$11,6,0)),IFERROR(VLOOKUP($F7,WP!$B$2:$C$23,2,0),VLOOKUP($C7,Series!$A$3:$F$11,6,0))&amp;" - "&amp;(IFERROR(IF(FIND("_",$B7)&gt;0,MID($B7,FIND("_",$B7)+1,LEN($B7)),IF(FIND("-",$B7)&gt;0,MID($B7,FIND("-",$B7)+1,LEN($B7)))),""))),""))&lt;64,_xlfn.IFNA(IF(IFERROR(IF(FIND("_",$B7)&gt;0,MID($B7,FIND("_",$B7)+1,LEN($B7)),IF(FIND("-",$B7)&gt;0,MID($B7,FIND("-",$B7)+1,LEN($B7)))),"")="",IFERROR(VLOOKUP($F7,WP!$B$2:$C$23,2,0),VLOOKUP($C7,Series!$A$3:$F$11,6,0)),IFERROR(VLOOKUP($F7,WP!$B$2:$C$23,2,0),VLOOKUP($C7,Series!$A$3:$F$11,6,0))&amp;" - "&amp;(IFERROR(IF(FIND("_",$B7)&gt;0,MID($B7,FIND("_",$B7)+1,LEN($B7)),IF(FIND("-",$B7)&gt;0,MID($B7,FIND("-",$B7)+1,LEN($B7)))),""))),""),LEFT((_xlfn.IFNA(IF(IFERROR(IF(FIND("_",$B7)&gt;0,MID($B7,FIND("_",$B7)+1,LEN($B7)),IF(FIND("-",$B7)&gt;0,MID($B7,FIND("-",$B7)+1,LEN($B7)))),"")="",IFERROR(VLOOKUP($F7,WP!$B$2:$C$23,2,0),VLOOKUP($C7,Series!$A$3:$F$11,6,0)),IFERROR(VLOOKUP($F7,WP!$B$2:$C$23,2,0),VLOOKUP($C7,Series!$A$3:$F$11,6,0))&amp;" - "&amp;(IFERROR(IF(FIND("_",$B7)&gt;0,MID($B7,FIND("_",$B7)+1,LEN($B7)),IF(FIND("-",$B7)&gt;0,MID($B7,FIND("-",$B7)+1,LEN($B7)))),""))),"")),64))</f>
        <v/>
      </c>
      <c r="H7" s="12"/>
      <c r="I7" s="12" t="str">
        <f>IF($D7&lt;&gt;"",COUNTIF($D$7:$D7,"="&amp;$D7),"")</f>
        <v/>
      </c>
      <c r="J7"/>
      <c r="K7" s="8"/>
      <c r="L7"/>
    </row>
    <row r="8" spans="1:12" x14ac:dyDescent="0.3">
      <c r="A8" s="1"/>
      <c r="B8" s="26"/>
      <c r="C8" s="12" t="str">
        <f>_xlfn.IFNA(IFERROR(IF(FIND("_",$B8)&gt;0,INDEX(WP!$A$2:$F$23,MATCH(LEFT($B8,FIND("_",$B8)-1),WP!$E$2:$E$23,0),1),IF(FIND("-",$B8)&gt;0,INDEX(WP!$A$2:$F$23,MATCH(LEFT($B8,FIND("_",$B8)-1),WP!$E$2:$E$23,0),1))),INDEX(WP!$A$2:$F$23,MATCH(Results!$B8,WP!$E$2:$E$23,0),1)),"")</f>
        <v/>
      </c>
      <c r="D8" s="12" t="str">
        <f>IFERROR(IFERROR(IF(RIGHT(INDEX(WP!$A$2:$F$23,MATCH(IF(FIND("_",$B8)&gt;0,LEFT($B8,FIND("_",$B8)-1)),WP!$E$2:$E$23,0),2),6)="Series",LEFT(INDEX(WP!$A$2:$F$23,MATCH(IF(FIND("_",$B8)&gt;0,LEFT($B8,FIND("_",$B8)-1)),WP!$E$2:$E$23,0),2),5),""),IF(RIGHT(INDEX(WP!$A$2:$F$23,MATCH($B8,WP!$E$2:$E$23,0),2),6)="Series",LEFT(INDEX(WP!$A$2:$F$23,MATCH($B8,WP!$E$2:$E$23,0),2),5),"")),"")</f>
        <v/>
      </c>
      <c r="E8" s="17" t="str">
        <f>IFERROR(VLOOKUP(VALUE($D8),Series!$B$3:$F$11,2,0),"")</f>
        <v/>
      </c>
      <c r="F8" s="12" t="str">
        <f>_xlfn.IFNA(IF(IF($D8&lt;&gt;"",COUNTIF($E:$E,"="&amp;$D8),"")="",IF(RIGHT(IFERROR(IF(FIND("_",$B8)&gt;0,INDEX(WP!$A$2:$F$23,MATCH(LEFT($B8,FIND("_",$B8)-1),WP!$E$2:$E$23,0),2),IF(FIND("-",$B8)&gt;0,INDEX(WP!$A$2:$F$23,MATCH(LEFT($B8,FIND("_",$B8)-1),WP!$E$2:$E$23,0),2))),INDEX(WP!$A$2:$F$23,MATCH(Results!$B8,WP!$E$2:$E$23,0),2)),6)="Series",LEFT(IFERROR(IF(FIND("_",$B8)&gt;0,INDEX(WP!$A$2:$F$23,MATCH(LEFT($B8,FIND("_",$B8)-1),WP!$E$2:$E$23,0),2),IF(FIND("-",$B8)&gt;0,INDEX(WP!$A$2:$F$23,MATCH(LEFT($B8,FIND("_",$B8)-1),WP!$E$2:$E$23,0),2))),INDEX(WP!$A$2:$F$23,MATCH(Results!$B8,WP!$E$2:$E$23,0),2)),5),(IFERROR(IF(FIND("_",$B8)&gt;0,INDEX(WP!$A$2:$F$23,MATCH(LEFT($B8,FIND("_",$B8)-1),WP!$E$2:$E$23,0),2),IF(FIND("-",$B8)&gt;0,INDEX(WP!$A$2:$F$23,MATCH(LEFT($B8,FIND("_",$B8)-1),WP!$E$2:$E$23,0),2))),INDEX(WP!$A$2:$F$23,MATCH(Results!$B8,WP!$E$2:$E$23,0),2)))),IF(RIGHT(IFERROR(IF(FIND("_",$B8)&gt;0,INDEX(WP!$A$2:$F$23,MATCH(LEFT($B8,FIND("_",$B8)-1),WP!$E$2:$E$23,0),2),IF(FIND("-",$B8)&gt;0,INDEX(WP!$A$2:$F$23,MATCH(LEFT($B8,FIND("_",$B8)-1),WP!$E$2:$E$23,0),2))),INDEX(WP!$A$2:$F$23,MATCH(Results!$B8,WP!$E$2:$E$23,0),2)),6)="Series",LEFT(IFERROR(IF(FIND("_",$B8)&gt;0,INDEX(WP!$A$2:$F$23,MATCH(LEFT($B8,FIND("_",$B8)-1),WP!$E$2:$E$23,0),2),IF(FIND("-",$B8)&gt;0,INDEX(WP!$A$2:$F$23,MATCH(LEFT($B8,FIND("_",$B8)-1),WP!$E$2:$E$23,0),2))),INDEX(WP!$A$2:$F$23,MATCH(Results!$B8,WP!$E$2:$E$23,0),2)),5),(IFERROR(IF(FIND("_",$B8)&gt;0,INDEX(WP!$A$2:$F$23,MATCH(LEFT($B8,FIND("_",$B8)-1),WP!$E$2:$E$23,0),2),IF(FIND("-",$B8)&gt;0,INDEX(WP!$A$2:$F$23,MATCH(LEFT($B8,FIND("_",$B8)-1),WP!$E$2:$E$23,0),2))),INDEX(WP!$A$2:$F$23,MATCH(Results!$B8,WP!$E$2:$E$23,0),2))))&amp;"-"&amp;$I8),"")</f>
        <v/>
      </c>
      <c r="G8" s="17" t="str">
        <f>IF(LEN(_xlfn.IFNA(IF(IFERROR(IF(FIND("_",$B8)&gt;0,MID($B8,FIND("_",$B8)+1,LEN($B8)),IF(FIND("-",$B8)&gt;0,MID($B8,FIND("-",$B8)+1,LEN($B8)))),"")="",IFERROR(VLOOKUP($F8,WP!$B$2:$C$23,2,0),VLOOKUP($C8,Series!$A$3:$F$11,6,0)),IFERROR(VLOOKUP($F8,WP!$B$2:$C$23,2,0),VLOOKUP($C8,Series!$A$3:$F$11,6,0))&amp;" - "&amp;(IFERROR(IF(FIND("_",$B8)&gt;0,MID($B8,FIND("_",$B8)+1,LEN($B8)),IF(FIND("-",$B8)&gt;0,MID($B8,FIND("-",$B8)+1,LEN($B8)))),""))),""))&lt;64,_xlfn.IFNA(IF(IFERROR(IF(FIND("_",$B8)&gt;0,MID($B8,FIND("_",$B8)+1,LEN($B8)),IF(FIND("-",$B8)&gt;0,MID($B8,FIND("-",$B8)+1,LEN($B8)))),"")="",IFERROR(VLOOKUP($F8,WP!$B$2:$C$23,2,0),VLOOKUP($C8,Series!$A$3:$F$11,6,0)),IFERROR(VLOOKUP($F8,WP!$B$2:$C$23,2,0),VLOOKUP($C8,Series!$A$3:$F$11,6,0))&amp;" - "&amp;(IFERROR(IF(FIND("_",$B8)&gt;0,MID($B8,FIND("_",$B8)+1,LEN($B8)),IF(FIND("-",$B8)&gt;0,MID($B8,FIND("-",$B8)+1,LEN($B8)))),""))),""),LEFT((_xlfn.IFNA(IF(IFERROR(IF(FIND("_",$B8)&gt;0,MID($B8,FIND("_",$B8)+1,LEN($B8)),IF(FIND("-",$B8)&gt;0,MID($B8,FIND("-",$B8)+1,LEN($B8)))),"")="",IFERROR(VLOOKUP($F8,WP!$B$2:$C$23,2,0),VLOOKUP($C8,Series!$A$3:$F$11,6,0)),IFERROR(VLOOKUP($F8,WP!$B$2:$C$23,2,0),VLOOKUP($C8,Series!$A$3:$F$11,6,0))&amp;" - "&amp;(IFERROR(IF(FIND("_",$B8)&gt;0,MID($B8,FIND("_",$B8)+1,LEN($B8)),IF(FIND("-",$B8)&gt;0,MID($B8,FIND("-",$B8)+1,LEN($B8)))),""))),"")),64))</f>
        <v/>
      </c>
      <c r="H8" s="12"/>
      <c r="I8" s="12" t="str">
        <f>IF($D8&lt;&gt;"",COUNTIF($D$7:$D8,"="&amp;$D8),"")</f>
        <v/>
      </c>
      <c r="J8"/>
      <c r="K8" s="8"/>
      <c r="L8"/>
    </row>
    <row r="9" spans="1:12" x14ac:dyDescent="0.3">
      <c r="A9" s="1"/>
      <c r="B9" s="26"/>
      <c r="C9" s="12" t="str">
        <f>_xlfn.IFNA(IFERROR(IF(FIND("_",$B9)&gt;0,INDEX(WP!$A$2:$F$23,MATCH(LEFT($B9,FIND("_",$B9)-1),WP!$E$2:$E$23,0),1),IF(FIND("-",$B9)&gt;0,INDEX(WP!$A$2:$F$23,MATCH(LEFT($B9,FIND("_",$B9)-1),WP!$E$2:$E$23,0),1))),INDEX(WP!$A$2:$F$23,MATCH(Results!$B9,WP!$E$2:$E$23,0),1)),"")</f>
        <v/>
      </c>
      <c r="D9" s="12" t="str">
        <f>IFERROR(IFERROR(IF(RIGHT(INDEX(WP!$A$2:$F$23,MATCH(IF(FIND("_",$B9)&gt;0,LEFT($B9,FIND("_",$B9)-1)),WP!$E$2:$E$23,0),2),6)="Series",LEFT(INDEX(WP!$A$2:$F$23,MATCH(IF(FIND("_",$B9)&gt;0,LEFT($B9,FIND("_",$B9)-1)),WP!$E$2:$E$23,0),2),5),""),IF(RIGHT(INDEX(WP!$A$2:$F$23,MATCH($B9,WP!$E$2:$E$23,0),2),6)="Series",LEFT(INDEX(WP!$A$2:$F$23,MATCH($B9,WP!$E$2:$E$23,0),2),5),"")),"")</f>
        <v/>
      </c>
      <c r="E9" s="17" t="str">
        <f>IFERROR(VLOOKUP(VALUE($D9),Series!$B$3:$F$11,2,0),"")</f>
        <v/>
      </c>
      <c r="F9" s="12" t="str">
        <f>_xlfn.IFNA(IF(IF($D9&lt;&gt;"",COUNTIF($E:$E,"="&amp;$D9),"")="",IF(RIGHT(IFERROR(IF(FIND("_",$B9)&gt;0,INDEX(WP!$A$2:$F$23,MATCH(LEFT($B9,FIND("_",$B9)-1),WP!$E$2:$E$23,0),2),IF(FIND("-",$B9)&gt;0,INDEX(WP!$A$2:$F$23,MATCH(LEFT($B9,FIND("_",$B9)-1),WP!$E$2:$E$23,0),2))),INDEX(WP!$A$2:$F$23,MATCH(Results!$B9,WP!$E$2:$E$23,0),2)),6)="Series",LEFT(IFERROR(IF(FIND("_",$B9)&gt;0,INDEX(WP!$A$2:$F$23,MATCH(LEFT($B9,FIND("_",$B9)-1),WP!$E$2:$E$23,0),2),IF(FIND("-",$B9)&gt;0,INDEX(WP!$A$2:$F$23,MATCH(LEFT($B9,FIND("_",$B9)-1),WP!$E$2:$E$23,0),2))),INDEX(WP!$A$2:$F$23,MATCH(Results!$B9,WP!$E$2:$E$23,0),2)),5),(IFERROR(IF(FIND("_",$B9)&gt;0,INDEX(WP!$A$2:$F$23,MATCH(LEFT($B9,FIND("_",$B9)-1),WP!$E$2:$E$23,0),2),IF(FIND("-",$B9)&gt;0,INDEX(WP!$A$2:$F$23,MATCH(LEFT($B9,FIND("_",$B9)-1),WP!$E$2:$E$23,0),2))),INDEX(WP!$A$2:$F$23,MATCH(Results!$B9,WP!$E$2:$E$23,0),2)))),IF(RIGHT(IFERROR(IF(FIND("_",$B9)&gt;0,INDEX(WP!$A$2:$F$23,MATCH(LEFT($B9,FIND("_",$B9)-1),WP!$E$2:$E$23,0),2),IF(FIND("-",$B9)&gt;0,INDEX(WP!$A$2:$F$23,MATCH(LEFT($B9,FIND("_",$B9)-1),WP!$E$2:$E$23,0),2))),INDEX(WP!$A$2:$F$23,MATCH(Results!$B9,WP!$E$2:$E$23,0),2)),6)="Series",LEFT(IFERROR(IF(FIND("_",$B9)&gt;0,INDEX(WP!$A$2:$F$23,MATCH(LEFT($B9,FIND("_",$B9)-1),WP!$E$2:$E$23,0),2),IF(FIND("-",$B9)&gt;0,INDEX(WP!$A$2:$F$23,MATCH(LEFT($B9,FIND("_",$B9)-1),WP!$E$2:$E$23,0),2))),INDEX(WP!$A$2:$F$23,MATCH(Results!$B9,WP!$E$2:$E$23,0),2)),5),(IFERROR(IF(FIND("_",$B9)&gt;0,INDEX(WP!$A$2:$F$23,MATCH(LEFT($B9,FIND("_",$B9)-1),WP!$E$2:$E$23,0),2),IF(FIND("-",$B9)&gt;0,INDEX(WP!$A$2:$F$23,MATCH(LEFT($B9,FIND("_",$B9)-1),WP!$E$2:$E$23,0),2))),INDEX(WP!$A$2:$F$23,MATCH(Results!$B9,WP!$E$2:$E$23,0),2))))&amp;"-"&amp;$I9),"")</f>
        <v/>
      </c>
      <c r="G9" s="17" t="str">
        <f>IF(LEN(_xlfn.IFNA(IF(IFERROR(IF(FIND("_",$B9)&gt;0,MID($B9,FIND("_",$B9)+1,LEN($B9)),IF(FIND("-",$B9)&gt;0,MID($B9,FIND("-",$B9)+1,LEN($B9)))),"")="",IFERROR(VLOOKUP($F9,WP!$B$2:$C$23,2,0),VLOOKUP($C9,Series!$A$3:$F$11,6,0)),IFERROR(VLOOKUP($F9,WP!$B$2:$C$23,2,0),VLOOKUP($C9,Series!$A$3:$F$11,6,0))&amp;" - "&amp;(IFERROR(IF(FIND("_",$B9)&gt;0,MID($B9,FIND("_",$B9)+1,LEN($B9)),IF(FIND("-",$B9)&gt;0,MID($B9,FIND("-",$B9)+1,LEN($B9)))),""))),""))&lt;64,_xlfn.IFNA(IF(IFERROR(IF(FIND("_",$B9)&gt;0,MID($B9,FIND("_",$B9)+1,LEN($B9)),IF(FIND("-",$B9)&gt;0,MID($B9,FIND("-",$B9)+1,LEN($B9)))),"")="",IFERROR(VLOOKUP($F9,WP!$B$2:$C$23,2,0),VLOOKUP($C9,Series!$A$3:$F$11,6,0)),IFERROR(VLOOKUP($F9,WP!$B$2:$C$23,2,0),VLOOKUP($C9,Series!$A$3:$F$11,6,0))&amp;" - "&amp;(IFERROR(IF(FIND("_",$B9)&gt;0,MID($B9,FIND("_",$B9)+1,LEN($B9)),IF(FIND("-",$B9)&gt;0,MID($B9,FIND("-",$B9)+1,LEN($B9)))),""))),""),LEFT((_xlfn.IFNA(IF(IFERROR(IF(FIND("_",$B9)&gt;0,MID($B9,FIND("_",$B9)+1,LEN($B9)),IF(FIND("-",$B9)&gt;0,MID($B9,FIND("-",$B9)+1,LEN($B9)))),"")="",IFERROR(VLOOKUP($F9,WP!$B$2:$C$23,2,0),VLOOKUP($C9,Series!$A$3:$F$11,6,0)),IFERROR(VLOOKUP($F9,WP!$B$2:$C$23,2,0),VLOOKUP($C9,Series!$A$3:$F$11,6,0))&amp;" - "&amp;(IFERROR(IF(FIND("_",$B9)&gt;0,MID($B9,FIND("_",$B9)+1,LEN($B9)),IF(FIND("-",$B9)&gt;0,MID($B9,FIND("-",$B9)+1,LEN($B9)))),""))),"")),64))</f>
        <v/>
      </c>
      <c r="H9" s="12"/>
      <c r="I9" s="12" t="str">
        <f>IF($D9&lt;&gt;"",COUNTIF($D$7:$D9,"="&amp;$D9),"")</f>
        <v/>
      </c>
      <c r="J9"/>
      <c r="K9" s="8"/>
      <c r="L9"/>
    </row>
    <row r="10" spans="1:12" x14ac:dyDescent="0.3">
      <c r="A10" s="1"/>
      <c r="B10" s="26"/>
      <c r="C10" s="12" t="str">
        <f>_xlfn.IFNA(IFERROR(IF(FIND("_",$B10)&gt;0,INDEX(WP!$A$2:$F$23,MATCH(LEFT($B10,FIND("_",$B10)-1),WP!$E$2:$E$23,0),1),IF(FIND("-",$B10)&gt;0,INDEX(WP!$A$2:$F$23,MATCH(LEFT($B10,FIND("_",$B10)-1),WP!$E$2:$E$23,0),1))),INDEX(WP!$A$2:$F$23,MATCH(Results!$B10,WP!$E$2:$E$23,0),1)),"")</f>
        <v/>
      </c>
      <c r="D10" s="12" t="str">
        <f>IFERROR(IFERROR(IF(RIGHT(INDEX(WP!$A$2:$F$23,MATCH(IF(FIND("_",$B10)&gt;0,LEFT($B10,FIND("_",$B10)-1)),WP!$E$2:$E$23,0),2),6)="Series",LEFT(INDEX(WP!$A$2:$F$23,MATCH(IF(FIND("_",$B10)&gt;0,LEFT($B10,FIND("_",$B10)-1)),WP!$E$2:$E$23,0),2),5),""),IF(RIGHT(INDEX(WP!$A$2:$F$23,MATCH($B10,WP!$E$2:$E$23,0),2),6)="Series",LEFT(INDEX(WP!$A$2:$F$23,MATCH($B10,WP!$E$2:$E$23,0),2),5),"")),"")</f>
        <v/>
      </c>
      <c r="E10" s="17" t="str">
        <f>IFERROR(VLOOKUP(VALUE($D10),Series!$B$3:$F$11,2,0),"")</f>
        <v/>
      </c>
      <c r="F10" s="12" t="str">
        <f>_xlfn.IFNA(IF(IF($D10&lt;&gt;"",COUNTIF($E:$E,"="&amp;$D10),"")="",IF(RIGHT(IFERROR(IF(FIND("_",$B10)&gt;0,INDEX(WP!$A$2:$F$23,MATCH(LEFT($B10,FIND("_",$B10)-1),WP!$E$2:$E$23,0),2),IF(FIND("-",$B10)&gt;0,INDEX(WP!$A$2:$F$23,MATCH(LEFT($B10,FIND("_",$B10)-1),WP!$E$2:$E$23,0),2))),INDEX(WP!$A$2:$F$23,MATCH(Results!$B10,WP!$E$2:$E$23,0),2)),6)="Series",LEFT(IFERROR(IF(FIND("_",$B10)&gt;0,INDEX(WP!$A$2:$F$23,MATCH(LEFT($B10,FIND("_",$B10)-1),WP!$E$2:$E$23,0),2),IF(FIND("-",$B10)&gt;0,INDEX(WP!$A$2:$F$23,MATCH(LEFT($B10,FIND("_",$B10)-1),WP!$E$2:$E$23,0),2))),INDEX(WP!$A$2:$F$23,MATCH(Results!$B10,WP!$E$2:$E$23,0),2)),5),(IFERROR(IF(FIND("_",$B10)&gt;0,INDEX(WP!$A$2:$F$23,MATCH(LEFT($B10,FIND("_",$B10)-1),WP!$E$2:$E$23,0),2),IF(FIND("-",$B10)&gt;0,INDEX(WP!$A$2:$F$23,MATCH(LEFT($B10,FIND("_",$B10)-1),WP!$E$2:$E$23,0),2))),INDEX(WP!$A$2:$F$23,MATCH(Results!$B10,WP!$E$2:$E$23,0),2)))),IF(RIGHT(IFERROR(IF(FIND("_",$B10)&gt;0,INDEX(WP!$A$2:$F$23,MATCH(LEFT($B10,FIND("_",$B10)-1),WP!$E$2:$E$23,0),2),IF(FIND("-",$B10)&gt;0,INDEX(WP!$A$2:$F$23,MATCH(LEFT($B10,FIND("_",$B10)-1),WP!$E$2:$E$23,0),2))),INDEX(WP!$A$2:$F$23,MATCH(Results!$B10,WP!$E$2:$E$23,0),2)),6)="Series",LEFT(IFERROR(IF(FIND("_",$B10)&gt;0,INDEX(WP!$A$2:$F$23,MATCH(LEFT($B10,FIND("_",$B10)-1),WP!$E$2:$E$23,0),2),IF(FIND("-",$B10)&gt;0,INDEX(WP!$A$2:$F$23,MATCH(LEFT($B10,FIND("_",$B10)-1),WP!$E$2:$E$23,0),2))),INDEX(WP!$A$2:$F$23,MATCH(Results!$B10,WP!$E$2:$E$23,0),2)),5),(IFERROR(IF(FIND("_",$B10)&gt;0,INDEX(WP!$A$2:$F$23,MATCH(LEFT($B10,FIND("_",$B10)-1),WP!$E$2:$E$23,0),2),IF(FIND("-",$B10)&gt;0,INDEX(WP!$A$2:$F$23,MATCH(LEFT($B10,FIND("_",$B10)-1),WP!$E$2:$E$23,0),2))),INDEX(WP!$A$2:$F$23,MATCH(Results!$B10,WP!$E$2:$E$23,0),2))))&amp;"-"&amp;$I10),"")</f>
        <v/>
      </c>
      <c r="G10" s="17" t="str">
        <f>IF(LEN(_xlfn.IFNA(IF(IFERROR(IF(FIND("_",$B10)&gt;0,MID($B10,FIND("_",$B10)+1,LEN($B10)),IF(FIND("-",$B10)&gt;0,MID($B10,FIND("-",$B10)+1,LEN($B10)))),"")="",IFERROR(VLOOKUP($F10,WP!$B$2:$C$23,2,0),VLOOKUP($C10,Series!$A$3:$F$11,6,0)),IFERROR(VLOOKUP($F10,WP!$B$2:$C$23,2,0),VLOOKUP($C10,Series!$A$3:$F$11,6,0))&amp;" - "&amp;(IFERROR(IF(FIND("_",$B10)&gt;0,MID($B10,FIND("_",$B10)+1,LEN($B10)),IF(FIND("-",$B10)&gt;0,MID($B10,FIND("-",$B10)+1,LEN($B10)))),""))),""))&lt;64,_xlfn.IFNA(IF(IFERROR(IF(FIND("_",$B10)&gt;0,MID($B10,FIND("_",$B10)+1,LEN($B10)),IF(FIND("-",$B10)&gt;0,MID($B10,FIND("-",$B10)+1,LEN($B10)))),"")="",IFERROR(VLOOKUP($F10,WP!$B$2:$C$23,2,0),VLOOKUP($C10,Series!$A$3:$F$11,6,0)),IFERROR(VLOOKUP($F10,WP!$B$2:$C$23,2,0),VLOOKUP($C10,Series!$A$3:$F$11,6,0))&amp;" - "&amp;(IFERROR(IF(FIND("_",$B10)&gt;0,MID($B10,FIND("_",$B10)+1,LEN($B10)),IF(FIND("-",$B10)&gt;0,MID($B10,FIND("-",$B10)+1,LEN($B10)))),""))),""),LEFT((_xlfn.IFNA(IF(IFERROR(IF(FIND("_",$B10)&gt;0,MID($B10,FIND("_",$B10)+1,LEN($B10)),IF(FIND("-",$B10)&gt;0,MID($B10,FIND("-",$B10)+1,LEN($B10)))),"")="",IFERROR(VLOOKUP($F10,WP!$B$2:$C$23,2,0),VLOOKUP($C10,Series!$A$3:$F$11,6,0)),IFERROR(VLOOKUP($F10,WP!$B$2:$C$23,2,0),VLOOKUP($C10,Series!$A$3:$F$11,6,0))&amp;" - "&amp;(IFERROR(IF(FIND("_",$B10)&gt;0,MID($B10,FIND("_",$B10)+1,LEN($B10)),IF(FIND("-",$B10)&gt;0,MID($B10,FIND("-",$B10)+1,LEN($B10)))),""))),"")),64))</f>
        <v/>
      </c>
      <c r="H10" s="12"/>
      <c r="I10" s="12" t="str">
        <f>IF($D10&lt;&gt;"",COUNTIF($D$7:$D10,"="&amp;$D10),"")</f>
        <v/>
      </c>
      <c r="J10"/>
      <c r="K10" s="8"/>
      <c r="L10"/>
    </row>
    <row r="11" spans="1:12" x14ac:dyDescent="0.3">
      <c r="A11" s="1"/>
      <c r="B11" s="26"/>
      <c r="C11" s="12" t="str">
        <f>_xlfn.IFNA(IFERROR(IF(FIND("_",$B11)&gt;0,INDEX(WP!$A$2:$F$23,MATCH(LEFT($B11,FIND("_",$B11)-1),WP!$E$2:$E$23,0),1),IF(FIND("-",$B11)&gt;0,INDEX(WP!$A$2:$F$23,MATCH(LEFT($B11,FIND("_",$B11)-1),WP!$E$2:$E$23,0),1))),INDEX(WP!$A$2:$F$23,MATCH(Results!$B11,WP!$E$2:$E$23,0),1)),"")</f>
        <v/>
      </c>
      <c r="D11" s="12" t="str">
        <f>IFERROR(IFERROR(IF(RIGHT(INDEX(WP!$A$2:$F$23,MATCH(IF(FIND("_",$B11)&gt;0,LEFT($B11,FIND("_",$B11)-1)),WP!$E$2:$E$23,0),2),6)="Series",LEFT(INDEX(WP!$A$2:$F$23,MATCH(IF(FIND("_",$B11)&gt;0,LEFT($B11,FIND("_",$B11)-1)),WP!$E$2:$E$23,0),2),5),""),IF(RIGHT(INDEX(WP!$A$2:$F$23,MATCH($B11,WP!$E$2:$E$23,0),2),6)="Series",LEFT(INDEX(WP!$A$2:$F$23,MATCH($B11,WP!$E$2:$E$23,0),2),5),"")),"")</f>
        <v/>
      </c>
      <c r="E11" s="17" t="str">
        <f>IFERROR(VLOOKUP(VALUE($D11),Series!$B$3:$F$11,2,0),"")</f>
        <v/>
      </c>
      <c r="F11" s="12" t="str">
        <f>_xlfn.IFNA(IF(IF($D11&lt;&gt;"",COUNTIF($E:$E,"="&amp;$D11),"")="",IF(RIGHT(IFERROR(IF(FIND("_",$B11)&gt;0,INDEX(WP!$A$2:$F$23,MATCH(LEFT($B11,FIND("_",$B11)-1),WP!$E$2:$E$23,0),2),IF(FIND("-",$B11)&gt;0,INDEX(WP!$A$2:$F$23,MATCH(LEFT($B11,FIND("_",$B11)-1),WP!$E$2:$E$23,0),2))),INDEX(WP!$A$2:$F$23,MATCH(Results!$B11,WP!$E$2:$E$23,0),2)),6)="Series",LEFT(IFERROR(IF(FIND("_",$B11)&gt;0,INDEX(WP!$A$2:$F$23,MATCH(LEFT($B11,FIND("_",$B11)-1),WP!$E$2:$E$23,0),2),IF(FIND("-",$B11)&gt;0,INDEX(WP!$A$2:$F$23,MATCH(LEFT($B11,FIND("_",$B11)-1),WP!$E$2:$E$23,0),2))),INDEX(WP!$A$2:$F$23,MATCH(Results!$B11,WP!$E$2:$E$23,0),2)),5),(IFERROR(IF(FIND("_",$B11)&gt;0,INDEX(WP!$A$2:$F$23,MATCH(LEFT($B11,FIND("_",$B11)-1),WP!$E$2:$E$23,0),2),IF(FIND("-",$B11)&gt;0,INDEX(WP!$A$2:$F$23,MATCH(LEFT($B11,FIND("_",$B11)-1),WP!$E$2:$E$23,0),2))),INDEX(WP!$A$2:$F$23,MATCH(Results!$B11,WP!$E$2:$E$23,0),2)))),IF(RIGHT(IFERROR(IF(FIND("_",$B11)&gt;0,INDEX(WP!$A$2:$F$23,MATCH(LEFT($B11,FIND("_",$B11)-1),WP!$E$2:$E$23,0),2),IF(FIND("-",$B11)&gt;0,INDEX(WP!$A$2:$F$23,MATCH(LEFT($B11,FIND("_",$B11)-1),WP!$E$2:$E$23,0),2))),INDEX(WP!$A$2:$F$23,MATCH(Results!$B11,WP!$E$2:$E$23,0),2)),6)="Series",LEFT(IFERROR(IF(FIND("_",$B11)&gt;0,INDEX(WP!$A$2:$F$23,MATCH(LEFT($B11,FIND("_",$B11)-1),WP!$E$2:$E$23,0),2),IF(FIND("-",$B11)&gt;0,INDEX(WP!$A$2:$F$23,MATCH(LEFT($B11,FIND("_",$B11)-1),WP!$E$2:$E$23,0),2))),INDEX(WP!$A$2:$F$23,MATCH(Results!$B11,WP!$E$2:$E$23,0),2)),5),(IFERROR(IF(FIND("_",$B11)&gt;0,INDEX(WP!$A$2:$F$23,MATCH(LEFT($B11,FIND("_",$B11)-1),WP!$E$2:$E$23,0),2),IF(FIND("-",$B11)&gt;0,INDEX(WP!$A$2:$F$23,MATCH(LEFT($B11,FIND("_",$B11)-1),WP!$E$2:$E$23,0),2))),INDEX(WP!$A$2:$F$23,MATCH(Results!$B11,WP!$E$2:$E$23,0),2))))&amp;"-"&amp;$I11),"")</f>
        <v/>
      </c>
      <c r="G11" s="17" t="str">
        <f>IF(LEN(_xlfn.IFNA(IF(IFERROR(IF(FIND("_",$B11)&gt;0,MID($B11,FIND("_",$B11)+1,LEN($B11)),IF(FIND("-",$B11)&gt;0,MID($B11,FIND("-",$B11)+1,LEN($B11)))),"")="",IFERROR(VLOOKUP($F11,WP!$B$2:$C$23,2,0),VLOOKUP($C11,Series!$A$3:$F$11,6,0)),IFERROR(VLOOKUP($F11,WP!$B$2:$C$23,2,0),VLOOKUP($C11,Series!$A$3:$F$11,6,0))&amp;" - "&amp;(IFERROR(IF(FIND("_",$B11)&gt;0,MID($B11,FIND("_",$B11)+1,LEN($B11)),IF(FIND("-",$B11)&gt;0,MID($B11,FIND("-",$B11)+1,LEN($B11)))),""))),""))&lt;64,_xlfn.IFNA(IF(IFERROR(IF(FIND("_",$B11)&gt;0,MID($B11,FIND("_",$B11)+1,LEN($B11)),IF(FIND("-",$B11)&gt;0,MID($B11,FIND("-",$B11)+1,LEN($B11)))),"")="",IFERROR(VLOOKUP($F11,WP!$B$2:$C$23,2,0),VLOOKUP($C11,Series!$A$3:$F$11,6,0)),IFERROR(VLOOKUP($F11,WP!$B$2:$C$23,2,0),VLOOKUP($C11,Series!$A$3:$F$11,6,0))&amp;" - "&amp;(IFERROR(IF(FIND("_",$B11)&gt;0,MID($B11,FIND("_",$B11)+1,LEN($B11)),IF(FIND("-",$B11)&gt;0,MID($B11,FIND("-",$B11)+1,LEN($B11)))),""))),""),LEFT((_xlfn.IFNA(IF(IFERROR(IF(FIND("_",$B11)&gt;0,MID($B11,FIND("_",$B11)+1,LEN($B11)),IF(FIND("-",$B11)&gt;0,MID($B11,FIND("-",$B11)+1,LEN($B11)))),"")="",IFERROR(VLOOKUP($F11,WP!$B$2:$C$23,2,0),VLOOKUP($C11,Series!$A$3:$F$11,6,0)),IFERROR(VLOOKUP($F11,WP!$B$2:$C$23,2,0),VLOOKUP($C11,Series!$A$3:$F$11,6,0))&amp;" - "&amp;(IFERROR(IF(FIND("_",$B11)&gt;0,MID($B11,FIND("_",$B11)+1,LEN($B11)),IF(FIND("-",$B11)&gt;0,MID($B11,FIND("-",$B11)+1,LEN($B11)))),""))),"")),64))</f>
        <v/>
      </c>
      <c r="H11" s="12"/>
      <c r="I11" s="12" t="str">
        <f>IF($D11&lt;&gt;"",COUNTIF($D$7:$D11,"="&amp;$D11),"")</f>
        <v/>
      </c>
      <c r="J11"/>
      <c r="K11" s="8"/>
      <c r="L11"/>
    </row>
    <row r="12" spans="1:12" x14ac:dyDescent="0.3">
      <c r="A12" s="1"/>
      <c r="B12" s="26"/>
      <c r="C12" s="12" t="str">
        <f>_xlfn.IFNA(IFERROR(IF(FIND("_",$B12)&gt;0,INDEX(WP!$A$2:$F$23,MATCH(LEFT($B12,FIND("_",$B12)-1),WP!$E$2:$E$23,0),1),IF(FIND("-",$B12)&gt;0,INDEX(WP!$A$2:$F$23,MATCH(LEFT($B12,FIND("_",$B12)-1),WP!$E$2:$E$23,0),1))),INDEX(WP!$A$2:$F$23,MATCH(Results!$B12,WP!$E$2:$E$23,0),1)),"")</f>
        <v/>
      </c>
      <c r="D12" s="12" t="str">
        <f>IFERROR(IFERROR(IF(RIGHT(INDEX(WP!$A$2:$F$23,MATCH(IF(FIND("_",$B12)&gt;0,LEFT($B12,FIND("_",$B12)-1)),WP!$E$2:$E$23,0),2),6)="Series",LEFT(INDEX(WP!$A$2:$F$23,MATCH(IF(FIND("_",$B12)&gt;0,LEFT($B12,FIND("_",$B12)-1)),WP!$E$2:$E$23,0),2),5),""),IF(RIGHT(INDEX(WP!$A$2:$F$23,MATCH($B12,WP!$E$2:$E$23,0),2),6)="Series",LEFT(INDEX(WP!$A$2:$F$23,MATCH($B12,WP!$E$2:$E$23,0),2),5),"")),"")</f>
        <v/>
      </c>
      <c r="E12" s="17" t="str">
        <f>IFERROR(VLOOKUP(VALUE($D12),Series!$B$3:$F$11,2,0),"")</f>
        <v/>
      </c>
      <c r="F12" s="12" t="str">
        <f>_xlfn.IFNA(IF(IF($D12&lt;&gt;"",COUNTIF($E:$E,"="&amp;$D12),"")="",IF(RIGHT(IFERROR(IF(FIND("_",$B12)&gt;0,INDEX(WP!$A$2:$F$23,MATCH(LEFT($B12,FIND("_",$B12)-1),WP!$E$2:$E$23,0),2),IF(FIND("-",$B12)&gt;0,INDEX(WP!$A$2:$F$23,MATCH(LEFT($B12,FIND("_",$B12)-1),WP!$E$2:$E$23,0),2))),INDEX(WP!$A$2:$F$23,MATCH(Results!$B12,WP!$E$2:$E$23,0),2)),6)="Series",LEFT(IFERROR(IF(FIND("_",$B12)&gt;0,INDEX(WP!$A$2:$F$23,MATCH(LEFT($B12,FIND("_",$B12)-1),WP!$E$2:$E$23,0),2),IF(FIND("-",$B12)&gt;0,INDEX(WP!$A$2:$F$23,MATCH(LEFT($B12,FIND("_",$B12)-1),WP!$E$2:$E$23,0),2))),INDEX(WP!$A$2:$F$23,MATCH(Results!$B12,WP!$E$2:$E$23,0),2)),5),(IFERROR(IF(FIND("_",$B12)&gt;0,INDEX(WP!$A$2:$F$23,MATCH(LEFT($B12,FIND("_",$B12)-1),WP!$E$2:$E$23,0),2),IF(FIND("-",$B12)&gt;0,INDEX(WP!$A$2:$F$23,MATCH(LEFT($B12,FIND("_",$B12)-1),WP!$E$2:$E$23,0),2))),INDEX(WP!$A$2:$F$23,MATCH(Results!$B12,WP!$E$2:$E$23,0),2)))),IF(RIGHT(IFERROR(IF(FIND("_",$B12)&gt;0,INDEX(WP!$A$2:$F$23,MATCH(LEFT($B12,FIND("_",$B12)-1),WP!$E$2:$E$23,0),2),IF(FIND("-",$B12)&gt;0,INDEX(WP!$A$2:$F$23,MATCH(LEFT($B12,FIND("_",$B12)-1),WP!$E$2:$E$23,0),2))),INDEX(WP!$A$2:$F$23,MATCH(Results!$B12,WP!$E$2:$E$23,0),2)),6)="Series",LEFT(IFERROR(IF(FIND("_",$B12)&gt;0,INDEX(WP!$A$2:$F$23,MATCH(LEFT($B12,FIND("_",$B12)-1),WP!$E$2:$E$23,0),2),IF(FIND("-",$B12)&gt;0,INDEX(WP!$A$2:$F$23,MATCH(LEFT($B12,FIND("_",$B12)-1),WP!$E$2:$E$23,0),2))),INDEX(WP!$A$2:$F$23,MATCH(Results!$B12,WP!$E$2:$E$23,0),2)),5),(IFERROR(IF(FIND("_",$B12)&gt;0,INDEX(WP!$A$2:$F$23,MATCH(LEFT($B12,FIND("_",$B12)-1),WP!$E$2:$E$23,0),2),IF(FIND("-",$B12)&gt;0,INDEX(WP!$A$2:$F$23,MATCH(LEFT($B12,FIND("_",$B12)-1),WP!$E$2:$E$23,0),2))),INDEX(WP!$A$2:$F$23,MATCH(Results!$B12,WP!$E$2:$E$23,0),2))))&amp;"-"&amp;$I12),"")</f>
        <v/>
      </c>
      <c r="G12" s="17" t="str">
        <f>IF(LEN(_xlfn.IFNA(IF(IFERROR(IF(FIND("_",$B12)&gt;0,MID($B12,FIND("_",$B12)+1,LEN($B12)),IF(FIND("-",$B12)&gt;0,MID($B12,FIND("-",$B12)+1,LEN($B12)))),"")="",IFERROR(VLOOKUP($F12,WP!$B$2:$C$23,2,0),VLOOKUP($C12,Series!$A$3:$F$11,6,0)),IFERROR(VLOOKUP($F12,WP!$B$2:$C$23,2,0),VLOOKUP($C12,Series!$A$3:$F$11,6,0))&amp;" - "&amp;(IFERROR(IF(FIND("_",$B12)&gt;0,MID($B12,FIND("_",$B12)+1,LEN($B12)),IF(FIND("-",$B12)&gt;0,MID($B12,FIND("-",$B12)+1,LEN($B12)))),""))),""))&lt;64,_xlfn.IFNA(IF(IFERROR(IF(FIND("_",$B12)&gt;0,MID($B12,FIND("_",$B12)+1,LEN($B12)),IF(FIND("-",$B12)&gt;0,MID($B12,FIND("-",$B12)+1,LEN($B12)))),"")="",IFERROR(VLOOKUP($F12,WP!$B$2:$C$23,2,0),VLOOKUP($C12,Series!$A$3:$F$11,6,0)),IFERROR(VLOOKUP($F12,WP!$B$2:$C$23,2,0),VLOOKUP($C12,Series!$A$3:$F$11,6,0))&amp;" - "&amp;(IFERROR(IF(FIND("_",$B12)&gt;0,MID($B12,FIND("_",$B12)+1,LEN($B12)),IF(FIND("-",$B12)&gt;0,MID($B12,FIND("-",$B12)+1,LEN($B12)))),""))),""),LEFT((_xlfn.IFNA(IF(IFERROR(IF(FIND("_",$B12)&gt;0,MID($B12,FIND("_",$B12)+1,LEN($B12)),IF(FIND("-",$B12)&gt;0,MID($B12,FIND("-",$B12)+1,LEN($B12)))),"")="",IFERROR(VLOOKUP($F12,WP!$B$2:$C$23,2,0),VLOOKUP($C12,Series!$A$3:$F$11,6,0)),IFERROR(VLOOKUP($F12,WP!$B$2:$C$23,2,0),VLOOKUP($C12,Series!$A$3:$F$11,6,0))&amp;" - "&amp;(IFERROR(IF(FIND("_",$B12)&gt;0,MID($B12,FIND("_",$B12)+1,LEN($B12)),IF(FIND("-",$B12)&gt;0,MID($B12,FIND("-",$B12)+1,LEN($B12)))),""))),"")),64))</f>
        <v/>
      </c>
      <c r="H12" s="12"/>
      <c r="I12" s="12" t="str">
        <f>IF($D12&lt;&gt;"",COUNTIF($D$7:$D12,"="&amp;$D12),"")</f>
        <v/>
      </c>
      <c r="J12"/>
      <c r="K12" s="8"/>
      <c r="L12"/>
    </row>
    <row r="13" spans="1:12" x14ac:dyDescent="0.3">
      <c r="A13" s="1"/>
      <c r="B13" s="26"/>
      <c r="C13" s="12" t="str">
        <f>_xlfn.IFNA(IFERROR(IF(FIND("_",$B13)&gt;0,INDEX(WP!$A$2:$F$23,MATCH(LEFT($B13,FIND("_",$B13)-1),WP!$E$2:$E$23,0),1),IF(FIND("-",$B13)&gt;0,INDEX(WP!$A$2:$F$23,MATCH(LEFT($B13,FIND("_",$B13)-1),WP!$E$2:$E$23,0),1))),INDEX(WP!$A$2:$F$23,MATCH(Results!$B13,WP!$E$2:$E$23,0),1)),"")</f>
        <v/>
      </c>
      <c r="D13" s="12" t="str">
        <f>IFERROR(IFERROR(IF(RIGHT(INDEX(WP!$A$2:$F$23,MATCH(IF(FIND("_",$B13)&gt;0,LEFT($B13,FIND("_",$B13)-1)),WP!$E$2:$E$23,0),2),6)="Series",LEFT(INDEX(WP!$A$2:$F$23,MATCH(IF(FIND("_",$B13)&gt;0,LEFT($B13,FIND("_",$B13)-1)),WP!$E$2:$E$23,0),2),5),""),IF(RIGHT(INDEX(WP!$A$2:$F$23,MATCH($B13,WP!$E$2:$E$23,0),2),6)="Series",LEFT(INDEX(WP!$A$2:$F$23,MATCH($B13,WP!$E$2:$E$23,0),2),5),"")),"")</f>
        <v/>
      </c>
      <c r="E13" s="17" t="str">
        <f>IFERROR(VLOOKUP(VALUE($D13),Series!$B$3:$F$11,2,0),"")</f>
        <v/>
      </c>
      <c r="F13" s="12" t="str">
        <f>_xlfn.IFNA(IF(IF($D13&lt;&gt;"",COUNTIF($E:$E,"="&amp;$D13),"")="",IF(RIGHT(IFERROR(IF(FIND("_",$B13)&gt;0,INDEX(WP!$A$2:$F$23,MATCH(LEFT($B13,FIND("_",$B13)-1),WP!$E$2:$E$23,0),2),IF(FIND("-",$B13)&gt;0,INDEX(WP!$A$2:$F$23,MATCH(LEFT($B13,FIND("_",$B13)-1),WP!$E$2:$E$23,0),2))),INDEX(WP!$A$2:$F$23,MATCH(Results!$B13,WP!$E$2:$E$23,0),2)),6)="Series",LEFT(IFERROR(IF(FIND("_",$B13)&gt;0,INDEX(WP!$A$2:$F$23,MATCH(LEFT($B13,FIND("_",$B13)-1),WP!$E$2:$E$23,0),2),IF(FIND("-",$B13)&gt;0,INDEX(WP!$A$2:$F$23,MATCH(LEFT($B13,FIND("_",$B13)-1),WP!$E$2:$E$23,0),2))),INDEX(WP!$A$2:$F$23,MATCH(Results!$B13,WP!$E$2:$E$23,0),2)),5),(IFERROR(IF(FIND("_",$B13)&gt;0,INDEX(WP!$A$2:$F$23,MATCH(LEFT($B13,FIND("_",$B13)-1),WP!$E$2:$E$23,0),2),IF(FIND("-",$B13)&gt;0,INDEX(WP!$A$2:$F$23,MATCH(LEFT($B13,FIND("_",$B13)-1),WP!$E$2:$E$23,0),2))),INDEX(WP!$A$2:$F$23,MATCH(Results!$B13,WP!$E$2:$E$23,0),2)))),IF(RIGHT(IFERROR(IF(FIND("_",$B13)&gt;0,INDEX(WP!$A$2:$F$23,MATCH(LEFT($B13,FIND("_",$B13)-1),WP!$E$2:$E$23,0),2),IF(FIND("-",$B13)&gt;0,INDEX(WP!$A$2:$F$23,MATCH(LEFT($B13,FIND("_",$B13)-1),WP!$E$2:$E$23,0),2))),INDEX(WP!$A$2:$F$23,MATCH(Results!$B13,WP!$E$2:$E$23,0),2)),6)="Series",LEFT(IFERROR(IF(FIND("_",$B13)&gt;0,INDEX(WP!$A$2:$F$23,MATCH(LEFT($B13,FIND("_",$B13)-1),WP!$E$2:$E$23,0),2),IF(FIND("-",$B13)&gt;0,INDEX(WP!$A$2:$F$23,MATCH(LEFT($B13,FIND("_",$B13)-1),WP!$E$2:$E$23,0),2))),INDEX(WP!$A$2:$F$23,MATCH(Results!$B13,WP!$E$2:$E$23,0),2)),5),(IFERROR(IF(FIND("_",$B13)&gt;0,INDEX(WP!$A$2:$F$23,MATCH(LEFT($B13,FIND("_",$B13)-1),WP!$E$2:$E$23,0),2),IF(FIND("-",$B13)&gt;0,INDEX(WP!$A$2:$F$23,MATCH(LEFT($B13,FIND("_",$B13)-1),WP!$E$2:$E$23,0),2))),INDEX(WP!$A$2:$F$23,MATCH(Results!$B13,WP!$E$2:$E$23,0),2))))&amp;"-"&amp;$I13),"")</f>
        <v/>
      </c>
      <c r="G13" s="17" t="str">
        <f>IF(LEN(_xlfn.IFNA(IF(IFERROR(IF(FIND("_",$B13)&gt;0,MID($B13,FIND("_",$B13)+1,LEN($B13)),IF(FIND("-",$B13)&gt;0,MID($B13,FIND("-",$B13)+1,LEN($B13)))),"")="",IFERROR(VLOOKUP($F13,WP!$B$2:$C$23,2,0),VLOOKUP($C13,Series!$A$3:$F$11,6,0)),IFERROR(VLOOKUP($F13,WP!$B$2:$C$23,2,0),VLOOKUP($C13,Series!$A$3:$F$11,6,0))&amp;" - "&amp;(IFERROR(IF(FIND("_",$B13)&gt;0,MID($B13,FIND("_",$B13)+1,LEN($B13)),IF(FIND("-",$B13)&gt;0,MID($B13,FIND("-",$B13)+1,LEN($B13)))),""))),""))&lt;64,_xlfn.IFNA(IF(IFERROR(IF(FIND("_",$B13)&gt;0,MID($B13,FIND("_",$B13)+1,LEN($B13)),IF(FIND("-",$B13)&gt;0,MID($B13,FIND("-",$B13)+1,LEN($B13)))),"")="",IFERROR(VLOOKUP($F13,WP!$B$2:$C$23,2,0),VLOOKUP($C13,Series!$A$3:$F$11,6,0)),IFERROR(VLOOKUP($F13,WP!$B$2:$C$23,2,0),VLOOKUP($C13,Series!$A$3:$F$11,6,0))&amp;" - "&amp;(IFERROR(IF(FIND("_",$B13)&gt;0,MID($B13,FIND("_",$B13)+1,LEN($B13)),IF(FIND("-",$B13)&gt;0,MID($B13,FIND("-",$B13)+1,LEN($B13)))),""))),""),LEFT((_xlfn.IFNA(IF(IFERROR(IF(FIND("_",$B13)&gt;0,MID($B13,FIND("_",$B13)+1,LEN($B13)),IF(FIND("-",$B13)&gt;0,MID($B13,FIND("-",$B13)+1,LEN($B13)))),"")="",IFERROR(VLOOKUP($F13,WP!$B$2:$C$23,2,0),VLOOKUP($C13,Series!$A$3:$F$11,6,0)),IFERROR(VLOOKUP($F13,WP!$B$2:$C$23,2,0),VLOOKUP($C13,Series!$A$3:$F$11,6,0))&amp;" - "&amp;(IFERROR(IF(FIND("_",$B13)&gt;0,MID($B13,FIND("_",$B13)+1,LEN($B13)),IF(FIND("-",$B13)&gt;0,MID($B13,FIND("-",$B13)+1,LEN($B13)))),""))),"")),64))</f>
        <v/>
      </c>
      <c r="H13" s="12"/>
      <c r="I13" s="12" t="str">
        <f>IF($D13&lt;&gt;"",COUNTIF($D$7:$D13,"="&amp;$D13),"")</f>
        <v/>
      </c>
      <c r="J13"/>
      <c r="K13" s="8"/>
      <c r="L13"/>
    </row>
    <row r="14" spans="1:12" x14ac:dyDescent="0.3">
      <c r="A14" s="1"/>
      <c r="B14" s="26"/>
      <c r="C14" s="12" t="str">
        <f>_xlfn.IFNA(IFERROR(IF(FIND("_",$B14)&gt;0,INDEX(WP!$A$2:$F$23,MATCH(LEFT($B14,FIND("_",$B14)-1),WP!$E$2:$E$23,0),1),IF(FIND("-",$B14)&gt;0,INDEX(WP!$A$2:$F$23,MATCH(LEFT($B14,FIND("_",$B14)-1),WP!$E$2:$E$23,0),1))),INDEX(WP!$A$2:$F$23,MATCH(Results!$B14,WP!$E$2:$E$23,0),1)),"")</f>
        <v/>
      </c>
      <c r="D14" s="12" t="str">
        <f>IFERROR(IFERROR(IF(RIGHT(INDEX(WP!$A$2:$F$23,MATCH(IF(FIND("_",$B14)&gt;0,LEFT($B14,FIND("_",$B14)-1)),WP!$E$2:$E$23,0),2),6)="Series",LEFT(INDEX(WP!$A$2:$F$23,MATCH(IF(FIND("_",$B14)&gt;0,LEFT($B14,FIND("_",$B14)-1)),WP!$E$2:$E$23,0),2),5),""),IF(RIGHT(INDEX(WP!$A$2:$F$23,MATCH($B14,WP!$E$2:$E$23,0),2),6)="Series",LEFT(INDEX(WP!$A$2:$F$23,MATCH($B14,WP!$E$2:$E$23,0),2),5),"")),"")</f>
        <v/>
      </c>
      <c r="E14" s="17" t="str">
        <f>IFERROR(VLOOKUP(VALUE($D14),Series!$B$3:$F$11,2,0),"")</f>
        <v/>
      </c>
      <c r="F14" s="12" t="str">
        <f>_xlfn.IFNA(IF(IF($D14&lt;&gt;"",COUNTIF($E:$E,"="&amp;$D14),"")="",IF(RIGHT(IFERROR(IF(FIND("_",$B14)&gt;0,INDEX(WP!$A$2:$F$23,MATCH(LEFT($B14,FIND("_",$B14)-1),WP!$E$2:$E$23,0),2),IF(FIND("-",$B14)&gt;0,INDEX(WP!$A$2:$F$23,MATCH(LEFT($B14,FIND("_",$B14)-1),WP!$E$2:$E$23,0),2))),INDEX(WP!$A$2:$F$23,MATCH(Results!$B14,WP!$E$2:$E$23,0),2)),6)="Series",LEFT(IFERROR(IF(FIND("_",$B14)&gt;0,INDEX(WP!$A$2:$F$23,MATCH(LEFT($B14,FIND("_",$B14)-1),WP!$E$2:$E$23,0),2),IF(FIND("-",$B14)&gt;0,INDEX(WP!$A$2:$F$23,MATCH(LEFT($B14,FIND("_",$B14)-1),WP!$E$2:$E$23,0),2))),INDEX(WP!$A$2:$F$23,MATCH(Results!$B14,WP!$E$2:$E$23,0),2)),5),(IFERROR(IF(FIND("_",$B14)&gt;0,INDEX(WP!$A$2:$F$23,MATCH(LEFT($B14,FIND("_",$B14)-1),WP!$E$2:$E$23,0),2),IF(FIND("-",$B14)&gt;0,INDEX(WP!$A$2:$F$23,MATCH(LEFT($B14,FIND("_",$B14)-1),WP!$E$2:$E$23,0),2))),INDEX(WP!$A$2:$F$23,MATCH(Results!$B14,WP!$E$2:$E$23,0),2)))),IF(RIGHT(IFERROR(IF(FIND("_",$B14)&gt;0,INDEX(WP!$A$2:$F$23,MATCH(LEFT($B14,FIND("_",$B14)-1),WP!$E$2:$E$23,0),2),IF(FIND("-",$B14)&gt;0,INDEX(WP!$A$2:$F$23,MATCH(LEFT($B14,FIND("_",$B14)-1),WP!$E$2:$E$23,0),2))),INDEX(WP!$A$2:$F$23,MATCH(Results!$B14,WP!$E$2:$E$23,0),2)),6)="Series",LEFT(IFERROR(IF(FIND("_",$B14)&gt;0,INDEX(WP!$A$2:$F$23,MATCH(LEFT($B14,FIND("_",$B14)-1),WP!$E$2:$E$23,0),2),IF(FIND("-",$B14)&gt;0,INDEX(WP!$A$2:$F$23,MATCH(LEFT($B14,FIND("_",$B14)-1),WP!$E$2:$E$23,0),2))),INDEX(WP!$A$2:$F$23,MATCH(Results!$B14,WP!$E$2:$E$23,0),2)),5),(IFERROR(IF(FIND("_",$B14)&gt;0,INDEX(WP!$A$2:$F$23,MATCH(LEFT($B14,FIND("_",$B14)-1),WP!$E$2:$E$23,0),2),IF(FIND("-",$B14)&gt;0,INDEX(WP!$A$2:$F$23,MATCH(LEFT($B14,FIND("_",$B14)-1),WP!$E$2:$E$23,0),2))),INDEX(WP!$A$2:$F$23,MATCH(Results!$B14,WP!$E$2:$E$23,0),2))))&amp;"-"&amp;$I14),"")</f>
        <v/>
      </c>
      <c r="G14" s="17" t="str">
        <f>IF(LEN(_xlfn.IFNA(IF(IFERROR(IF(FIND("_",$B14)&gt;0,MID($B14,FIND("_",$B14)+1,LEN($B14)),IF(FIND("-",$B14)&gt;0,MID($B14,FIND("-",$B14)+1,LEN($B14)))),"")="",IFERROR(VLOOKUP($F14,WP!$B$2:$C$23,2,0),VLOOKUP($C14,Series!$A$3:$F$11,6,0)),IFERROR(VLOOKUP($F14,WP!$B$2:$C$23,2,0),VLOOKUP($C14,Series!$A$3:$F$11,6,0))&amp;" - "&amp;(IFERROR(IF(FIND("_",$B14)&gt;0,MID($B14,FIND("_",$B14)+1,LEN($B14)),IF(FIND("-",$B14)&gt;0,MID($B14,FIND("-",$B14)+1,LEN($B14)))),""))),""))&lt;64,_xlfn.IFNA(IF(IFERROR(IF(FIND("_",$B14)&gt;0,MID($B14,FIND("_",$B14)+1,LEN($B14)),IF(FIND("-",$B14)&gt;0,MID($B14,FIND("-",$B14)+1,LEN($B14)))),"")="",IFERROR(VLOOKUP($F14,WP!$B$2:$C$23,2,0),VLOOKUP($C14,Series!$A$3:$F$11,6,0)),IFERROR(VLOOKUP($F14,WP!$B$2:$C$23,2,0),VLOOKUP($C14,Series!$A$3:$F$11,6,0))&amp;" - "&amp;(IFERROR(IF(FIND("_",$B14)&gt;0,MID($B14,FIND("_",$B14)+1,LEN($B14)),IF(FIND("-",$B14)&gt;0,MID($B14,FIND("-",$B14)+1,LEN($B14)))),""))),""),LEFT((_xlfn.IFNA(IF(IFERROR(IF(FIND("_",$B14)&gt;0,MID($B14,FIND("_",$B14)+1,LEN($B14)),IF(FIND("-",$B14)&gt;0,MID($B14,FIND("-",$B14)+1,LEN($B14)))),"")="",IFERROR(VLOOKUP($F14,WP!$B$2:$C$23,2,0),VLOOKUP($C14,Series!$A$3:$F$11,6,0)),IFERROR(VLOOKUP($F14,WP!$B$2:$C$23,2,0),VLOOKUP($C14,Series!$A$3:$F$11,6,0))&amp;" - "&amp;(IFERROR(IF(FIND("_",$B14)&gt;0,MID($B14,FIND("_",$B14)+1,LEN($B14)),IF(FIND("-",$B14)&gt;0,MID($B14,FIND("-",$B14)+1,LEN($B14)))),""))),"")),64))</f>
        <v/>
      </c>
      <c r="H14" s="12"/>
      <c r="I14" s="12" t="str">
        <f>IF($D14&lt;&gt;"",COUNTIF($D$7:$D14,"="&amp;$D14),"")</f>
        <v/>
      </c>
      <c r="J14"/>
      <c r="K14" s="8"/>
      <c r="L14"/>
    </row>
    <row r="15" spans="1:12" x14ac:dyDescent="0.3">
      <c r="A15" s="1"/>
      <c r="B15" s="26"/>
      <c r="C15" s="12" t="str">
        <f>_xlfn.IFNA(IFERROR(IF(FIND("_",$B15)&gt;0,INDEX(WP!$A$2:$F$23,MATCH(LEFT($B15,FIND("_",$B15)-1),WP!$E$2:$E$23,0),1),IF(FIND("-",$B15)&gt;0,INDEX(WP!$A$2:$F$23,MATCH(LEFT($B15,FIND("_",$B15)-1),WP!$E$2:$E$23,0),1))),INDEX(WP!$A$2:$F$23,MATCH(Results!$B15,WP!$E$2:$E$23,0),1)),"")</f>
        <v/>
      </c>
      <c r="D15" s="12" t="str">
        <f>IFERROR(IFERROR(IF(RIGHT(INDEX(WP!$A$2:$F$23,MATCH(IF(FIND("_",$B15)&gt;0,LEFT($B15,FIND("_",$B15)-1)),WP!$E$2:$E$23,0),2),6)="Series",LEFT(INDEX(WP!$A$2:$F$23,MATCH(IF(FIND("_",$B15)&gt;0,LEFT($B15,FIND("_",$B15)-1)),WP!$E$2:$E$23,0),2),5),""),IF(RIGHT(INDEX(WP!$A$2:$F$23,MATCH($B15,WP!$E$2:$E$23,0),2),6)="Series",LEFT(INDEX(WP!$A$2:$F$23,MATCH($B15,WP!$E$2:$E$23,0),2),5),"")),"")</f>
        <v/>
      </c>
      <c r="E15" s="17" t="str">
        <f>IFERROR(VLOOKUP(VALUE($D15),Series!$B$3:$F$11,2,0),"")</f>
        <v/>
      </c>
      <c r="F15" s="12" t="str">
        <f>_xlfn.IFNA(IF(IF($D15&lt;&gt;"",COUNTIF($E:$E,"="&amp;$D15),"")="",IF(RIGHT(IFERROR(IF(FIND("_",$B15)&gt;0,INDEX(WP!$A$2:$F$23,MATCH(LEFT($B15,FIND("_",$B15)-1),WP!$E$2:$E$23,0),2),IF(FIND("-",$B15)&gt;0,INDEX(WP!$A$2:$F$23,MATCH(LEFT($B15,FIND("_",$B15)-1),WP!$E$2:$E$23,0),2))),INDEX(WP!$A$2:$F$23,MATCH(Results!$B15,WP!$E$2:$E$23,0),2)),6)="Series",LEFT(IFERROR(IF(FIND("_",$B15)&gt;0,INDEX(WP!$A$2:$F$23,MATCH(LEFT($B15,FIND("_",$B15)-1),WP!$E$2:$E$23,0),2),IF(FIND("-",$B15)&gt;0,INDEX(WP!$A$2:$F$23,MATCH(LEFT($B15,FIND("_",$B15)-1),WP!$E$2:$E$23,0),2))),INDEX(WP!$A$2:$F$23,MATCH(Results!$B15,WP!$E$2:$E$23,0),2)),5),(IFERROR(IF(FIND("_",$B15)&gt;0,INDEX(WP!$A$2:$F$23,MATCH(LEFT($B15,FIND("_",$B15)-1),WP!$E$2:$E$23,0),2),IF(FIND("-",$B15)&gt;0,INDEX(WP!$A$2:$F$23,MATCH(LEFT($B15,FIND("_",$B15)-1),WP!$E$2:$E$23,0),2))),INDEX(WP!$A$2:$F$23,MATCH(Results!$B15,WP!$E$2:$E$23,0),2)))),IF(RIGHT(IFERROR(IF(FIND("_",$B15)&gt;0,INDEX(WP!$A$2:$F$23,MATCH(LEFT($B15,FIND("_",$B15)-1),WP!$E$2:$E$23,0),2),IF(FIND("-",$B15)&gt;0,INDEX(WP!$A$2:$F$23,MATCH(LEFT($B15,FIND("_",$B15)-1),WP!$E$2:$E$23,0),2))),INDEX(WP!$A$2:$F$23,MATCH(Results!$B15,WP!$E$2:$E$23,0),2)),6)="Series",LEFT(IFERROR(IF(FIND("_",$B15)&gt;0,INDEX(WP!$A$2:$F$23,MATCH(LEFT($B15,FIND("_",$B15)-1),WP!$E$2:$E$23,0),2),IF(FIND("-",$B15)&gt;0,INDEX(WP!$A$2:$F$23,MATCH(LEFT($B15,FIND("_",$B15)-1),WP!$E$2:$E$23,0),2))),INDEX(WP!$A$2:$F$23,MATCH(Results!$B15,WP!$E$2:$E$23,0),2)),5),(IFERROR(IF(FIND("_",$B15)&gt;0,INDEX(WP!$A$2:$F$23,MATCH(LEFT($B15,FIND("_",$B15)-1),WP!$E$2:$E$23,0),2),IF(FIND("-",$B15)&gt;0,INDEX(WP!$A$2:$F$23,MATCH(LEFT($B15,FIND("_",$B15)-1),WP!$E$2:$E$23,0),2))),INDEX(WP!$A$2:$F$23,MATCH(Results!$B15,WP!$E$2:$E$23,0),2))))&amp;"-"&amp;$I15),"")</f>
        <v/>
      </c>
      <c r="G15" s="17" t="str">
        <f>IF(LEN(_xlfn.IFNA(IF(IFERROR(IF(FIND("_",$B15)&gt;0,MID($B15,FIND("_",$B15)+1,LEN($B15)),IF(FIND("-",$B15)&gt;0,MID($B15,FIND("-",$B15)+1,LEN($B15)))),"")="",IFERROR(VLOOKUP($F15,WP!$B$2:$C$23,2,0),VLOOKUP($C15,Series!$A$3:$F$11,6,0)),IFERROR(VLOOKUP($F15,WP!$B$2:$C$23,2,0),VLOOKUP($C15,Series!$A$3:$F$11,6,0))&amp;" - "&amp;(IFERROR(IF(FIND("_",$B15)&gt;0,MID($B15,FIND("_",$B15)+1,LEN($B15)),IF(FIND("-",$B15)&gt;0,MID($B15,FIND("-",$B15)+1,LEN($B15)))),""))),""))&lt;64,_xlfn.IFNA(IF(IFERROR(IF(FIND("_",$B15)&gt;0,MID($B15,FIND("_",$B15)+1,LEN($B15)),IF(FIND("-",$B15)&gt;0,MID($B15,FIND("-",$B15)+1,LEN($B15)))),"")="",IFERROR(VLOOKUP($F15,WP!$B$2:$C$23,2,0),VLOOKUP($C15,Series!$A$3:$F$11,6,0)),IFERROR(VLOOKUP($F15,WP!$B$2:$C$23,2,0),VLOOKUP($C15,Series!$A$3:$F$11,6,0))&amp;" - "&amp;(IFERROR(IF(FIND("_",$B15)&gt;0,MID($B15,FIND("_",$B15)+1,LEN($B15)),IF(FIND("-",$B15)&gt;0,MID($B15,FIND("-",$B15)+1,LEN($B15)))),""))),""),LEFT((_xlfn.IFNA(IF(IFERROR(IF(FIND("_",$B15)&gt;0,MID($B15,FIND("_",$B15)+1,LEN($B15)),IF(FIND("-",$B15)&gt;0,MID($B15,FIND("-",$B15)+1,LEN($B15)))),"")="",IFERROR(VLOOKUP($F15,WP!$B$2:$C$23,2,0),VLOOKUP($C15,Series!$A$3:$F$11,6,0)),IFERROR(VLOOKUP($F15,WP!$B$2:$C$23,2,0),VLOOKUP($C15,Series!$A$3:$F$11,6,0))&amp;" - "&amp;(IFERROR(IF(FIND("_",$B15)&gt;0,MID($B15,FIND("_",$B15)+1,LEN($B15)),IF(FIND("-",$B15)&gt;0,MID($B15,FIND("-",$B15)+1,LEN($B15)))),""))),"")),64))</f>
        <v/>
      </c>
      <c r="H15" s="12"/>
      <c r="I15" s="12" t="str">
        <f>IF($D15&lt;&gt;"",COUNTIF($D$7:$D15,"="&amp;$D15),"")</f>
        <v/>
      </c>
      <c r="J15"/>
      <c r="K15" s="8"/>
      <c r="L15"/>
    </row>
    <row r="16" spans="1:12" x14ac:dyDescent="0.3">
      <c r="A16" s="1"/>
      <c r="B16" s="26"/>
      <c r="C16" s="12" t="str">
        <f>_xlfn.IFNA(IFERROR(IF(FIND("_",$B16)&gt;0,INDEX(WP!$A$2:$F$23,MATCH(LEFT($B16,FIND("_",$B16)-1),WP!$E$2:$E$23,0),1),IF(FIND("-",$B16)&gt;0,INDEX(WP!$A$2:$F$23,MATCH(LEFT($B16,FIND("_",$B16)-1),WP!$E$2:$E$23,0),1))),INDEX(WP!$A$2:$F$23,MATCH(Results!$B16,WP!$E$2:$E$23,0),1)),"")</f>
        <v/>
      </c>
      <c r="D16" s="12" t="str">
        <f>IFERROR(IFERROR(IF(RIGHT(INDEX(WP!$A$2:$F$23,MATCH(IF(FIND("_",$B16)&gt;0,LEFT($B16,FIND("_",$B16)-1)),WP!$E$2:$E$23,0),2),6)="Series",LEFT(INDEX(WP!$A$2:$F$23,MATCH(IF(FIND("_",$B16)&gt;0,LEFT($B16,FIND("_",$B16)-1)),WP!$E$2:$E$23,0),2),5),""),IF(RIGHT(INDEX(WP!$A$2:$F$23,MATCH($B16,WP!$E$2:$E$23,0),2),6)="Series",LEFT(INDEX(WP!$A$2:$F$23,MATCH($B16,WP!$E$2:$E$23,0),2),5),"")),"")</f>
        <v/>
      </c>
      <c r="E16" s="17" t="str">
        <f>IFERROR(VLOOKUP(VALUE($D16),Series!$B$3:$F$11,2,0),"")</f>
        <v/>
      </c>
      <c r="F16" s="12" t="str">
        <f>_xlfn.IFNA(IF(IF($D16&lt;&gt;"",COUNTIF($E:$E,"="&amp;$D16),"")="",IF(RIGHT(IFERROR(IF(FIND("_",$B16)&gt;0,INDEX(WP!$A$2:$F$23,MATCH(LEFT($B16,FIND("_",$B16)-1),WP!$E$2:$E$23,0),2),IF(FIND("-",$B16)&gt;0,INDEX(WP!$A$2:$F$23,MATCH(LEFT($B16,FIND("_",$B16)-1),WP!$E$2:$E$23,0),2))),INDEX(WP!$A$2:$F$23,MATCH(Results!$B16,WP!$E$2:$E$23,0),2)),6)="Series",LEFT(IFERROR(IF(FIND("_",$B16)&gt;0,INDEX(WP!$A$2:$F$23,MATCH(LEFT($B16,FIND("_",$B16)-1),WP!$E$2:$E$23,0),2),IF(FIND("-",$B16)&gt;0,INDEX(WP!$A$2:$F$23,MATCH(LEFT($B16,FIND("_",$B16)-1),WP!$E$2:$E$23,0),2))),INDEX(WP!$A$2:$F$23,MATCH(Results!$B16,WP!$E$2:$E$23,0),2)),5),(IFERROR(IF(FIND("_",$B16)&gt;0,INDEX(WP!$A$2:$F$23,MATCH(LEFT($B16,FIND("_",$B16)-1),WP!$E$2:$E$23,0),2),IF(FIND("-",$B16)&gt;0,INDEX(WP!$A$2:$F$23,MATCH(LEFT($B16,FIND("_",$B16)-1),WP!$E$2:$E$23,0),2))),INDEX(WP!$A$2:$F$23,MATCH(Results!$B16,WP!$E$2:$E$23,0),2)))),IF(RIGHT(IFERROR(IF(FIND("_",$B16)&gt;0,INDEX(WP!$A$2:$F$23,MATCH(LEFT($B16,FIND("_",$B16)-1),WP!$E$2:$E$23,0),2),IF(FIND("-",$B16)&gt;0,INDEX(WP!$A$2:$F$23,MATCH(LEFT($B16,FIND("_",$B16)-1),WP!$E$2:$E$23,0),2))),INDEX(WP!$A$2:$F$23,MATCH(Results!$B16,WP!$E$2:$E$23,0),2)),6)="Series",LEFT(IFERROR(IF(FIND("_",$B16)&gt;0,INDEX(WP!$A$2:$F$23,MATCH(LEFT($B16,FIND("_",$B16)-1),WP!$E$2:$E$23,0),2),IF(FIND("-",$B16)&gt;0,INDEX(WP!$A$2:$F$23,MATCH(LEFT($B16,FIND("_",$B16)-1),WP!$E$2:$E$23,0),2))),INDEX(WP!$A$2:$F$23,MATCH(Results!$B16,WP!$E$2:$E$23,0),2)),5),(IFERROR(IF(FIND("_",$B16)&gt;0,INDEX(WP!$A$2:$F$23,MATCH(LEFT($B16,FIND("_",$B16)-1),WP!$E$2:$E$23,0),2),IF(FIND("-",$B16)&gt;0,INDEX(WP!$A$2:$F$23,MATCH(LEFT($B16,FIND("_",$B16)-1),WP!$E$2:$E$23,0),2))),INDEX(WP!$A$2:$F$23,MATCH(Results!$B16,WP!$E$2:$E$23,0),2))))&amp;"-"&amp;$I16),"")</f>
        <v/>
      </c>
      <c r="G16" s="17" t="str">
        <f>IF(LEN(_xlfn.IFNA(IF(IFERROR(IF(FIND("_",$B16)&gt;0,MID($B16,FIND("_",$B16)+1,LEN($B16)),IF(FIND("-",$B16)&gt;0,MID($B16,FIND("-",$B16)+1,LEN($B16)))),"")="",IFERROR(VLOOKUP($F16,WP!$B$2:$C$23,2,0),VLOOKUP($C16,Series!$A$3:$F$11,6,0)),IFERROR(VLOOKUP($F16,WP!$B$2:$C$23,2,0),VLOOKUP($C16,Series!$A$3:$F$11,6,0))&amp;" - "&amp;(IFERROR(IF(FIND("_",$B16)&gt;0,MID($B16,FIND("_",$B16)+1,LEN($B16)),IF(FIND("-",$B16)&gt;0,MID($B16,FIND("-",$B16)+1,LEN($B16)))),""))),""))&lt;64,_xlfn.IFNA(IF(IFERROR(IF(FIND("_",$B16)&gt;0,MID($B16,FIND("_",$B16)+1,LEN($B16)),IF(FIND("-",$B16)&gt;0,MID($B16,FIND("-",$B16)+1,LEN($B16)))),"")="",IFERROR(VLOOKUP($F16,WP!$B$2:$C$23,2,0),VLOOKUP($C16,Series!$A$3:$F$11,6,0)),IFERROR(VLOOKUP($F16,WP!$B$2:$C$23,2,0),VLOOKUP($C16,Series!$A$3:$F$11,6,0))&amp;" - "&amp;(IFERROR(IF(FIND("_",$B16)&gt;0,MID($B16,FIND("_",$B16)+1,LEN($B16)),IF(FIND("-",$B16)&gt;0,MID($B16,FIND("-",$B16)+1,LEN($B16)))),""))),""),LEFT((_xlfn.IFNA(IF(IFERROR(IF(FIND("_",$B16)&gt;0,MID($B16,FIND("_",$B16)+1,LEN($B16)),IF(FIND("-",$B16)&gt;0,MID($B16,FIND("-",$B16)+1,LEN($B16)))),"")="",IFERROR(VLOOKUP($F16,WP!$B$2:$C$23,2,0),VLOOKUP($C16,Series!$A$3:$F$11,6,0)),IFERROR(VLOOKUP($F16,WP!$B$2:$C$23,2,0),VLOOKUP($C16,Series!$A$3:$F$11,6,0))&amp;" - "&amp;(IFERROR(IF(FIND("_",$B16)&gt;0,MID($B16,FIND("_",$B16)+1,LEN($B16)),IF(FIND("-",$B16)&gt;0,MID($B16,FIND("-",$B16)+1,LEN($B16)))),""))),"")),64))</f>
        <v/>
      </c>
      <c r="H16" s="12"/>
      <c r="I16" s="12" t="str">
        <f>IF($D16&lt;&gt;"",COUNTIF($D$7:$D16,"="&amp;$D16),"")</f>
        <v/>
      </c>
      <c r="J16"/>
      <c r="K16" s="8"/>
      <c r="L16"/>
    </row>
    <row r="17" spans="1:12" x14ac:dyDescent="0.3">
      <c r="A17" s="1"/>
      <c r="B17" s="26"/>
      <c r="C17" s="12" t="str">
        <f>_xlfn.IFNA(IFERROR(IF(FIND("_",$B17)&gt;0,INDEX(WP!$A$2:$F$23,MATCH(LEFT($B17,FIND("_",$B17)-1),WP!$E$2:$E$23,0),1),IF(FIND("-",$B17)&gt;0,INDEX(WP!$A$2:$F$23,MATCH(LEFT($B17,FIND("_",$B17)-1),WP!$E$2:$E$23,0),1))),INDEX(WP!$A$2:$F$23,MATCH(Results!$B17,WP!$E$2:$E$23,0),1)),"")</f>
        <v/>
      </c>
      <c r="D17" s="12" t="str">
        <f>IFERROR(IFERROR(IF(RIGHT(INDEX(WP!$A$2:$F$23,MATCH(IF(FIND("_",$B17)&gt;0,LEFT($B17,FIND("_",$B17)-1)),WP!$E$2:$E$23,0),2),6)="Series",LEFT(INDEX(WP!$A$2:$F$23,MATCH(IF(FIND("_",$B17)&gt;0,LEFT($B17,FIND("_",$B17)-1)),WP!$E$2:$E$23,0),2),5),""),IF(RIGHT(INDEX(WP!$A$2:$F$23,MATCH($B17,WP!$E$2:$E$23,0),2),6)="Series",LEFT(INDEX(WP!$A$2:$F$23,MATCH($B17,WP!$E$2:$E$23,0),2),5),"")),"")</f>
        <v/>
      </c>
      <c r="E17" s="17" t="str">
        <f>IFERROR(VLOOKUP(VALUE($D17),Series!$B$3:$F$11,2,0),"")</f>
        <v/>
      </c>
      <c r="F17" s="12" t="str">
        <f>_xlfn.IFNA(IF(IF($D17&lt;&gt;"",COUNTIF($E:$E,"="&amp;$D17),"")="",IF(RIGHT(IFERROR(IF(FIND("_",$B17)&gt;0,INDEX(WP!$A$2:$F$23,MATCH(LEFT($B17,FIND("_",$B17)-1),WP!$E$2:$E$23,0),2),IF(FIND("-",$B17)&gt;0,INDEX(WP!$A$2:$F$23,MATCH(LEFT($B17,FIND("_",$B17)-1),WP!$E$2:$E$23,0),2))),INDEX(WP!$A$2:$F$23,MATCH(Results!$B17,WP!$E$2:$E$23,0),2)),6)="Series",LEFT(IFERROR(IF(FIND("_",$B17)&gt;0,INDEX(WP!$A$2:$F$23,MATCH(LEFT($B17,FIND("_",$B17)-1),WP!$E$2:$E$23,0),2),IF(FIND("-",$B17)&gt;0,INDEX(WP!$A$2:$F$23,MATCH(LEFT($B17,FIND("_",$B17)-1),WP!$E$2:$E$23,0),2))),INDEX(WP!$A$2:$F$23,MATCH(Results!$B17,WP!$E$2:$E$23,0),2)),5),(IFERROR(IF(FIND("_",$B17)&gt;0,INDEX(WP!$A$2:$F$23,MATCH(LEFT($B17,FIND("_",$B17)-1),WP!$E$2:$E$23,0),2),IF(FIND("-",$B17)&gt;0,INDEX(WP!$A$2:$F$23,MATCH(LEFT($B17,FIND("_",$B17)-1),WP!$E$2:$E$23,0),2))),INDEX(WP!$A$2:$F$23,MATCH(Results!$B17,WP!$E$2:$E$23,0),2)))),IF(RIGHT(IFERROR(IF(FIND("_",$B17)&gt;0,INDEX(WP!$A$2:$F$23,MATCH(LEFT($B17,FIND("_",$B17)-1),WP!$E$2:$E$23,0),2),IF(FIND("-",$B17)&gt;0,INDEX(WP!$A$2:$F$23,MATCH(LEFT($B17,FIND("_",$B17)-1),WP!$E$2:$E$23,0),2))),INDEX(WP!$A$2:$F$23,MATCH(Results!$B17,WP!$E$2:$E$23,0),2)),6)="Series",LEFT(IFERROR(IF(FIND("_",$B17)&gt;0,INDEX(WP!$A$2:$F$23,MATCH(LEFT($B17,FIND("_",$B17)-1),WP!$E$2:$E$23,0),2),IF(FIND("-",$B17)&gt;0,INDEX(WP!$A$2:$F$23,MATCH(LEFT($B17,FIND("_",$B17)-1),WP!$E$2:$E$23,0),2))),INDEX(WP!$A$2:$F$23,MATCH(Results!$B17,WP!$E$2:$E$23,0),2)),5),(IFERROR(IF(FIND("_",$B17)&gt;0,INDEX(WP!$A$2:$F$23,MATCH(LEFT($B17,FIND("_",$B17)-1),WP!$E$2:$E$23,0),2),IF(FIND("-",$B17)&gt;0,INDEX(WP!$A$2:$F$23,MATCH(LEFT($B17,FIND("_",$B17)-1),WP!$E$2:$E$23,0),2))),INDEX(WP!$A$2:$F$23,MATCH(Results!$B17,WP!$E$2:$E$23,0),2))))&amp;"-"&amp;$I17),"")</f>
        <v/>
      </c>
      <c r="G17" s="17" t="str">
        <f>IF(LEN(_xlfn.IFNA(IF(IFERROR(IF(FIND("_",$B17)&gt;0,MID($B17,FIND("_",$B17)+1,LEN($B17)),IF(FIND("-",$B17)&gt;0,MID($B17,FIND("-",$B17)+1,LEN($B17)))),"")="",IFERROR(VLOOKUP($F17,WP!$B$2:$C$23,2,0),VLOOKUP($C17,Series!$A$3:$F$11,6,0)),IFERROR(VLOOKUP($F17,WP!$B$2:$C$23,2,0),VLOOKUP($C17,Series!$A$3:$F$11,6,0))&amp;" - "&amp;(IFERROR(IF(FIND("_",$B17)&gt;0,MID($B17,FIND("_",$B17)+1,LEN($B17)),IF(FIND("-",$B17)&gt;0,MID($B17,FIND("-",$B17)+1,LEN($B17)))),""))),""))&lt;64,_xlfn.IFNA(IF(IFERROR(IF(FIND("_",$B17)&gt;0,MID($B17,FIND("_",$B17)+1,LEN($B17)),IF(FIND("-",$B17)&gt;0,MID($B17,FIND("-",$B17)+1,LEN($B17)))),"")="",IFERROR(VLOOKUP($F17,WP!$B$2:$C$23,2,0),VLOOKUP($C17,Series!$A$3:$F$11,6,0)),IFERROR(VLOOKUP($F17,WP!$B$2:$C$23,2,0),VLOOKUP($C17,Series!$A$3:$F$11,6,0))&amp;" - "&amp;(IFERROR(IF(FIND("_",$B17)&gt;0,MID($B17,FIND("_",$B17)+1,LEN($B17)),IF(FIND("-",$B17)&gt;0,MID($B17,FIND("-",$B17)+1,LEN($B17)))),""))),""),LEFT((_xlfn.IFNA(IF(IFERROR(IF(FIND("_",$B17)&gt;0,MID($B17,FIND("_",$B17)+1,LEN($B17)),IF(FIND("-",$B17)&gt;0,MID($B17,FIND("-",$B17)+1,LEN($B17)))),"")="",IFERROR(VLOOKUP($F17,WP!$B$2:$C$23,2,0),VLOOKUP($C17,Series!$A$3:$F$11,6,0)),IFERROR(VLOOKUP($F17,WP!$B$2:$C$23,2,0),VLOOKUP($C17,Series!$A$3:$F$11,6,0))&amp;" - "&amp;(IFERROR(IF(FIND("_",$B17)&gt;0,MID($B17,FIND("_",$B17)+1,LEN($B17)),IF(FIND("-",$B17)&gt;0,MID($B17,FIND("-",$B17)+1,LEN($B17)))),""))),"")),64))</f>
        <v/>
      </c>
      <c r="H17" s="12"/>
      <c r="I17" s="12" t="str">
        <f>IF($D17&lt;&gt;"",COUNTIF($D$7:$D17,"="&amp;$D17),"")</f>
        <v/>
      </c>
      <c r="J17"/>
      <c r="K17" s="8"/>
      <c r="L17"/>
    </row>
    <row r="18" spans="1:12" x14ac:dyDescent="0.3">
      <c r="A18" s="1"/>
      <c r="B18" s="26"/>
      <c r="C18" s="12" t="str">
        <f>_xlfn.IFNA(IFERROR(IF(FIND("_",$B18)&gt;0,INDEX(WP!$A$2:$F$23,MATCH(LEFT($B18,FIND("_",$B18)-1),WP!$E$2:$E$23,0),1),IF(FIND("-",$B18)&gt;0,INDEX(WP!$A$2:$F$23,MATCH(LEFT($B18,FIND("_",$B18)-1),WP!$E$2:$E$23,0),1))),INDEX(WP!$A$2:$F$23,MATCH(Results!$B18,WP!$E$2:$E$23,0),1)),"")</f>
        <v/>
      </c>
      <c r="D18" s="12" t="str">
        <f>IFERROR(IFERROR(IF(RIGHT(INDEX(WP!$A$2:$F$23,MATCH(IF(FIND("_",$B18)&gt;0,LEFT($B18,FIND("_",$B18)-1)),WP!$E$2:$E$23,0),2),6)="Series",LEFT(INDEX(WP!$A$2:$F$23,MATCH(IF(FIND("_",$B18)&gt;0,LEFT($B18,FIND("_",$B18)-1)),WP!$E$2:$E$23,0),2),5),""),IF(RIGHT(INDEX(WP!$A$2:$F$23,MATCH($B18,WP!$E$2:$E$23,0),2),6)="Series",LEFT(INDEX(WP!$A$2:$F$23,MATCH($B18,WP!$E$2:$E$23,0),2),5),"")),"")</f>
        <v/>
      </c>
      <c r="E18" s="17" t="str">
        <f>IFERROR(VLOOKUP(VALUE($D18),Series!$B$3:$F$11,2,0),"")</f>
        <v/>
      </c>
      <c r="F18" s="12" t="str">
        <f>_xlfn.IFNA(IF(IF($D18&lt;&gt;"",COUNTIF($E:$E,"="&amp;$D18),"")="",IF(RIGHT(IFERROR(IF(FIND("_",$B18)&gt;0,INDEX(WP!$A$2:$F$23,MATCH(LEFT($B18,FIND("_",$B18)-1),WP!$E$2:$E$23,0),2),IF(FIND("-",$B18)&gt;0,INDEX(WP!$A$2:$F$23,MATCH(LEFT($B18,FIND("_",$B18)-1),WP!$E$2:$E$23,0),2))),INDEX(WP!$A$2:$F$23,MATCH(Results!$B18,WP!$E$2:$E$23,0),2)),6)="Series",LEFT(IFERROR(IF(FIND("_",$B18)&gt;0,INDEX(WP!$A$2:$F$23,MATCH(LEFT($B18,FIND("_",$B18)-1),WP!$E$2:$E$23,0),2),IF(FIND("-",$B18)&gt;0,INDEX(WP!$A$2:$F$23,MATCH(LEFT($B18,FIND("_",$B18)-1),WP!$E$2:$E$23,0),2))),INDEX(WP!$A$2:$F$23,MATCH(Results!$B18,WP!$E$2:$E$23,0),2)),5),(IFERROR(IF(FIND("_",$B18)&gt;0,INDEX(WP!$A$2:$F$23,MATCH(LEFT($B18,FIND("_",$B18)-1),WP!$E$2:$E$23,0),2),IF(FIND("-",$B18)&gt;0,INDEX(WP!$A$2:$F$23,MATCH(LEFT($B18,FIND("_",$B18)-1),WP!$E$2:$E$23,0),2))),INDEX(WP!$A$2:$F$23,MATCH(Results!$B18,WP!$E$2:$E$23,0),2)))),IF(RIGHT(IFERROR(IF(FIND("_",$B18)&gt;0,INDEX(WP!$A$2:$F$23,MATCH(LEFT($B18,FIND("_",$B18)-1),WP!$E$2:$E$23,0),2),IF(FIND("-",$B18)&gt;0,INDEX(WP!$A$2:$F$23,MATCH(LEFT($B18,FIND("_",$B18)-1),WP!$E$2:$E$23,0),2))),INDEX(WP!$A$2:$F$23,MATCH(Results!$B18,WP!$E$2:$E$23,0),2)),6)="Series",LEFT(IFERROR(IF(FIND("_",$B18)&gt;0,INDEX(WP!$A$2:$F$23,MATCH(LEFT($B18,FIND("_",$B18)-1),WP!$E$2:$E$23,0),2),IF(FIND("-",$B18)&gt;0,INDEX(WP!$A$2:$F$23,MATCH(LEFT($B18,FIND("_",$B18)-1),WP!$E$2:$E$23,0),2))),INDEX(WP!$A$2:$F$23,MATCH(Results!$B18,WP!$E$2:$E$23,0),2)),5),(IFERROR(IF(FIND("_",$B18)&gt;0,INDEX(WP!$A$2:$F$23,MATCH(LEFT($B18,FIND("_",$B18)-1),WP!$E$2:$E$23,0),2),IF(FIND("-",$B18)&gt;0,INDEX(WP!$A$2:$F$23,MATCH(LEFT($B18,FIND("_",$B18)-1),WP!$E$2:$E$23,0),2))),INDEX(WP!$A$2:$F$23,MATCH(Results!$B18,WP!$E$2:$E$23,0),2))))&amp;"-"&amp;$I18),"")</f>
        <v/>
      </c>
      <c r="G18" s="17" t="str">
        <f>IF(LEN(_xlfn.IFNA(IF(IFERROR(IF(FIND("_",$B18)&gt;0,MID($B18,FIND("_",$B18)+1,LEN($B18)),IF(FIND("-",$B18)&gt;0,MID($B18,FIND("-",$B18)+1,LEN($B18)))),"")="",IFERROR(VLOOKUP($F18,WP!$B$2:$C$23,2,0),VLOOKUP($C18,Series!$A$3:$F$11,6,0)),IFERROR(VLOOKUP($F18,WP!$B$2:$C$23,2,0),VLOOKUP($C18,Series!$A$3:$F$11,6,0))&amp;" - "&amp;(IFERROR(IF(FIND("_",$B18)&gt;0,MID($B18,FIND("_",$B18)+1,LEN($B18)),IF(FIND("-",$B18)&gt;0,MID($B18,FIND("-",$B18)+1,LEN($B18)))),""))),""))&lt;64,_xlfn.IFNA(IF(IFERROR(IF(FIND("_",$B18)&gt;0,MID($B18,FIND("_",$B18)+1,LEN($B18)),IF(FIND("-",$B18)&gt;0,MID($B18,FIND("-",$B18)+1,LEN($B18)))),"")="",IFERROR(VLOOKUP($F18,WP!$B$2:$C$23,2,0),VLOOKUP($C18,Series!$A$3:$F$11,6,0)),IFERROR(VLOOKUP($F18,WP!$B$2:$C$23,2,0),VLOOKUP($C18,Series!$A$3:$F$11,6,0))&amp;" - "&amp;(IFERROR(IF(FIND("_",$B18)&gt;0,MID($B18,FIND("_",$B18)+1,LEN($B18)),IF(FIND("-",$B18)&gt;0,MID($B18,FIND("-",$B18)+1,LEN($B18)))),""))),""),LEFT((_xlfn.IFNA(IF(IFERROR(IF(FIND("_",$B18)&gt;0,MID($B18,FIND("_",$B18)+1,LEN($B18)),IF(FIND("-",$B18)&gt;0,MID($B18,FIND("-",$B18)+1,LEN($B18)))),"")="",IFERROR(VLOOKUP($F18,WP!$B$2:$C$23,2,0),VLOOKUP($C18,Series!$A$3:$F$11,6,0)),IFERROR(VLOOKUP($F18,WP!$B$2:$C$23,2,0),VLOOKUP($C18,Series!$A$3:$F$11,6,0))&amp;" - "&amp;(IFERROR(IF(FIND("_",$B18)&gt;0,MID($B18,FIND("_",$B18)+1,LEN($B18)),IF(FIND("-",$B18)&gt;0,MID($B18,FIND("-",$B18)+1,LEN($B18)))),""))),"")),64))</f>
        <v/>
      </c>
      <c r="H18" s="12"/>
      <c r="I18" s="12" t="str">
        <f>IF($D18&lt;&gt;"",COUNTIF($D$7:$D18,"="&amp;$D18),"")</f>
        <v/>
      </c>
      <c r="J18"/>
      <c r="K18" s="8"/>
      <c r="L18"/>
    </row>
    <row r="19" spans="1:12" x14ac:dyDescent="0.3">
      <c r="A19" s="1"/>
      <c r="B19" s="26"/>
      <c r="C19" s="12" t="str">
        <f>_xlfn.IFNA(IFERROR(IF(FIND("_",$B19)&gt;0,INDEX(WP!$A$2:$F$23,MATCH(LEFT($B19,FIND("_",$B19)-1),WP!$E$2:$E$23,0),1),IF(FIND("-",$B19)&gt;0,INDEX(WP!$A$2:$F$23,MATCH(LEFT($B19,FIND("_",$B19)-1),WP!$E$2:$E$23,0),1))),INDEX(WP!$A$2:$F$23,MATCH(Results!$B19,WP!$E$2:$E$23,0),1)),"")</f>
        <v/>
      </c>
      <c r="D19" s="12" t="str">
        <f>IFERROR(IFERROR(IF(RIGHT(INDEX(WP!$A$2:$F$23,MATCH(IF(FIND("_",$B19)&gt;0,LEFT($B19,FIND("_",$B19)-1)),WP!$E$2:$E$23,0),2),6)="Series",LEFT(INDEX(WP!$A$2:$F$23,MATCH(IF(FIND("_",$B19)&gt;0,LEFT($B19,FIND("_",$B19)-1)),WP!$E$2:$E$23,0),2),5),""),IF(RIGHT(INDEX(WP!$A$2:$F$23,MATCH($B19,WP!$E$2:$E$23,0),2),6)="Series",LEFT(INDEX(WP!$A$2:$F$23,MATCH($B19,WP!$E$2:$E$23,0),2),5),"")),"")</f>
        <v/>
      </c>
      <c r="E19" s="17" t="str">
        <f>IFERROR(VLOOKUP(VALUE($D19),Series!$B$3:$F$11,2,0),"")</f>
        <v/>
      </c>
      <c r="F19" s="12" t="str">
        <f>_xlfn.IFNA(IF(IF($D19&lt;&gt;"",COUNTIF($E:$E,"="&amp;$D19),"")="",IF(RIGHT(IFERROR(IF(FIND("_",$B19)&gt;0,INDEX(WP!$A$2:$F$23,MATCH(LEFT($B19,FIND("_",$B19)-1),WP!$E$2:$E$23,0),2),IF(FIND("-",$B19)&gt;0,INDEX(WP!$A$2:$F$23,MATCH(LEFT($B19,FIND("_",$B19)-1),WP!$E$2:$E$23,0),2))),INDEX(WP!$A$2:$F$23,MATCH(Results!$B19,WP!$E$2:$E$23,0),2)),6)="Series",LEFT(IFERROR(IF(FIND("_",$B19)&gt;0,INDEX(WP!$A$2:$F$23,MATCH(LEFT($B19,FIND("_",$B19)-1),WP!$E$2:$E$23,0),2),IF(FIND("-",$B19)&gt;0,INDEX(WP!$A$2:$F$23,MATCH(LEFT($B19,FIND("_",$B19)-1),WP!$E$2:$E$23,0),2))),INDEX(WP!$A$2:$F$23,MATCH(Results!$B19,WP!$E$2:$E$23,0),2)),5),(IFERROR(IF(FIND("_",$B19)&gt;0,INDEX(WP!$A$2:$F$23,MATCH(LEFT($B19,FIND("_",$B19)-1),WP!$E$2:$E$23,0),2),IF(FIND("-",$B19)&gt;0,INDEX(WP!$A$2:$F$23,MATCH(LEFT($B19,FIND("_",$B19)-1),WP!$E$2:$E$23,0),2))),INDEX(WP!$A$2:$F$23,MATCH(Results!$B19,WP!$E$2:$E$23,0),2)))),IF(RIGHT(IFERROR(IF(FIND("_",$B19)&gt;0,INDEX(WP!$A$2:$F$23,MATCH(LEFT($B19,FIND("_",$B19)-1),WP!$E$2:$E$23,0),2),IF(FIND("-",$B19)&gt;0,INDEX(WP!$A$2:$F$23,MATCH(LEFT($B19,FIND("_",$B19)-1),WP!$E$2:$E$23,0),2))),INDEX(WP!$A$2:$F$23,MATCH(Results!$B19,WP!$E$2:$E$23,0),2)),6)="Series",LEFT(IFERROR(IF(FIND("_",$B19)&gt;0,INDEX(WP!$A$2:$F$23,MATCH(LEFT($B19,FIND("_",$B19)-1),WP!$E$2:$E$23,0),2),IF(FIND("-",$B19)&gt;0,INDEX(WP!$A$2:$F$23,MATCH(LEFT($B19,FIND("_",$B19)-1),WP!$E$2:$E$23,0),2))),INDEX(WP!$A$2:$F$23,MATCH(Results!$B19,WP!$E$2:$E$23,0),2)),5),(IFERROR(IF(FIND("_",$B19)&gt;0,INDEX(WP!$A$2:$F$23,MATCH(LEFT($B19,FIND("_",$B19)-1),WP!$E$2:$E$23,0),2),IF(FIND("-",$B19)&gt;0,INDEX(WP!$A$2:$F$23,MATCH(LEFT($B19,FIND("_",$B19)-1),WP!$E$2:$E$23,0),2))),INDEX(WP!$A$2:$F$23,MATCH(Results!$B19,WP!$E$2:$E$23,0),2))))&amp;"-"&amp;$I19),"")</f>
        <v/>
      </c>
      <c r="G19" s="17" t="str">
        <f>IF(LEN(_xlfn.IFNA(IF(IFERROR(IF(FIND("_",$B19)&gt;0,MID($B19,FIND("_",$B19)+1,LEN($B19)),IF(FIND("-",$B19)&gt;0,MID($B19,FIND("-",$B19)+1,LEN($B19)))),"")="",IFERROR(VLOOKUP($F19,WP!$B$2:$C$23,2,0),VLOOKUP($C19,Series!$A$3:$F$11,6,0)),IFERROR(VLOOKUP($F19,WP!$B$2:$C$23,2,0),VLOOKUP($C19,Series!$A$3:$F$11,6,0))&amp;" - "&amp;(IFERROR(IF(FIND("_",$B19)&gt;0,MID($B19,FIND("_",$B19)+1,LEN($B19)),IF(FIND("-",$B19)&gt;0,MID($B19,FIND("-",$B19)+1,LEN($B19)))),""))),""))&lt;64,_xlfn.IFNA(IF(IFERROR(IF(FIND("_",$B19)&gt;0,MID($B19,FIND("_",$B19)+1,LEN($B19)),IF(FIND("-",$B19)&gt;0,MID($B19,FIND("-",$B19)+1,LEN($B19)))),"")="",IFERROR(VLOOKUP($F19,WP!$B$2:$C$23,2,0),VLOOKUP($C19,Series!$A$3:$F$11,6,0)),IFERROR(VLOOKUP($F19,WP!$B$2:$C$23,2,0),VLOOKUP($C19,Series!$A$3:$F$11,6,0))&amp;" - "&amp;(IFERROR(IF(FIND("_",$B19)&gt;0,MID($B19,FIND("_",$B19)+1,LEN($B19)),IF(FIND("-",$B19)&gt;0,MID($B19,FIND("-",$B19)+1,LEN($B19)))),""))),""),LEFT((_xlfn.IFNA(IF(IFERROR(IF(FIND("_",$B19)&gt;0,MID($B19,FIND("_",$B19)+1,LEN($B19)),IF(FIND("-",$B19)&gt;0,MID($B19,FIND("-",$B19)+1,LEN($B19)))),"")="",IFERROR(VLOOKUP($F19,WP!$B$2:$C$23,2,0),VLOOKUP($C19,Series!$A$3:$F$11,6,0)),IFERROR(VLOOKUP($F19,WP!$B$2:$C$23,2,0),VLOOKUP($C19,Series!$A$3:$F$11,6,0))&amp;" - "&amp;(IFERROR(IF(FIND("_",$B19)&gt;0,MID($B19,FIND("_",$B19)+1,LEN($B19)),IF(FIND("-",$B19)&gt;0,MID($B19,FIND("-",$B19)+1,LEN($B19)))),""))),"")),64))</f>
        <v/>
      </c>
      <c r="H19" s="12"/>
      <c r="I19" s="12" t="str">
        <f>IF($D19&lt;&gt;"",COUNTIF($D$7:$D19,"="&amp;$D19),"")</f>
        <v/>
      </c>
      <c r="J19"/>
      <c r="K19" s="8"/>
      <c r="L19"/>
    </row>
    <row r="20" spans="1:12" x14ac:dyDescent="0.3">
      <c r="A20" s="1"/>
      <c r="B20" s="26"/>
      <c r="C20" s="12" t="str">
        <f>_xlfn.IFNA(IFERROR(IF(FIND("_",$B20)&gt;0,INDEX(WP!$A$2:$F$23,MATCH(LEFT($B20,FIND("_",$B20)-1),WP!$E$2:$E$23,0),1),IF(FIND("-",$B20)&gt;0,INDEX(WP!$A$2:$F$23,MATCH(LEFT($B20,FIND("_",$B20)-1),WP!$E$2:$E$23,0),1))),INDEX(WP!$A$2:$F$23,MATCH(Results!$B20,WP!$E$2:$E$23,0),1)),"")</f>
        <v/>
      </c>
      <c r="D20" s="12" t="str">
        <f>IFERROR(IFERROR(IF(RIGHT(INDEX(WP!$A$2:$F$23,MATCH(IF(FIND("_",$B20)&gt;0,LEFT($B20,FIND("_",$B20)-1)),WP!$E$2:$E$23,0),2),6)="Series",LEFT(INDEX(WP!$A$2:$F$23,MATCH(IF(FIND("_",$B20)&gt;0,LEFT($B20,FIND("_",$B20)-1)),WP!$E$2:$E$23,0),2),5),""),IF(RIGHT(INDEX(WP!$A$2:$F$23,MATCH($B20,WP!$E$2:$E$23,0),2),6)="Series",LEFT(INDEX(WP!$A$2:$F$23,MATCH($B20,WP!$E$2:$E$23,0),2),5),"")),"")</f>
        <v/>
      </c>
      <c r="E20" s="17" t="str">
        <f>IFERROR(VLOOKUP(VALUE($D20),Series!$B$3:$F$11,2,0),"")</f>
        <v/>
      </c>
      <c r="F20" s="12" t="str">
        <f>_xlfn.IFNA(IF(IF($D20&lt;&gt;"",COUNTIF($E:$E,"="&amp;$D20),"")="",IF(RIGHT(IFERROR(IF(FIND("_",$B20)&gt;0,INDEX(WP!$A$2:$F$23,MATCH(LEFT($B20,FIND("_",$B20)-1),WP!$E$2:$E$23,0),2),IF(FIND("-",$B20)&gt;0,INDEX(WP!$A$2:$F$23,MATCH(LEFT($B20,FIND("_",$B20)-1),WP!$E$2:$E$23,0),2))),INDEX(WP!$A$2:$F$23,MATCH(Results!$B20,WP!$E$2:$E$23,0),2)),6)="Series",LEFT(IFERROR(IF(FIND("_",$B20)&gt;0,INDEX(WP!$A$2:$F$23,MATCH(LEFT($B20,FIND("_",$B20)-1),WP!$E$2:$E$23,0),2),IF(FIND("-",$B20)&gt;0,INDEX(WP!$A$2:$F$23,MATCH(LEFT($B20,FIND("_",$B20)-1),WP!$E$2:$E$23,0),2))),INDEX(WP!$A$2:$F$23,MATCH(Results!$B20,WP!$E$2:$E$23,0),2)),5),(IFERROR(IF(FIND("_",$B20)&gt;0,INDEX(WP!$A$2:$F$23,MATCH(LEFT($B20,FIND("_",$B20)-1),WP!$E$2:$E$23,0),2),IF(FIND("-",$B20)&gt;0,INDEX(WP!$A$2:$F$23,MATCH(LEFT($B20,FIND("_",$B20)-1),WP!$E$2:$E$23,0),2))),INDEX(WP!$A$2:$F$23,MATCH(Results!$B20,WP!$E$2:$E$23,0),2)))),IF(RIGHT(IFERROR(IF(FIND("_",$B20)&gt;0,INDEX(WP!$A$2:$F$23,MATCH(LEFT($B20,FIND("_",$B20)-1),WP!$E$2:$E$23,0),2),IF(FIND("-",$B20)&gt;0,INDEX(WP!$A$2:$F$23,MATCH(LEFT($B20,FIND("_",$B20)-1),WP!$E$2:$E$23,0),2))),INDEX(WP!$A$2:$F$23,MATCH(Results!$B20,WP!$E$2:$E$23,0),2)),6)="Series",LEFT(IFERROR(IF(FIND("_",$B20)&gt;0,INDEX(WP!$A$2:$F$23,MATCH(LEFT($B20,FIND("_",$B20)-1),WP!$E$2:$E$23,0),2),IF(FIND("-",$B20)&gt;0,INDEX(WP!$A$2:$F$23,MATCH(LEFT($B20,FIND("_",$B20)-1),WP!$E$2:$E$23,0),2))),INDEX(WP!$A$2:$F$23,MATCH(Results!$B20,WP!$E$2:$E$23,0),2)),5),(IFERROR(IF(FIND("_",$B20)&gt;0,INDEX(WP!$A$2:$F$23,MATCH(LEFT($B20,FIND("_",$B20)-1),WP!$E$2:$E$23,0),2),IF(FIND("-",$B20)&gt;0,INDEX(WP!$A$2:$F$23,MATCH(LEFT($B20,FIND("_",$B20)-1),WP!$E$2:$E$23,0),2))),INDEX(WP!$A$2:$F$23,MATCH(Results!$B20,WP!$E$2:$E$23,0),2))))&amp;"-"&amp;$I20),"")</f>
        <v/>
      </c>
      <c r="G20" s="17" t="str">
        <f>IF(LEN(_xlfn.IFNA(IF(IFERROR(IF(FIND("_",$B20)&gt;0,MID($B20,FIND("_",$B20)+1,LEN($B20)),IF(FIND("-",$B20)&gt;0,MID($B20,FIND("-",$B20)+1,LEN($B20)))),"")="",IFERROR(VLOOKUP($F20,WP!$B$2:$C$23,2,0),VLOOKUP($C20,Series!$A$3:$F$11,6,0)),IFERROR(VLOOKUP($F20,WP!$B$2:$C$23,2,0),VLOOKUP($C20,Series!$A$3:$F$11,6,0))&amp;" - "&amp;(IFERROR(IF(FIND("_",$B20)&gt;0,MID($B20,FIND("_",$B20)+1,LEN($B20)),IF(FIND("-",$B20)&gt;0,MID($B20,FIND("-",$B20)+1,LEN($B20)))),""))),""))&lt;64,_xlfn.IFNA(IF(IFERROR(IF(FIND("_",$B20)&gt;0,MID($B20,FIND("_",$B20)+1,LEN($B20)),IF(FIND("-",$B20)&gt;0,MID($B20,FIND("-",$B20)+1,LEN($B20)))),"")="",IFERROR(VLOOKUP($F20,WP!$B$2:$C$23,2,0),VLOOKUP($C20,Series!$A$3:$F$11,6,0)),IFERROR(VLOOKUP($F20,WP!$B$2:$C$23,2,0),VLOOKUP($C20,Series!$A$3:$F$11,6,0))&amp;" - "&amp;(IFERROR(IF(FIND("_",$B20)&gt;0,MID($B20,FIND("_",$B20)+1,LEN($B20)),IF(FIND("-",$B20)&gt;0,MID($B20,FIND("-",$B20)+1,LEN($B20)))),""))),""),LEFT((_xlfn.IFNA(IF(IFERROR(IF(FIND("_",$B20)&gt;0,MID($B20,FIND("_",$B20)+1,LEN($B20)),IF(FIND("-",$B20)&gt;0,MID($B20,FIND("-",$B20)+1,LEN($B20)))),"")="",IFERROR(VLOOKUP($F20,WP!$B$2:$C$23,2,0),VLOOKUP($C20,Series!$A$3:$F$11,6,0)),IFERROR(VLOOKUP($F20,WP!$B$2:$C$23,2,0),VLOOKUP($C20,Series!$A$3:$F$11,6,0))&amp;" - "&amp;(IFERROR(IF(FIND("_",$B20)&gt;0,MID($B20,FIND("_",$B20)+1,LEN($B20)),IF(FIND("-",$B20)&gt;0,MID($B20,FIND("-",$B20)+1,LEN($B20)))),""))),"")),64))</f>
        <v/>
      </c>
      <c r="H20" s="12"/>
      <c r="I20" s="12" t="str">
        <f>IF($D20&lt;&gt;"",COUNTIF($D$7:$D20,"="&amp;$D20),"")</f>
        <v/>
      </c>
      <c r="J20"/>
      <c r="K20" s="8"/>
      <c r="L20"/>
    </row>
    <row r="21" spans="1:12" x14ac:dyDescent="0.3">
      <c r="A21" s="1"/>
      <c r="B21" s="26"/>
      <c r="C21" s="12" t="str">
        <f>_xlfn.IFNA(IFERROR(IF(FIND("_",$B21)&gt;0,INDEX(WP!$A$2:$F$23,MATCH(LEFT($B21,FIND("_",$B21)-1),WP!$E$2:$E$23,0),1),IF(FIND("-",$B21)&gt;0,INDEX(WP!$A$2:$F$23,MATCH(LEFT($B21,FIND("_",$B21)-1),WP!$E$2:$E$23,0),1))),INDEX(WP!$A$2:$F$23,MATCH(Results!$B21,WP!$E$2:$E$23,0),1)),"")</f>
        <v/>
      </c>
      <c r="D21" s="12" t="str">
        <f>IFERROR(IFERROR(IF(RIGHT(INDEX(WP!$A$2:$F$23,MATCH(IF(FIND("_",$B21)&gt;0,LEFT($B21,FIND("_",$B21)-1)),WP!$E$2:$E$23,0),2),6)="Series",LEFT(INDEX(WP!$A$2:$F$23,MATCH(IF(FIND("_",$B21)&gt;0,LEFT($B21,FIND("_",$B21)-1)),WP!$E$2:$E$23,0),2),5),""),IF(RIGHT(INDEX(WP!$A$2:$F$23,MATCH($B21,WP!$E$2:$E$23,0),2),6)="Series",LEFT(INDEX(WP!$A$2:$F$23,MATCH($B21,WP!$E$2:$E$23,0),2),5),"")),"")</f>
        <v/>
      </c>
      <c r="E21" s="17" t="str">
        <f>IFERROR(VLOOKUP(VALUE($D21),Series!$B$3:$F$11,2,0),"")</f>
        <v/>
      </c>
      <c r="F21" s="12" t="str">
        <f>_xlfn.IFNA(IF(IF($D21&lt;&gt;"",COUNTIF($E:$E,"="&amp;$D21),"")="",IF(RIGHT(IFERROR(IF(FIND("_",$B21)&gt;0,INDEX(WP!$A$2:$F$23,MATCH(LEFT($B21,FIND("_",$B21)-1),WP!$E$2:$E$23,0),2),IF(FIND("-",$B21)&gt;0,INDEX(WP!$A$2:$F$23,MATCH(LEFT($B21,FIND("_",$B21)-1),WP!$E$2:$E$23,0),2))),INDEX(WP!$A$2:$F$23,MATCH(Results!$B21,WP!$E$2:$E$23,0),2)),6)="Series",LEFT(IFERROR(IF(FIND("_",$B21)&gt;0,INDEX(WP!$A$2:$F$23,MATCH(LEFT($B21,FIND("_",$B21)-1),WP!$E$2:$E$23,0),2),IF(FIND("-",$B21)&gt;0,INDEX(WP!$A$2:$F$23,MATCH(LEFT($B21,FIND("_",$B21)-1),WP!$E$2:$E$23,0),2))),INDEX(WP!$A$2:$F$23,MATCH(Results!$B21,WP!$E$2:$E$23,0),2)),5),(IFERROR(IF(FIND("_",$B21)&gt;0,INDEX(WP!$A$2:$F$23,MATCH(LEFT($B21,FIND("_",$B21)-1),WP!$E$2:$E$23,0),2),IF(FIND("-",$B21)&gt;0,INDEX(WP!$A$2:$F$23,MATCH(LEFT($B21,FIND("_",$B21)-1),WP!$E$2:$E$23,0),2))),INDEX(WP!$A$2:$F$23,MATCH(Results!$B21,WP!$E$2:$E$23,0),2)))),IF(RIGHT(IFERROR(IF(FIND("_",$B21)&gt;0,INDEX(WP!$A$2:$F$23,MATCH(LEFT($B21,FIND("_",$B21)-1),WP!$E$2:$E$23,0),2),IF(FIND("-",$B21)&gt;0,INDEX(WP!$A$2:$F$23,MATCH(LEFT($B21,FIND("_",$B21)-1),WP!$E$2:$E$23,0),2))),INDEX(WP!$A$2:$F$23,MATCH(Results!$B21,WP!$E$2:$E$23,0),2)),6)="Series",LEFT(IFERROR(IF(FIND("_",$B21)&gt;0,INDEX(WP!$A$2:$F$23,MATCH(LEFT($B21,FIND("_",$B21)-1),WP!$E$2:$E$23,0),2),IF(FIND("-",$B21)&gt;0,INDEX(WP!$A$2:$F$23,MATCH(LEFT($B21,FIND("_",$B21)-1),WP!$E$2:$E$23,0),2))),INDEX(WP!$A$2:$F$23,MATCH(Results!$B21,WP!$E$2:$E$23,0),2)),5),(IFERROR(IF(FIND("_",$B21)&gt;0,INDEX(WP!$A$2:$F$23,MATCH(LEFT($B21,FIND("_",$B21)-1),WP!$E$2:$E$23,0),2),IF(FIND("-",$B21)&gt;0,INDEX(WP!$A$2:$F$23,MATCH(LEFT($B21,FIND("_",$B21)-1),WP!$E$2:$E$23,0),2))),INDEX(WP!$A$2:$F$23,MATCH(Results!$B21,WP!$E$2:$E$23,0),2))))&amp;"-"&amp;$I21),"")</f>
        <v/>
      </c>
      <c r="G21" s="17" t="str">
        <f>IF(LEN(_xlfn.IFNA(IF(IFERROR(IF(FIND("_",$B21)&gt;0,MID($B21,FIND("_",$B21)+1,LEN($B21)),IF(FIND("-",$B21)&gt;0,MID($B21,FIND("-",$B21)+1,LEN($B21)))),"")="",IFERROR(VLOOKUP($F21,WP!$B$2:$C$23,2,0),VLOOKUP($C21,Series!$A$3:$F$11,6,0)),IFERROR(VLOOKUP($F21,WP!$B$2:$C$23,2,0),VLOOKUP($C21,Series!$A$3:$F$11,6,0))&amp;" - "&amp;(IFERROR(IF(FIND("_",$B21)&gt;0,MID($B21,FIND("_",$B21)+1,LEN($B21)),IF(FIND("-",$B21)&gt;0,MID($B21,FIND("-",$B21)+1,LEN($B21)))),""))),""))&lt;64,_xlfn.IFNA(IF(IFERROR(IF(FIND("_",$B21)&gt;0,MID($B21,FIND("_",$B21)+1,LEN($B21)),IF(FIND("-",$B21)&gt;0,MID($B21,FIND("-",$B21)+1,LEN($B21)))),"")="",IFERROR(VLOOKUP($F21,WP!$B$2:$C$23,2,0),VLOOKUP($C21,Series!$A$3:$F$11,6,0)),IFERROR(VLOOKUP($F21,WP!$B$2:$C$23,2,0),VLOOKUP($C21,Series!$A$3:$F$11,6,0))&amp;" - "&amp;(IFERROR(IF(FIND("_",$B21)&gt;0,MID($B21,FIND("_",$B21)+1,LEN($B21)),IF(FIND("-",$B21)&gt;0,MID($B21,FIND("-",$B21)+1,LEN($B21)))),""))),""),LEFT((_xlfn.IFNA(IF(IFERROR(IF(FIND("_",$B21)&gt;0,MID($B21,FIND("_",$B21)+1,LEN($B21)),IF(FIND("-",$B21)&gt;0,MID($B21,FIND("-",$B21)+1,LEN($B21)))),"")="",IFERROR(VLOOKUP($F21,WP!$B$2:$C$23,2,0),VLOOKUP($C21,Series!$A$3:$F$11,6,0)),IFERROR(VLOOKUP($F21,WP!$B$2:$C$23,2,0),VLOOKUP($C21,Series!$A$3:$F$11,6,0))&amp;" - "&amp;(IFERROR(IF(FIND("_",$B21)&gt;0,MID($B21,FIND("_",$B21)+1,LEN($B21)),IF(FIND("-",$B21)&gt;0,MID($B21,FIND("-",$B21)+1,LEN($B21)))),""))),"")),64))</f>
        <v/>
      </c>
      <c r="H21" s="12"/>
      <c r="I21" s="12" t="str">
        <f>IF($D21&lt;&gt;"",COUNTIF($D$7:$D21,"="&amp;$D21),"")</f>
        <v/>
      </c>
      <c r="J21"/>
      <c r="K21" s="8"/>
      <c r="L21"/>
    </row>
    <row r="22" spans="1:12" x14ac:dyDescent="0.3">
      <c r="A22" s="1"/>
      <c r="B22" s="26"/>
      <c r="C22" s="12" t="str">
        <f>_xlfn.IFNA(IFERROR(IF(FIND("_",$B22)&gt;0,INDEX(WP!$A$2:$F$23,MATCH(LEFT($B22,FIND("_",$B22)-1),WP!$E$2:$E$23,0),1),IF(FIND("-",$B22)&gt;0,INDEX(WP!$A$2:$F$23,MATCH(LEFT($B22,FIND("_",$B22)-1),WP!$E$2:$E$23,0),1))),INDEX(WP!$A$2:$F$23,MATCH(Results!$B22,WP!$E$2:$E$23,0),1)),"")</f>
        <v/>
      </c>
      <c r="D22" s="12" t="str">
        <f>IFERROR(IFERROR(IF(RIGHT(INDEX(WP!$A$2:$F$23,MATCH(IF(FIND("_",$B22)&gt;0,LEFT($B22,FIND("_",$B22)-1)),WP!$E$2:$E$23,0),2),6)="Series",LEFT(INDEX(WP!$A$2:$F$23,MATCH(IF(FIND("_",$B22)&gt;0,LEFT($B22,FIND("_",$B22)-1)),WP!$E$2:$E$23,0),2),5),""),IF(RIGHT(INDEX(WP!$A$2:$F$23,MATCH($B22,WP!$E$2:$E$23,0),2),6)="Series",LEFT(INDEX(WP!$A$2:$F$23,MATCH($B22,WP!$E$2:$E$23,0),2),5),"")),"")</f>
        <v/>
      </c>
      <c r="E22" s="17" t="str">
        <f>IFERROR(VLOOKUP(VALUE($D22),Series!$B$3:$F$11,2,0),"")</f>
        <v/>
      </c>
      <c r="F22" s="12" t="str">
        <f>_xlfn.IFNA(IF(IF($D22&lt;&gt;"",COUNTIF($E:$E,"="&amp;$D22),"")="",IF(RIGHT(IFERROR(IF(FIND("_",$B22)&gt;0,INDEX(WP!$A$2:$F$23,MATCH(LEFT($B22,FIND("_",$B22)-1),WP!$E$2:$E$23,0),2),IF(FIND("-",$B22)&gt;0,INDEX(WP!$A$2:$F$23,MATCH(LEFT($B22,FIND("_",$B22)-1),WP!$E$2:$E$23,0),2))),INDEX(WP!$A$2:$F$23,MATCH(Results!$B22,WP!$E$2:$E$23,0),2)),6)="Series",LEFT(IFERROR(IF(FIND("_",$B22)&gt;0,INDEX(WP!$A$2:$F$23,MATCH(LEFT($B22,FIND("_",$B22)-1),WP!$E$2:$E$23,0),2),IF(FIND("-",$B22)&gt;0,INDEX(WP!$A$2:$F$23,MATCH(LEFT($B22,FIND("_",$B22)-1),WP!$E$2:$E$23,0),2))),INDEX(WP!$A$2:$F$23,MATCH(Results!$B22,WP!$E$2:$E$23,0),2)),5),(IFERROR(IF(FIND("_",$B22)&gt;0,INDEX(WP!$A$2:$F$23,MATCH(LEFT($B22,FIND("_",$B22)-1),WP!$E$2:$E$23,0),2),IF(FIND("-",$B22)&gt;0,INDEX(WP!$A$2:$F$23,MATCH(LEFT($B22,FIND("_",$B22)-1),WP!$E$2:$E$23,0),2))),INDEX(WP!$A$2:$F$23,MATCH(Results!$B22,WP!$E$2:$E$23,0),2)))),IF(RIGHT(IFERROR(IF(FIND("_",$B22)&gt;0,INDEX(WP!$A$2:$F$23,MATCH(LEFT($B22,FIND("_",$B22)-1),WP!$E$2:$E$23,0),2),IF(FIND("-",$B22)&gt;0,INDEX(WP!$A$2:$F$23,MATCH(LEFT($B22,FIND("_",$B22)-1),WP!$E$2:$E$23,0),2))),INDEX(WP!$A$2:$F$23,MATCH(Results!$B22,WP!$E$2:$E$23,0),2)),6)="Series",LEFT(IFERROR(IF(FIND("_",$B22)&gt;0,INDEX(WP!$A$2:$F$23,MATCH(LEFT($B22,FIND("_",$B22)-1),WP!$E$2:$E$23,0),2),IF(FIND("-",$B22)&gt;0,INDEX(WP!$A$2:$F$23,MATCH(LEFT($B22,FIND("_",$B22)-1),WP!$E$2:$E$23,0),2))),INDEX(WP!$A$2:$F$23,MATCH(Results!$B22,WP!$E$2:$E$23,0),2)),5),(IFERROR(IF(FIND("_",$B22)&gt;0,INDEX(WP!$A$2:$F$23,MATCH(LEFT($B22,FIND("_",$B22)-1),WP!$E$2:$E$23,0),2),IF(FIND("-",$B22)&gt;0,INDEX(WP!$A$2:$F$23,MATCH(LEFT($B22,FIND("_",$B22)-1),WP!$E$2:$E$23,0),2))),INDEX(WP!$A$2:$F$23,MATCH(Results!$B22,WP!$E$2:$E$23,0),2))))&amp;"-"&amp;$I22),"")</f>
        <v/>
      </c>
      <c r="G22" s="17" t="str">
        <f>IF(LEN(_xlfn.IFNA(IF(IFERROR(IF(FIND("_",$B22)&gt;0,MID($B22,FIND("_",$B22)+1,LEN($B22)),IF(FIND("-",$B22)&gt;0,MID($B22,FIND("-",$B22)+1,LEN($B22)))),"")="",IFERROR(VLOOKUP($F22,WP!$B$2:$C$23,2,0),VLOOKUP($C22,Series!$A$3:$F$11,6,0)),IFERROR(VLOOKUP($F22,WP!$B$2:$C$23,2,0),VLOOKUP($C22,Series!$A$3:$F$11,6,0))&amp;" - "&amp;(IFERROR(IF(FIND("_",$B22)&gt;0,MID($B22,FIND("_",$B22)+1,LEN($B22)),IF(FIND("-",$B22)&gt;0,MID($B22,FIND("-",$B22)+1,LEN($B22)))),""))),""))&lt;64,_xlfn.IFNA(IF(IFERROR(IF(FIND("_",$B22)&gt;0,MID($B22,FIND("_",$B22)+1,LEN($B22)),IF(FIND("-",$B22)&gt;0,MID($B22,FIND("-",$B22)+1,LEN($B22)))),"")="",IFERROR(VLOOKUP($F22,WP!$B$2:$C$23,2,0),VLOOKUP($C22,Series!$A$3:$F$11,6,0)),IFERROR(VLOOKUP($F22,WP!$B$2:$C$23,2,0),VLOOKUP($C22,Series!$A$3:$F$11,6,0))&amp;" - "&amp;(IFERROR(IF(FIND("_",$B22)&gt;0,MID($B22,FIND("_",$B22)+1,LEN($B22)),IF(FIND("-",$B22)&gt;0,MID($B22,FIND("-",$B22)+1,LEN($B22)))),""))),""),LEFT((_xlfn.IFNA(IF(IFERROR(IF(FIND("_",$B22)&gt;0,MID($B22,FIND("_",$B22)+1,LEN($B22)),IF(FIND("-",$B22)&gt;0,MID($B22,FIND("-",$B22)+1,LEN($B22)))),"")="",IFERROR(VLOOKUP($F22,WP!$B$2:$C$23,2,0),VLOOKUP($C22,Series!$A$3:$F$11,6,0)),IFERROR(VLOOKUP($F22,WP!$B$2:$C$23,2,0),VLOOKUP($C22,Series!$A$3:$F$11,6,0))&amp;" - "&amp;(IFERROR(IF(FIND("_",$B22)&gt;0,MID($B22,FIND("_",$B22)+1,LEN($B22)),IF(FIND("-",$B22)&gt;0,MID($B22,FIND("-",$B22)+1,LEN($B22)))),""))),"")),64))</f>
        <v/>
      </c>
      <c r="H22" s="12"/>
      <c r="I22" s="12" t="str">
        <f>IF($D22&lt;&gt;"",COUNTIF($D$7:$D22,"="&amp;$D22),"")</f>
        <v/>
      </c>
      <c r="J22"/>
      <c r="K22" s="8"/>
      <c r="L22"/>
    </row>
    <row r="23" spans="1:12" x14ac:dyDescent="0.3">
      <c r="A23" s="1"/>
      <c r="B23" s="26"/>
      <c r="C23" s="12" t="str">
        <f>_xlfn.IFNA(IFERROR(IF(FIND("_",$B23)&gt;0,INDEX(WP!$A$2:$F$23,MATCH(LEFT($B23,FIND("_",$B23)-1),WP!$E$2:$E$23,0),1),IF(FIND("-",$B23)&gt;0,INDEX(WP!$A$2:$F$23,MATCH(LEFT($B23,FIND("_",$B23)-1),WP!$E$2:$E$23,0),1))),INDEX(WP!$A$2:$F$23,MATCH(Results!$B23,WP!$E$2:$E$23,0),1)),"")</f>
        <v/>
      </c>
      <c r="D23" s="12" t="str">
        <f>IFERROR(IFERROR(IF(RIGHT(INDEX(WP!$A$2:$F$23,MATCH(IF(FIND("_",$B23)&gt;0,LEFT($B23,FIND("_",$B23)-1)),WP!$E$2:$E$23,0),2),6)="Series",LEFT(INDEX(WP!$A$2:$F$23,MATCH(IF(FIND("_",$B23)&gt;0,LEFT($B23,FIND("_",$B23)-1)),WP!$E$2:$E$23,0),2),5),""),IF(RIGHT(INDEX(WP!$A$2:$F$23,MATCH($B23,WP!$E$2:$E$23,0),2),6)="Series",LEFT(INDEX(WP!$A$2:$F$23,MATCH($B23,WP!$E$2:$E$23,0),2),5),"")),"")</f>
        <v/>
      </c>
      <c r="E23" s="17" t="str">
        <f>IFERROR(VLOOKUP(VALUE($D23),Series!$B$3:$F$11,2,0),"")</f>
        <v/>
      </c>
      <c r="F23" s="12" t="str">
        <f>_xlfn.IFNA(IF(IF($D23&lt;&gt;"",COUNTIF($E:$E,"="&amp;$D23),"")="",IF(RIGHT(IFERROR(IF(FIND("_",$B23)&gt;0,INDEX(WP!$A$2:$F$23,MATCH(LEFT($B23,FIND("_",$B23)-1),WP!$E$2:$E$23,0),2),IF(FIND("-",$B23)&gt;0,INDEX(WP!$A$2:$F$23,MATCH(LEFT($B23,FIND("_",$B23)-1),WP!$E$2:$E$23,0),2))),INDEX(WP!$A$2:$F$23,MATCH(Results!$B23,WP!$E$2:$E$23,0),2)),6)="Series",LEFT(IFERROR(IF(FIND("_",$B23)&gt;0,INDEX(WP!$A$2:$F$23,MATCH(LEFT($B23,FIND("_",$B23)-1),WP!$E$2:$E$23,0),2),IF(FIND("-",$B23)&gt;0,INDEX(WP!$A$2:$F$23,MATCH(LEFT($B23,FIND("_",$B23)-1),WP!$E$2:$E$23,0),2))),INDEX(WP!$A$2:$F$23,MATCH(Results!$B23,WP!$E$2:$E$23,0),2)),5),(IFERROR(IF(FIND("_",$B23)&gt;0,INDEX(WP!$A$2:$F$23,MATCH(LEFT($B23,FIND("_",$B23)-1),WP!$E$2:$E$23,0),2),IF(FIND("-",$B23)&gt;0,INDEX(WP!$A$2:$F$23,MATCH(LEFT($B23,FIND("_",$B23)-1),WP!$E$2:$E$23,0),2))),INDEX(WP!$A$2:$F$23,MATCH(Results!$B23,WP!$E$2:$E$23,0),2)))),IF(RIGHT(IFERROR(IF(FIND("_",$B23)&gt;0,INDEX(WP!$A$2:$F$23,MATCH(LEFT($B23,FIND("_",$B23)-1),WP!$E$2:$E$23,0),2),IF(FIND("-",$B23)&gt;0,INDEX(WP!$A$2:$F$23,MATCH(LEFT($B23,FIND("_",$B23)-1),WP!$E$2:$E$23,0),2))),INDEX(WP!$A$2:$F$23,MATCH(Results!$B23,WP!$E$2:$E$23,0),2)),6)="Series",LEFT(IFERROR(IF(FIND("_",$B23)&gt;0,INDEX(WP!$A$2:$F$23,MATCH(LEFT($B23,FIND("_",$B23)-1),WP!$E$2:$E$23,0),2),IF(FIND("-",$B23)&gt;0,INDEX(WP!$A$2:$F$23,MATCH(LEFT($B23,FIND("_",$B23)-1),WP!$E$2:$E$23,0),2))),INDEX(WP!$A$2:$F$23,MATCH(Results!$B23,WP!$E$2:$E$23,0),2)),5),(IFERROR(IF(FIND("_",$B23)&gt;0,INDEX(WP!$A$2:$F$23,MATCH(LEFT($B23,FIND("_",$B23)-1),WP!$E$2:$E$23,0),2),IF(FIND("-",$B23)&gt;0,INDEX(WP!$A$2:$F$23,MATCH(LEFT($B23,FIND("_",$B23)-1),WP!$E$2:$E$23,0),2))),INDEX(WP!$A$2:$F$23,MATCH(Results!$B23,WP!$E$2:$E$23,0),2))))&amp;"-"&amp;$I23),"")</f>
        <v/>
      </c>
      <c r="G23" s="17" t="str">
        <f>IF(LEN(_xlfn.IFNA(IF(IFERROR(IF(FIND("_",$B23)&gt;0,MID($B23,FIND("_",$B23)+1,LEN($B23)),IF(FIND("-",$B23)&gt;0,MID($B23,FIND("-",$B23)+1,LEN($B23)))),"")="",IFERROR(VLOOKUP($F23,WP!$B$2:$C$23,2,0),VLOOKUP($C23,Series!$A$3:$F$11,6,0)),IFERROR(VLOOKUP($F23,WP!$B$2:$C$23,2,0),VLOOKUP($C23,Series!$A$3:$F$11,6,0))&amp;" - "&amp;(IFERROR(IF(FIND("_",$B23)&gt;0,MID($B23,FIND("_",$B23)+1,LEN($B23)),IF(FIND("-",$B23)&gt;0,MID($B23,FIND("-",$B23)+1,LEN($B23)))),""))),""))&lt;64,_xlfn.IFNA(IF(IFERROR(IF(FIND("_",$B23)&gt;0,MID($B23,FIND("_",$B23)+1,LEN($B23)),IF(FIND("-",$B23)&gt;0,MID($B23,FIND("-",$B23)+1,LEN($B23)))),"")="",IFERROR(VLOOKUP($F23,WP!$B$2:$C$23,2,0),VLOOKUP($C23,Series!$A$3:$F$11,6,0)),IFERROR(VLOOKUP($F23,WP!$B$2:$C$23,2,0),VLOOKUP($C23,Series!$A$3:$F$11,6,0))&amp;" - "&amp;(IFERROR(IF(FIND("_",$B23)&gt;0,MID($B23,FIND("_",$B23)+1,LEN($B23)),IF(FIND("-",$B23)&gt;0,MID($B23,FIND("-",$B23)+1,LEN($B23)))),""))),""),LEFT((_xlfn.IFNA(IF(IFERROR(IF(FIND("_",$B23)&gt;0,MID($B23,FIND("_",$B23)+1,LEN($B23)),IF(FIND("-",$B23)&gt;0,MID($B23,FIND("-",$B23)+1,LEN($B23)))),"")="",IFERROR(VLOOKUP($F23,WP!$B$2:$C$23,2,0),VLOOKUP($C23,Series!$A$3:$F$11,6,0)),IFERROR(VLOOKUP($F23,WP!$B$2:$C$23,2,0),VLOOKUP($C23,Series!$A$3:$F$11,6,0))&amp;" - "&amp;(IFERROR(IF(FIND("_",$B23)&gt;0,MID($B23,FIND("_",$B23)+1,LEN($B23)),IF(FIND("-",$B23)&gt;0,MID($B23,FIND("-",$B23)+1,LEN($B23)))),""))),"")),64))</f>
        <v/>
      </c>
      <c r="H23" s="12"/>
      <c r="I23" s="12" t="str">
        <f>IF($D23&lt;&gt;"",COUNTIF($D$7:$D23,"="&amp;$D23),"")</f>
        <v/>
      </c>
      <c r="J23"/>
      <c r="K23" s="8"/>
      <c r="L23"/>
    </row>
    <row r="24" spans="1:12" x14ac:dyDescent="0.3">
      <c r="A24" s="1"/>
      <c r="B24" s="26"/>
      <c r="C24" s="12" t="str">
        <f>_xlfn.IFNA(IFERROR(IF(FIND("_",$B24)&gt;0,INDEX(WP!$A$2:$F$23,MATCH(LEFT($B24,FIND("_",$B24)-1),WP!$E$2:$E$23,0),1),IF(FIND("-",$B24)&gt;0,INDEX(WP!$A$2:$F$23,MATCH(LEFT($B24,FIND("_",$B24)-1),WP!$E$2:$E$23,0),1))),INDEX(WP!$A$2:$F$23,MATCH(Results!$B24,WP!$E$2:$E$23,0),1)),"")</f>
        <v/>
      </c>
      <c r="D24" s="12" t="str">
        <f>IFERROR(IFERROR(IF(RIGHT(INDEX(WP!$A$2:$F$23,MATCH(IF(FIND("_",$B24)&gt;0,LEFT($B24,FIND("_",$B24)-1)),WP!$E$2:$E$23,0),2),6)="Series",LEFT(INDEX(WP!$A$2:$F$23,MATCH(IF(FIND("_",$B24)&gt;0,LEFT($B24,FIND("_",$B24)-1)),WP!$E$2:$E$23,0),2),5),""),IF(RIGHT(INDEX(WP!$A$2:$F$23,MATCH($B24,WP!$E$2:$E$23,0),2),6)="Series",LEFT(INDEX(WP!$A$2:$F$23,MATCH($B24,WP!$E$2:$E$23,0),2),5),"")),"")</f>
        <v/>
      </c>
      <c r="E24" s="17" t="str">
        <f>IFERROR(VLOOKUP(VALUE($D24),Series!$B$3:$F$11,2,0),"")</f>
        <v/>
      </c>
      <c r="F24" s="12" t="str">
        <f>_xlfn.IFNA(IF(IF($D24&lt;&gt;"",COUNTIF($E:$E,"="&amp;$D24),"")="",IF(RIGHT(IFERROR(IF(FIND("_",$B24)&gt;0,INDEX(WP!$A$2:$F$23,MATCH(LEFT($B24,FIND("_",$B24)-1),WP!$E$2:$E$23,0),2),IF(FIND("-",$B24)&gt;0,INDEX(WP!$A$2:$F$23,MATCH(LEFT($B24,FIND("_",$B24)-1),WP!$E$2:$E$23,0),2))),INDEX(WP!$A$2:$F$23,MATCH(Results!$B24,WP!$E$2:$E$23,0),2)),6)="Series",LEFT(IFERROR(IF(FIND("_",$B24)&gt;0,INDEX(WP!$A$2:$F$23,MATCH(LEFT($B24,FIND("_",$B24)-1),WP!$E$2:$E$23,0),2),IF(FIND("-",$B24)&gt;0,INDEX(WP!$A$2:$F$23,MATCH(LEFT($B24,FIND("_",$B24)-1),WP!$E$2:$E$23,0),2))),INDEX(WP!$A$2:$F$23,MATCH(Results!$B24,WP!$E$2:$E$23,0),2)),5),(IFERROR(IF(FIND("_",$B24)&gt;0,INDEX(WP!$A$2:$F$23,MATCH(LEFT($B24,FIND("_",$B24)-1),WP!$E$2:$E$23,0),2),IF(FIND("-",$B24)&gt;0,INDEX(WP!$A$2:$F$23,MATCH(LEFT($B24,FIND("_",$B24)-1),WP!$E$2:$E$23,0),2))),INDEX(WP!$A$2:$F$23,MATCH(Results!$B24,WP!$E$2:$E$23,0),2)))),IF(RIGHT(IFERROR(IF(FIND("_",$B24)&gt;0,INDEX(WP!$A$2:$F$23,MATCH(LEFT($B24,FIND("_",$B24)-1),WP!$E$2:$E$23,0),2),IF(FIND("-",$B24)&gt;0,INDEX(WP!$A$2:$F$23,MATCH(LEFT($B24,FIND("_",$B24)-1),WP!$E$2:$E$23,0),2))),INDEX(WP!$A$2:$F$23,MATCH(Results!$B24,WP!$E$2:$E$23,0),2)),6)="Series",LEFT(IFERROR(IF(FIND("_",$B24)&gt;0,INDEX(WP!$A$2:$F$23,MATCH(LEFT($B24,FIND("_",$B24)-1),WP!$E$2:$E$23,0),2),IF(FIND("-",$B24)&gt;0,INDEX(WP!$A$2:$F$23,MATCH(LEFT($B24,FIND("_",$B24)-1),WP!$E$2:$E$23,0),2))),INDEX(WP!$A$2:$F$23,MATCH(Results!$B24,WP!$E$2:$E$23,0),2)),5),(IFERROR(IF(FIND("_",$B24)&gt;0,INDEX(WP!$A$2:$F$23,MATCH(LEFT($B24,FIND("_",$B24)-1),WP!$E$2:$E$23,0),2),IF(FIND("-",$B24)&gt;0,INDEX(WP!$A$2:$F$23,MATCH(LEFT($B24,FIND("_",$B24)-1),WP!$E$2:$E$23,0),2))),INDEX(WP!$A$2:$F$23,MATCH(Results!$B24,WP!$E$2:$E$23,0),2))))&amp;"-"&amp;$I24),"")</f>
        <v/>
      </c>
      <c r="G24" s="17" t="str">
        <f>IF(LEN(_xlfn.IFNA(IF(IFERROR(IF(FIND("_",$B24)&gt;0,MID($B24,FIND("_",$B24)+1,LEN($B24)),IF(FIND("-",$B24)&gt;0,MID($B24,FIND("-",$B24)+1,LEN($B24)))),"")="",IFERROR(VLOOKUP($F24,WP!$B$2:$C$23,2,0),VLOOKUP($C24,Series!$A$3:$F$11,6,0)),IFERROR(VLOOKUP($F24,WP!$B$2:$C$23,2,0),VLOOKUP($C24,Series!$A$3:$F$11,6,0))&amp;" - "&amp;(IFERROR(IF(FIND("_",$B24)&gt;0,MID($B24,FIND("_",$B24)+1,LEN($B24)),IF(FIND("-",$B24)&gt;0,MID($B24,FIND("-",$B24)+1,LEN($B24)))),""))),""))&lt;64,_xlfn.IFNA(IF(IFERROR(IF(FIND("_",$B24)&gt;0,MID($B24,FIND("_",$B24)+1,LEN($B24)),IF(FIND("-",$B24)&gt;0,MID($B24,FIND("-",$B24)+1,LEN($B24)))),"")="",IFERROR(VLOOKUP($F24,WP!$B$2:$C$23,2,0),VLOOKUP($C24,Series!$A$3:$F$11,6,0)),IFERROR(VLOOKUP($F24,WP!$B$2:$C$23,2,0),VLOOKUP($C24,Series!$A$3:$F$11,6,0))&amp;" - "&amp;(IFERROR(IF(FIND("_",$B24)&gt;0,MID($B24,FIND("_",$B24)+1,LEN($B24)),IF(FIND("-",$B24)&gt;0,MID($B24,FIND("-",$B24)+1,LEN($B24)))),""))),""),LEFT((_xlfn.IFNA(IF(IFERROR(IF(FIND("_",$B24)&gt;0,MID($B24,FIND("_",$B24)+1,LEN($B24)),IF(FIND("-",$B24)&gt;0,MID($B24,FIND("-",$B24)+1,LEN($B24)))),"")="",IFERROR(VLOOKUP($F24,WP!$B$2:$C$23,2,0),VLOOKUP($C24,Series!$A$3:$F$11,6,0)),IFERROR(VLOOKUP($F24,WP!$B$2:$C$23,2,0),VLOOKUP($C24,Series!$A$3:$F$11,6,0))&amp;" - "&amp;(IFERROR(IF(FIND("_",$B24)&gt;0,MID($B24,FIND("_",$B24)+1,LEN($B24)),IF(FIND("-",$B24)&gt;0,MID($B24,FIND("-",$B24)+1,LEN($B24)))),""))),"")),64))</f>
        <v/>
      </c>
      <c r="H24" s="12"/>
      <c r="I24" s="12" t="str">
        <f>IF($D24&lt;&gt;"",COUNTIF($D$7:$D24,"="&amp;$D24),"")</f>
        <v/>
      </c>
      <c r="J24"/>
      <c r="K24" s="8"/>
      <c r="L24"/>
    </row>
    <row r="25" spans="1:12" x14ac:dyDescent="0.3">
      <c r="A25" s="1"/>
      <c r="B25" s="26"/>
      <c r="C25" s="12" t="str">
        <f>_xlfn.IFNA(IFERROR(IF(FIND("_",$B25)&gt;0,INDEX(WP!$A$2:$F$23,MATCH(LEFT($B25,FIND("_",$B25)-1),WP!$E$2:$E$23,0),1),IF(FIND("-",$B25)&gt;0,INDEX(WP!$A$2:$F$23,MATCH(LEFT($B25,FIND("_",$B25)-1),WP!$E$2:$E$23,0),1))),INDEX(WP!$A$2:$F$23,MATCH(Results!$B25,WP!$E$2:$E$23,0),1)),"")</f>
        <v/>
      </c>
      <c r="D25" s="12" t="str">
        <f>IFERROR(IFERROR(IF(RIGHT(INDEX(WP!$A$2:$F$23,MATCH(IF(FIND("_",$B25)&gt;0,LEFT($B25,FIND("_",$B25)-1)),WP!$E$2:$E$23,0),2),6)="Series",LEFT(INDEX(WP!$A$2:$F$23,MATCH(IF(FIND("_",$B25)&gt;0,LEFT($B25,FIND("_",$B25)-1)),WP!$E$2:$E$23,0),2),5),""),IF(RIGHT(INDEX(WP!$A$2:$F$23,MATCH($B25,WP!$E$2:$E$23,0),2),6)="Series",LEFT(INDEX(WP!$A$2:$F$23,MATCH($B25,WP!$E$2:$E$23,0),2),5),"")),"")</f>
        <v/>
      </c>
      <c r="E25" s="17" t="str">
        <f>IFERROR(VLOOKUP(VALUE($D25),Series!$B$3:$F$11,2,0),"")</f>
        <v/>
      </c>
      <c r="F25" s="12" t="str">
        <f>_xlfn.IFNA(IF(IF($D25&lt;&gt;"",COUNTIF($E:$E,"="&amp;$D25),"")="",IF(RIGHT(IFERROR(IF(FIND("_",$B25)&gt;0,INDEX(WP!$A$2:$F$23,MATCH(LEFT($B25,FIND("_",$B25)-1),WP!$E$2:$E$23,0),2),IF(FIND("-",$B25)&gt;0,INDEX(WP!$A$2:$F$23,MATCH(LEFT($B25,FIND("_",$B25)-1),WP!$E$2:$E$23,0),2))),INDEX(WP!$A$2:$F$23,MATCH(Results!$B25,WP!$E$2:$E$23,0),2)),6)="Series",LEFT(IFERROR(IF(FIND("_",$B25)&gt;0,INDEX(WP!$A$2:$F$23,MATCH(LEFT($B25,FIND("_",$B25)-1),WP!$E$2:$E$23,0),2),IF(FIND("-",$B25)&gt;0,INDEX(WP!$A$2:$F$23,MATCH(LEFT($B25,FIND("_",$B25)-1),WP!$E$2:$E$23,0),2))),INDEX(WP!$A$2:$F$23,MATCH(Results!$B25,WP!$E$2:$E$23,0),2)),5),(IFERROR(IF(FIND("_",$B25)&gt;0,INDEX(WP!$A$2:$F$23,MATCH(LEFT($B25,FIND("_",$B25)-1),WP!$E$2:$E$23,0),2),IF(FIND("-",$B25)&gt;0,INDEX(WP!$A$2:$F$23,MATCH(LEFT($B25,FIND("_",$B25)-1),WP!$E$2:$E$23,0),2))),INDEX(WP!$A$2:$F$23,MATCH(Results!$B25,WP!$E$2:$E$23,0),2)))),IF(RIGHT(IFERROR(IF(FIND("_",$B25)&gt;0,INDEX(WP!$A$2:$F$23,MATCH(LEFT($B25,FIND("_",$B25)-1),WP!$E$2:$E$23,0),2),IF(FIND("-",$B25)&gt;0,INDEX(WP!$A$2:$F$23,MATCH(LEFT($B25,FIND("_",$B25)-1),WP!$E$2:$E$23,0),2))),INDEX(WP!$A$2:$F$23,MATCH(Results!$B25,WP!$E$2:$E$23,0),2)),6)="Series",LEFT(IFERROR(IF(FIND("_",$B25)&gt;0,INDEX(WP!$A$2:$F$23,MATCH(LEFT($B25,FIND("_",$B25)-1),WP!$E$2:$E$23,0),2),IF(FIND("-",$B25)&gt;0,INDEX(WP!$A$2:$F$23,MATCH(LEFT($B25,FIND("_",$B25)-1),WP!$E$2:$E$23,0),2))),INDEX(WP!$A$2:$F$23,MATCH(Results!$B25,WP!$E$2:$E$23,0),2)),5),(IFERROR(IF(FIND("_",$B25)&gt;0,INDEX(WP!$A$2:$F$23,MATCH(LEFT($B25,FIND("_",$B25)-1),WP!$E$2:$E$23,0),2),IF(FIND("-",$B25)&gt;0,INDEX(WP!$A$2:$F$23,MATCH(LEFT($B25,FIND("_",$B25)-1),WP!$E$2:$E$23,0),2))),INDEX(WP!$A$2:$F$23,MATCH(Results!$B25,WP!$E$2:$E$23,0),2))))&amp;"-"&amp;$I25),"")</f>
        <v/>
      </c>
      <c r="G25" s="17" t="str">
        <f>IF(LEN(_xlfn.IFNA(IF(IFERROR(IF(FIND("_",$B25)&gt;0,MID($B25,FIND("_",$B25)+1,LEN($B25)),IF(FIND("-",$B25)&gt;0,MID($B25,FIND("-",$B25)+1,LEN($B25)))),"")="",IFERROR(VLOOKUP($F25,WP!$B$2:$C$23,2,0),VLOOKUP($C25,Series!$A$3:$F$11,6,0)),IFERROR(VLOOKUP($F25,WP!$B$2:$C$23,2,0),VLOOKUP($C25,Series!$A$3:$F$11,6,0))&amp;" - "&amp;(IFERROR(IF(FIND("_",$B25)&gt;0,MID($B25,FIND("_",$B25)+1,LEN($B25)),IF(FIND("-",$B25)&gt;0,MID($B25,FIND("-",$B25)+1,LEN($B25)))),""))),""))&lt;64,_xlfn.IFNA(IF(IFERROR(IF(FIND("_",$B25)&gt;0,MID($B25,FIND("_",$B25)+1,LEN($B25)),IF(FIND("-",$B25)&gt;0,MID($B25,FIND("-",$B25)+1,LEN($B25)))),"")="",IFERROR(VLOOKUP($F25,WP!$B$2:$C$23,2,0),VLOOKUP($C25,Series!$A$3:$F$11,6,0)),IFERROR(VLOOKUP($F25,WP!$B$2:$C$23,2,0),VLOOKUP($C25,Series!$A$3:$F$11,6,0))&amp;" - "&amp;(IFERROR(IF(FIND("_",$B25)&gt;0,MID($B25,FIND("_",$B25)+1,LEN($B25)),IF(FIND("-",$B25)&gt;0,MID($B25,FIND("-",$B25)+1,LEN($B25)))),""))),""),LEFT((_xlfn.IFNA(IF(IFERROR(IF(FIND("_",$B25)&gt;0,MID($B25,FIND("_",$B25)+1,LEN($B25)),IF(FIND("-",$B25)&gt;0,MID($B25,FIND("-",$B25)+1,LEN($B25)))),"")="",IFERROR(VLOOKUP($F25,WP!$B$2:$C$23,2,0),VLOOKUP($C25,Series!$A$3:$F$11,6,0)),IFERROR(VLOOKUP($F25,WP!$B$2:$C$23,2,0),VLOOKUP($C25,Series!$A$3:$F$11,6,0))&amp;" - "&amp;(IFERROR(IF(FIND("_",$B25)&gt;0,MID($B25,FIND("_",$B25)+1,LEN($B25)),IF(FIND("-",$B25)&gt;0,MID($B25,FIND("-",$B25)+1,LEN($B25)))),""))),"")),64))</f>
        <v/>
      </c>
      <c r="H25" s="12"/>
      <c r="I25" s="12" t="str">
        <f>IF($D25&lt;&gt;"",COUNTIF($D$7:$D25,"="&amp;$D25),"")</f>
        <v/>
      </c>
      <c r="J25"/>
      <c r="K25" s="8"/>
      <c r="L25"/>
    </row>
    <row r="26" spans="1:12" x14ac:dyDescent="0.3">
      <c r="A26" s="1"/>
      <c r="B26" s="26"/>
      <c r="C26" s="12" t="str">
        <f>_xlfn.IFNA(IFERROR(IF(FIND("_",$B26)&gt;0,INDEX(WP!$A$2:$F$23,MATCH(LEFT($B26,FIND("_",$B26)-1),WP!$E$2:$E$23,0),1),IF(FIND("-",$B26)&gt;0,INDEX(WP!$A$2:$F$23,MATCH(LEFT($B26,FIND("_",$B26)-1),WP!$E$2:$E$23,0),1))),INDEX(WP!$A$2:$F$23,MATCH(Results!$B26,WP!$E$2:$E$23,0),1)),"")</f>
        <v/>
      </c>
      <c r="D26" s="12" t="str">
        <f>IFERROR(IFERROR(IF(RIGHT(INDEX(WP!$A$2:$F$23,MATCH(IF(FIND("_",$B26)&gt;0,LEFT($B26,FIND("_",$B26)-1)),WP!$E$2:$E$23,0),2),6)="Series",LEFT(INDEX(WP!$A$2:$F$23,MATCH(IF(FIND("_",$B26)&gt;0,LEFT($B26,FIND("_",$B26)-1)),WP!$E$2:$E$23,0),2),5),""),IF(RIGHT(INDEX(WP!$A$2:$F$23,MATCH($B26,WP!$E$2:$E$23,0),2),6)="Series",LEFT(INDEX(WP!$A$2:$F$23,MATCH($B26,WP!$E$2:$E$23,0),2),5),"")),"")</f>
        <v/>
      </c>
      <c r="E26" s="17" t="str">
        <f>IFERROR(VLOOKUP(VALUE($D26),Series!$B$3:$F$11,2,0),"")</f>
        <v/>
      </c>
      <c r="F26" s="12" t="str">
        <f>_xlfn.IFNA(IF(IF($D26&lt;&gt;"",COUNTIF($E:$E,"="&amp;$D26),"")="",IF(RIGHT(IFERROR(IF(FIND("_",$B26)&gt;0,INDEX(WP!$A$2:$F$23,MATCH(LEFT($B26,FIND("_",$B26)-1),WP!$E$2:$E$23,0),2),IF(FIND("-",$B26)&gt;0,INDEX(WP!$A$2:$F$23,MATCH(LEFT($B26,FIND("_",$B26)-1),WP!$E$2:$E$23,0),2))),INDEX(WP!$A$2:$F$23,MATCH(Results!$B26,WP!$E$2:$E$23,0),2)),6)="Series",LEFT(IFERROR(IF(FIND("_",$B26)&gt;0,INDEX(WP!$A$2:$F$23,MATCH(LEFT($B26,FIND("_",$B26)-1),WP!$E$2:$E$23,0),2),IF(FIND("-",$B26)&gt;0,INDEX(WP!$A$2:$F$23,MATCH(LEFT($B26,FIND("_",$B26)-1),WP!$E$2:$E$23,0),2))),INDEX(WP!$A$2:$F$23,MATCH(Results!$B26,WP!$E$2:$E$23,0),2)),5),(IFERROR(IF(FIND("_",$B26)&gt;0,INDEX(WP!$A$2:$F$23,MATCH(LEFT($B26,FIND("_",$B26)-1),WP!$E$2:$E$23,0),2),IF(FIND("-",$B26)&gt;0,INDEX(WP!$A$2:$F$23,MATCH(LEFT($B26,FIND("_",$B26)-1),WP!$E$2:$E$23,0),2))),INDEX(WP!$A$2:$F$23,MATCH(Results!$B26,WP!$E$2:$E$23,0),2)))),IF(RIGHT(IFERROR(IF(FIND("_",$B26)&gt;0,INDEX(WP!$A$2:$F$23,MATCH(LEFT($B26,FIND("_",$B26)-1),WP!$E$2:$E$23,0),2),IF(FIND("-",$B26)&gt;0,INDEX(WP!$A$2:$F$23,MATCH(LEFT($B26,FIND("_",$B26)-1),WP!$E$2:$E$23,0),2))),INDEX(WP!$A$2:$F$23,MATCH(Results!$B26,WP!$E$2:$E$23,0),2)),6)="Series",LEFT(IFERROR(IF(FIND("_",$B26)&gt;0,INDEX(WP!$A$2:$F$23,MATCH(LEFT($B26,FIND("_",$B26)-1),WP!$E$2:$E$23,0),2),IF(FIND("-",$B26)&gt;0,INDEX(WP!$A$2:$F$23,MATCH(LEFT($B26,FIND("_",$B26)-1),WP!$E$2:$E$23,0),2))),INDEX(WP!$A$2:$F$23,MATCH(Results!$B26,WP!$E$2:$E$23,0),2)),5),(IFERROR(IF(FIND("_",$B26)&gt;0,INDEX(WP!$A$2:$F$23,MATCH(LEFT($B26,FIND("_",$B26)-1),WP!$E$2:$E$23,0),2),IF(FIND("-",$B26)&gt;0,INDEX(WP!$A$2:$F$23,MATCH(LEFT($B26,FIND("_",$B26)-1),WP!$E$2:$E$23,0),2))),INDEX(WP!$A$2:$F$23,MATCH(Results!$B26,WP!$E$2:$E$23,0),2))))&amp;"-"&amp;$I26),"")</f>
        <v/>
      </c>
      <c r="G26" s="17" t="str">
        <f>IF(LEN(_xlfn.IFNA(IF(IFERROR(IF(FIND("_",$B26)&gt;0,MID($B26,FIND("_",$B26)+1,LEN($B26)),IF(FIND("-",$B26)&gt;0,MID($B26,FIND("-",$B26)+1,LEN($B26)))),"")="",IFERROR(VLOOKUP($F26,WP!$B$2:$C$23,2,0),VLOOKUP($C26,Series!$A$3:$F$11,6,0)),IFERROR(VLOOKUP($F26,WP!$B$2:$C$23,2,0),VLOOKUP($C26,Series!$A$3:$F$11,6,0))&amp;" - "&amp;(IFERROR(IF(FIND("_",$B26)&gt;0,MID($B26,FIND("_",$B26)+1,LEN($B26)),IF(FIND("-",$B26)&gt;0,MID($B26,FIND("-",$B26)+1,LEN($B26)))),""))),""))&lt;64,_xlfn.IFNA(IF(IFERROR(IF(FIND("_",$B26)&gt;0,MID($B26,FIND("_",$B26)+1,LEN($B26)),IF(FIND("-",$B26)&gt;0,MID($B26,FIND("-",$B26)+1,LEN($B26)))),"")="",IFERROR(VLOOKUP($F26,WP!$B$2:$C$23,2,0),VLOOKUP($C26,Series!$A$3:$F$11,6,0)),IFERROR(VLOOKUP($F26,WP!$B$2:$C$23,2,0),VLOOKUP($C26,Series!$A$3:$F$11,6,0))&amp;" - "&amp;(IFERROR(IF(FIND("_",$B26)&gt;0,MID($B26,FIND("_",$B26)+1,LEN($B26)),IF(FIND("-",$B26)&gt;0,MID($B26,FIND("-",$B26)+1,LEN($B26)))),""))),""),LEFT((_xlfn.IFNA(IF(IFERROR(IF(FIND("_",$B26)&gt;0,MID($B26,FIND("_",$B26)+1,LEN($B26)),IF(FIND("-",$B26)&gt;0,MID($B26,FIND("-",$B26)+1,LEN($B26)))),"")="",IFERROR(VLOOKUP($F26,WP!$B$2:$C$23,2,0),VLOOKUP($C26,Series!$A$3:$F$11,6,0)),IFERROR(VLOOKUP($F26,WP!$B$2:$C$23,2,0),VLOOKUP($C26,Series!$A$3:$F$11,6,0))&amp;" - "&amp;(IFERROR(IF(FIND("_",$B26)&gt;0,MID($B26,FIND("_",$B26)+1,LEN($B26)),IF(FIND("-",$B26)&gt;0,MID($B26,FIND("-",$B26)+1,LEN($B26)))),""))),"")),64))</f>
        <v/>
      </c>
      <c r="H26" s="12"/>
      <c r="I26" s="12" t="str">
        <f>IF($D26&lt;&gt;"",COUNTIF($D$7:$D26,"="&amp;$D26),"")</f>
        <v/>
      </c>
      <c r="J26"/>
      <c r="K26" s="8"/>
      <c r="L26"/>
    </row>
    <row r="27" spans="1:12" x14ac:dyDescent="0.3">
      <c r="A27" s="1"/>
      <c r="B27" s="26"/>
      <c r="C27" s="12" t="str">
        <f>_xlfn.IFNA(IFERROR(IF(FIND("_",$B27)&gt;0,INDEX(WP!$A$2:$F$23,MATCH(LEFT($B27,FIND("_",$B27)-1),WP!$E$2:$E$23,0),1),IF(FIND("-",$B27)&gt;0,INDEX(WP!$A$2:$F$23,MATCH(LEFT($B27,FIND("_",$B27)-1),WP!$E$2:$E$23,0),1))),INDEX(WP!$A$2:$F$23,MATCH(Results!$B27,WP!$E$2:$E$23,0),1)),"")</f>
        <v/>
      </c>
      <c r="D27" s="12" t="str">
        <f>IFERROR(IFERROR(IF(RIGHT(INDEX(WP!$A$2:$F$23,MATCH(IF(FIND("_",$B27)&gt;0,LEFT($B27,FIND("_",$B27)-1)),WP!$E$2:$E$23,0),2),6)="Series",LEFT(INDEX(WP!$A$2:$F$23,MATCH(IF(FIND("_",$B27)&gt;0,LEFT($B27,FIND("_",$B27)-1)),WP!$E$2:$E$23,0),2),5),""),IF(RIGHT(INDEX(WP!$A$2:$F$23,MATCH($B27,WP!$E$2:$E$23,0),2),6)="Series",LEFT(INDEX(WP!$A$2:$F$23,MATCH($B27,WP!$E$2:$E$23,0),2),5),"")),"")</f>
        <v/>
      </c>
      <c r="E27" s="17" t="str">
        <f>IFERROR(VLOOKUP(VALUE($D27),Series!$B$3:$F$11,2,0),"")</f>
        <v/>
      </c>
      <c r="F27" s="12" t="str">
        <f>_xlfn.IFNA(IF(IF($D27&lt;&gt;"",COUNTIF($E:$E,"="&amp;$D27),"")="",IF(RIGHT(IFERROR(IF(FIND("_",$B27)&gt;0,INDEX(WP!$A$2:$F$23,MATCH(LEFT($B27,FIND("_",$B27)-1),WP!$E$2:$E$23,0),2),IF(FIND("-",$B27)&gt;0,INDEX(WP!$A$2:$F$23,MATCH(LEFT($B27,FIND("_",$B27)-1),WP!$E$2:$E$23,0),2))),INDEX(WP!$A$2:$F$23,MATCH(Results!$B27,WP!$E$2:$E$23,0),2)),6)="Series",LEFT(IFERROR(IF(FIND("_",$B27)&gt;0,INDEX(WP!$A$2:$F$23,MATCH(LEFT($B27,FIND("_",$B27)-1),WP!$E$2:$E$23,0),2),IF(FIND("-",$B27)&gt;0,INDEX(WP!$A$2:$F$23,MATCH(LEFT($B27,FIND("_",$B27)-1),WP!$E$2:$E$23,0),2))),INDEX(WP!$A$2:$F$23,MATCH(Results!$B27,WP!$E$2:$E$23,0),2)),5),(IFERROR(IF(FIND("_",$B27)&gt;0,INDEX(WP!$A$2:$F$23,MATCH(LEFT($B27,FIND("_",$B27)-1),WP!$E$2:$E$23,0),2),IF(FIND("-",$B27)&gt;0,INDEX(WP!$A$2:$F$23,MATCH(LEFT($B27,FIND("_",$B27)-1),WP!$E$2:$E$23,0),2))),INDEX(WP!$A$2:$F$23,MATCH(Results!$B27,WP!$E$2:$E$23,0),2)))),IF(RIGHT(IFERROR(IF(FIND("_",$B27)&gt;0,INDEX(WP!$A$2:$F$23,MATCH(LEFT($B27,FIND("_",$B27)-1),WP!$E$2:$E$23,0),2),IF(FIND("-",$B27)&gt;0,INDEX(WP!$A$2:$F$23,MATCH(LEFT($B27,FIND("_",$B27)-1),WP!$E$2:$E$23,0),2))),INDEX(WP!$A$2:$F$23,MATCH(Results!$B27,WP!$E$2:$E$23,0),2)),6)="Series",LEFT(IFERROR(IF(FIND("_",$B27)&gt;0,INDEX(WP!$A$2:$F$23,MATCH(LEFT($B27,FIND("_",$B27)-1),WP!$E$2:$E$23,0),2),IF(FIND("-",$B27)&gt;0,INDEX(WP!$A$2:$F$23,MATCH(LEFT($B27,FIND("_",$B27)-1),WP!$E$2:$E$23,0),2))),INDEX(WP!$A$2:$F$23,MATCH(Results!$B27,WP!$E$2:$E$23,0),2)),5),(IFERROR(IF(FIND("_",$B27)&gt;0,INDEX(WP!$A$2:$F$23,MATCH(LEFT($B27,FIND("_",$B27)-1),WP!$E$2:$E$23,0),2),IF(FIND("-",$B27)&gt;0,INDEX(WP!$A$2:$F$23,MATCH(LEFT($B27,FIND("_",$B27)-1),WP!$E$2:$E$23,0),2))),INDEX(WP!$A$2:$F$23,MATCH(Results!$B27,WP!$E$2:$E$23,0),2))))&amp;"-"&amp;$I27),"")</f>
        <v/>
      </c>
      <c r="G27" s="17" t="str">
        <f>IF(LEN(_xlfn.IFNA(IF(IFERROR(IF(FIND("_",$B27)&gt;0,MID($B27,FIND("_",$B27)+1,LEN($B27)),IF(FIND("-",$B27)&gt;0,MID($B27,FIND("-",$B27)+1,LEN($B27)))),"")="",IFERROR(VLOOKUP($F27,WP!$B$2:$C$23,2,0),VLOOKUP($C27,Series!$A$3:$F$11,6,0)),IFERROR(VLOOKUP($F27,WP!$B$2:$C$23,2,0),VLOOKUP($C27,Series!$A$3:$F$11,6,0))&amp;" - "&amp;(IFERROR(IF(FIND("_",$B27)&gt;0,MID($B27,FIND("_",$B27)+1,LEN($B27)),IF(FIND("-",$B27)&gt;0,MID($B27,FIND("-",$B27)+1,LEN($B27)))),""))),""))&lt;64,_xlfn.IFNA(IF(IFERROR(IF(FIND("_",$B27)&gt;0,MID($B27,FIND("_",$B27)+1,LEN($B27)),IF(FIND("-",$B27)&gt;0,MID($B27,FIND("-",$B27)+1,LEN($B27)))),"")="",IFERROR(VLOOKUP($F27,WP!$B$2:$C$23,2,0),VLOOKUP($C27,Series!$A$3:$F$11,6,0)),IFERROR(VLOOKUP($F27,WP!$B$2:$C$23,2,0),VLOOKUP($C27,Series!$A$3:$F$11,6,0))&amp;" - "&amp;(IFERROR(IF(FIND("_",$B27)&gt;0,MID($B27,FIND("_",$B27)+1,LEN($B27)),IF(FIND("-",$B27)&gt;0,MID($B27,FIND("-",$B27)+1,LEN($B27)))),""))),""),LEFT((_xlfn.IFNA(IF(IFERROR(IF(FIND("_",$B27)&gt;0,MID($B27,FIND("_",$B27)+1,LEN($B27)),IF(FIND("-",$B27)&gt;0,MID($B27,FIND("-",$B27)+1,LEN($B27)))),"")="",IFERROR(VLOOKUP($F27,WP!$B$2:$C$23,2,0),VLOOKUP($C27,Series!$A$3:$F$11,6,0)),IFERROR(VLOOKUP($F27,WP!$B$2:$C$23,2,0),VLOOKUP($C27,Series!$A$3:$F$11,6,0))&amp;" - "&amp;(IFERROR(IF(FIND("_",$B27)&gt;0,MID($B27,FIND("_",$B27)+1,LEN($B27)),IF(FIND("-",$B27)&gt;0,MID($B27,FIND("-",$B27)+1,LEN($B27)))),""))),"")),64))</f>
        <v/>
      </c>
      <c r="H27" s="12"/>
      <c r="I27" s="12" t="str">
        <f>IF($D27&lt;&gt;"",COUNTIF($D$7:$D27,"="&amp;$D27),"")</f>
        <v/>
      </c>
      <c r="J27"/>
      <c r="K27" s="8"/>
      <c r="L27"/>
    </row>
    <row r="28" spans="1:12" x14ac:dyDescent="0.3">
      <c r="A28" s="1"/>
      <c r="B28" s="26"/>
      <c r="C28" s="12" t="str">
        <f>_xlfn.IFNA(IFERROR(IF(FIND("_",$B28)&gt;0,INDEX(WP!$A$2:$F$23,MATCH(LEFT($B28,FIND("_",$B28)-1),WP!$E$2:$E$23,0),1),IF(FIND("-",$B28)&gt;0,INDEX(WP!$A$2:$F$23,MATCH(LEFT($B28,FIND("_",$B28)-1),WP!$E$2:$E$23,0),1))),INDEX(WP!$A$2:$F$23,MATCH(Results!$B28,WP!$E$2:$E$23,0),1)),"")</f>
        <v/>
      </c>
      <c r="D28" s="12" t="str">
        <f>IFERROR(IFERROR(IF(RIGHT(INDEX(WP!$A$2:$F$23,MATCH(IF(FIND("_",$B28)&gt;0,LEFT($B28,FIND("_",$B28)-1)),WP!$E$2:$E$23,0),2),6)="Series",LEFT(INDEX(WP!$A$2:$F$23,MATCH(IF(FIND("_",$B28)&gt;0,LEFT($B28,FIND("_",$B28)-1)),WP!$E$2:$E$23,0),2),5),""),IF(RIGHT(INDEX(WP!$A$2:$F$23,MATCH($B28,WP!$E$2:$E$23,0),2),6)="Series",LEFT(INDEX(WP!$A$2:$F$23,MATCH($B28,WP!$E$2:$E$23,0),2),5),"")),"")</f>
        <v/>
      </c>
      <c r="E28" s="17" t="str">
        <f>IFERROR(VLOOKUP(VALUE($D28),Series!$B$3:$F$11,2,0),"")</f>
        <v/>
      </c>
      <c r="F28" s="12" t="str">
        <f>_xlfn.IFNA(IF(IF($D28&lt;&gt;"",COUNTIF($E:$E,"="&amp;$D28),"")="",IF(RIGHT(IFERROR(IF(FIND("_",$B28)&gt;0,INDEX(WP!$A$2:$F$23,MATCH(LEFT($B28,FIND("_",$B28)-1),WP!$E$2:$E$23,0),2),IF(FIND("-",$B28)&gt;0,INDEX(WP!$A$2:$F$23,MATCH(LEFT($B28,FIND("_",$B28)-1),WP!$E$2:$E$23,0),2))),INDEX(WP!$A$2:$F$23,MATCH(Results!$B28,WP!$E$2:$E$23,0),2)),6)="Series",LEFT(IFERROR(IF(FIND("_",$B28)&gt;0,INDEX(WP!$A$2:$F$23,MATCH(LEFT($B28,FIND("_",$B28)-1),WP!$E$2:$E$23,0),2),IF(FIND("-",$B28)&gt;0,INDEX(WP!$A$2:$F$23,MATCH(LEFT($B28,FIND("_",$B28)-1),WP!$E$2:$E$23,0),2))),INDEX(WP!$A$2:$F$23,MATCH(Results!$B28,WP!$E$2:$E$23,0),2)),5),(IFERROR(IF(FIND("_",$B28)&gt;0,INDEX(WP!$A$2:$F$23,MATCH(LEFT($B28,FIND("_",$B28)-1),WP!$E$2:$E$23,0),2),IF(FIND("-",$B28)&gt;0,INDEX(WP!$A$2:$F$23,MATCH(LEFT($B28,FIND("_",$B28)-1),WP!$E$2:$E$23,0),2))),INDEX(WP!$A$2:$F$23,MATCH(Results!$B28,WP!$E$2:$E$23,0),2)))),IF(RIGHT(IFERROR(IF(FIND("_",$B28)&gt;0,INDEX(WP!$A$2:$F$23,MATCH(LEFT($B28,FIND("_",$B28)-1),WP!$E$2:$E$23,0),2),IF(FIND("-",$B28)&gt;0,INDEX(WP!$A$2:$F$23,MATCH(LEFT($B28,FIND("_",$B28)-1),WP!$E$2:$E$23,0),2))),INDEX(WP!$A$2:$F$23,MATCH(Results!$B28,WP!$E$2:$E$23,0),2)),6)="Series",LEFT(IFERROR(IF(FIND("_",$B28)&gt;0,INDEX(WP!$A$2:$F$23,MATCH(LEFT($B28,FIND("_",$B28)-1),WP!$E$2:$E$23,0),2),IF(FIND("-",$B28)&gt;0,INDEX(WP!$A$2:$F$23,MATCH(LEFT($B28,FIND("_",$B28)-1),WP!$E$2:$E$23,0),2))),INDEX(WP!$A$2:$F$23,MATCH(Results!$B28,WP!$E$2:$E$23,0),2)),5),(IFERROR(IF(FIND("_",$B28)&gt;0,INDEX(WP!$A$2:$F$23,MATCH(LEFT($B28,FIND("_",$B28)-1),WP!$E$2:$E$23,0),2),IF(FIND("-",$B28)&gt;0,INDEX(WP!$A$2:$F$23,MATCH(LEFT($B28,FIND("_",$B28)-1),WP!$E$2:$E$23,0),2))),INDEX(WP!$A$2:$F$23,MATCH(Results!$B28,WP!$E$2:$E$23,0),2))))&amp;"-"&amp;$I28),"")</f>
        <v/>
      </c>
      <c r="G28" s="17" t="str">
        <f>IF(LEN(_xlfn.IFNA(IF(IFERROR(IF(FIND("_",$B28)&gt;0,MID($B28,FIND("_",$B28)+1,LEN($B28)),IF(FIND("-",$B28)&gt;0,MID($B28,FIND("-",$B28)+1,LEN($B28)))),"")="",IFERROR(VLOOKUP($F28,WP!$B$2:$C$23,2,0),VLOOKUP($C28,Series!$A$3:$F$11,6,0)),IFERROR(VLOOKUP($F28,WP!$B$2:$C$23,2,0),VLOOKUP($C28,Series!$A$3:$F$11,6,0))&amp;" - "&amp;(IFERROR(IF(FIND("_",$B28)&gt;0,MID($B28,FIND("_",$B28)+1,LEN($B28)),IF(FIND("-",$B28)&gt;0,MID($B28,FIND("-",$B28)+1,LEN($B28)))),""))),""))&lt;64,_xlfn.IFNA(IF(IFERROR(IF(FIND("_",$B28)&gt;0,MID($B28,FIND("_",$B28)+1,LEN($B28)),IF(FIND("-",$B28)&gt;0,MID($B28,FIND("-",$B28)+1,LEN($B28)))),"")="",IFERROR(VLOOKUP($F28,WP!$B$2:$C$23,2,0),VLOOKUP($C28,Series!$A$3:$F$11,6,0)),IFERROR(VLOOKUP($F28,WP!$B$2:$C$23,2,0),VLOOKUP($C28,Series!$A$3:$F$11,6,0))&amp;" - "&amp;(IFERROR(IF(FIND("_",$B28)&gt;0,MID($B28,FIND("_",$B28)+1,LEN($B28)),IF(FIND("-",$B28)&gt;0,MID($B28,FIND("-",$B28)+1,LEN($B28)))),""))),""),LEFT((_xlfn.IFNA(IF(IFERROR(IF(FIND("_",$B28)&gt;0,MID($B28,FIND("_",$B28)+1,LEN($B28)),IF(FIND("-",$B28)&gt;0,MID($B28,FIND("-",$B28)+1,LEN($B28)))),"")="",IFERROR(VLOOKUP($F28,WP!$B$2:$C$23,2,0),VLOOKUP($C28,Series!$A$3:$F$11,6,0)),IFERROR(VLOOKUP($F28,WP!$B$2:$C$23,2,0),VLOOKUP($C28,Series!$A$3:$F$11,6,0))&amp;" - "&amp;(IFERROR(IF(FIND("_",$B28)&gt;0,MID($B28,FIND("_",$B28)+1,LEN($B28)),IF(FIND("-",$B28)&gt;0,MID($B28,FIND("-",$B28)+1,LEN($B28)))),""))),"")),64))</f>
        <v/>
      </c>
      <c r="H28" s="12"/>
      <c r="I28" s="12" t="str">
        <f>IF($D28&lt;&gt;"",COUNTIF($D$7:$D28,"="&amp;$D28),"")</f>
        <v/>
      </c>
      <c r="J28"/>
      <c r="K28" s="8"/>
      <c r="L28"/>
    </row>
    <row r="29" spans="1:12" x14ac:dyDescent="0.3">
      <c r="A29" s="1"/>
      <c r="B29" s="26"/>
      <c r="C29" s="12" t="str">
        <f>_xlfn.IFNA(IFERROR(IF(FIND("_",$B29)&gt;0,INDEX(WP!$A$2:$F$23,MATCH(LEFT($B29,FIND("_",$B29)-1),WP!$E$2:$E$23,0),1),IF(FIND("-",$B29)&gt;0,INDEX(WP!$A$2:$F$23,MATCH(LEFT($B29,FIND("_",$B29)-1),WP!$E$2:$E$23,0),1))),INDEX(WP!$A$2:$F$23,MATCH(Results!$B29,WP!$E$2:$E$23,0),1)),"")</f>
        <v/>
      </c>
      <c r="D29" s="12" t="str">
        <f>IFERROR(IFERROR(IF(RIGHT(INDEX(WP!$A$2:$F$23,MATCH(IF(FIND("_",$B29)&gt;0,LEFT($B29,FIND("_",$B29)-1)),WP!$E$2:$E$23,0),2),6)="Series",LEFT(INDEX(WP!$A$2:$F$23,MATCH(IF(FIND("_",$B29)&gt;0,LEFT($B29,FIND("_",$B29)-1)),WP!$E$2:$E$23,0),2),5),""),IF(RIGHT(INDEX(WP!$A$2:$F$23,MATCH($B29,WP!$E$2:$E$23,0),2),6)="Series",LEFT(INDEX(WP!$A$2:$F$23,MATCH($B29,WP!$E$2:$E$23,0),2),5),"")),"")</f>
        <v/>
      </c>
      <c r="E29" s="17" t="str">
        <f>IFERROR(VLOOKUP(VALUE($D29),Series!$B$3:$F$11,2,0),"")</f>
        <v/>
      </c>
      <c r="F29" s="12" t="str">
        <f>_xlfn.IFNA(IF(IF($D29&lt;&gt;"",COUNTIF($E:$E,"="&amp;$D29),"")="",IF(RIGHT(IFERROR(IF(FIND("_",$B29)&gt;0,INDEX(WP!$A$2:$F$23,MATCH(LEFT($B29,FIND("_",$B29)-1),WP!$E$2:$E$23,0),2),IF(FIND("-",$B29)&gt;0,INDEX(WP!$A$2:$F$23,MATCH(LEFT($B29,FIND("_",$B29)-1),WP!$E$2:$E$23,0),2))),INDEX(WP!$A$2:$F$23,MATCH(Results!$B29,WP!$E$2:$E$23,0),2)),6)="Series",LEFT(IFERROR(IF(FIND("_",$B29)&gt;0,INDEX(WP!$A$2:$F$23,MATCH(LEFT($B29,FIND("_",$B29)-1),WP!$E$2:$E$23,0),2),IF(FIND("-",$B29)&gt;0,INDEX(WP!$A$2:$F$23,MATCH(LEFT($B29,FIND("_",$B29)-1),WP!$E$2:$E$23,0),2))),INDEX(WP!$A$2:$F$23,MATCH(Results!$B29,WP!$E$2:$E$23,0),2)),5),(IFERROR(IF(FIND("_",$B29)&gt;0,INDEX(WP!$A$2:$F$23,MATCH(LEFT($B29,FIND("_",$B29)-1),WP!$E$2:$E$23,0),2),IF(FIND("-",$B29)&gt;0,INDEX(WP!$A$2:$F$23,MATCH(LEFT($B29,FIND("_",$B29)-1),WP!$E$2:$E$23,0),2))),INDEX(WP!$A$2:$F$23,MATCH(Results!$B29,WP!$E$2:$E$23,0),2)))),IF(RIGHT(IFERROR(IF(FIND("_",$B29)&gt;0,INDEX(WP!$A$2:$F$23,MATCH(LEFT($B29,FIND("_",$B29)-1),WP!$E$2:$E$23,0),2),IF(FIND("-",$B29)&gt;0,INDEX(WP!$A$2:$F$23,MATCH(LEFT($B29,FIND("_",$B29)-1),WP!$E$2:$E$23,0),2))),INDEX(WP!$A$2:$F$23,MATCH(Results!$B29,WP!$E$2:$E$23,0),2)),6)="Series",LEFT(IFERROR(IF(FIND("_",$B29)&gt;0,INDEX(WP!$A$2:$F$23,MATCH(LEFT($B29,FIND("_",$B29)-1),WP!$E$2:$E$23,0),2),IF(FIND("-",$B29)&gt;0,INDEX(WP!$A$2:$F$23,MATCH(LEFT($B29,FIND("_",$B29)-1),WP!$E$2:$E$23,0),2))),INDEX(WP!$A$2:$F$23,MATCH(Results!$B29,WP!$E$2:$E$23,0),2)),5),(IFERROR(IF(FIND("_",$B29)&gt;0,INDEX(WP!$A$2:$F$23,MATCH(LEFT($B29,FIND("_",$B29)-1),WP!$E$2:$E$23,0),2),IF(FIND("-",$B29)&gt;0,INDEX(WP!$A$2:$F$23,MATCH(LEFT($B29,FIND("_",$B29)-1),WP!$E$2:$E$23,0),2))),INDEX(WP!$A$2:$F$23,MATCH(Results!$B29,WP!$E$2:$E$23,0),2))))&amp;"-"&amp;$I29),"")</f>
        <v/>
      </c>
      <c r="G29" s="17" t="str">
        <f>IF(LEN(_xlfn.IFNA(IF(IFERROR(IF(FIND("_",$B29)&gt;0,MID($B29,FIND("_",$B29)+1,LEN($B29)),IF(FIND("-",$B29)&gt;0,MID($B29,FIND("-",$B29)+1,LEN($B29)))),"")="",IFERROR(VLOOKUP($F29,WP!$B$2:$C$23,2,0),VLOOKUP($C29,Series!$A$3:$F$11,6,0)),IFERROR(VLOOKUP($F29,WP!$B$2:$C$23,2,0),VLOOKUP($C29,Series!$A$3:$F$11,6,0))&amp;" - "&amp;(IFERROR(IF(FIND("_",$B29)&gt;0,MID($B29,FIND("_",$B29)+1,LEN($B29)),IF(FIND("-",$B29)&gt;0,MID($B29,FIND("-",$B29)+1,LEN($B29)))),""))),""))&lt;64,_xlfn.IFNA(IF(IFERROR(IF(FIND("_",$B29)&gt;0,MID($B29,FIND("_",$B29)+1,LEN($B29)),IF(FIND("-",$B29)&gt;0,MID($B29,FIND("-",$B29)+1,LEN($B29)))),"")="",IFERROR(VLOOKUP($F29,WP!$B$2:$C$23,2,0),VLOOKUP($C29,Series!$A$3:$F$11,6,0)),IFERROR(VLOOKUP($F29,WP!$B$2:$C$23,2,0),VLOOKUP($C29,Series!$A$3:$F$11,6,0))&amp;" - "&amp;(IFERROR(IF(FIND("_",$B29)&gt;0,MID($B29,FIND("_",$B29)+1,LEN($B29)),IF(FIND("-",$B29)&gt;0,MID($B29,FIND("-",$B29)+1,LEN($B29)))),""))),""),LEFT((_xlfn.IFNA(IF(IFERROR(IF(FIND("_",$B29)&gt;0,MID($B29,FIND("_",$B29)+1,LEN($B29)),IF(FIND("-",$B29)&gt;0,MID($B29,FIND("-",$B29)+1,LEN($B29)))),"")="",IFERROR(VLOOKUP($F29,WP!$B$2:$C$23,2,0),VLOOKUP($C29,Series!$A$3:$F$11,6,0)),IFERROR(VLOOKUP($F29,WP!$B$2:$C$23,2,0),VLOOKUP($C29,Series!$A$3:$F$11,6,0))&amp;" - "&amp;(IFERROR(IF(FIND("_",$B29)&gt;0,MID($B29,FIND("_",$B29)+1,LEN($B29)),IF(FIND("-",$B29)&gt;0,MID($B29,FIND("-",$B29)+1,LEN($B29)))),""))),"")),64))</f>
        <v/>
      </c>
      <c r="H29" s="12"/>
      <c r="I29" s="12" t="str">
        <f>IF($D29&lt;&gt;"",COUNTIF($D$7:$D29,"="&amp;$D29),"")</f>
        <v/>
      </c>
      <c r="J29"/>
      <c r="K29" s="8"/>
      <c r="L29"/>
    </row>
    <row r="30" spans="1:12" x14ac:dyDescent="0.3">
      <c r="A30" s="1"/>
      <c r="B30" s="26"/>
      <c r="C30" s="12" t="str">
        <f>_xlfn.IFNA(IFERROR(IF(FIND("_",$B30)&gt;0,INDEX(WP!$A$2:$F$23,MATCH(LEFT($B30,FIND("_",$B30)-1),WP!$E$2:$E$23,0),1),IF(FIND("-",$B30)&gt;0,INDEX(WP!$A$2:$F$23,MATCH(LEFT($B30,FIND("_",$B30)-1),WP!$E$2:$E$23,0),1))),INDEX(WP!$A$2:$F$23,MATCH(Results!$B30,WP!$E$2:$E$23,0),1)),"")</f>
        <v/>
      </c>
      <c r="D30" s="12" t="str">
        <f>IFERROR(IFERROR(IF(RIGHT(INDEX(WP!$A$2:$F$23,MATCH(IF(FIND("_",$B30)&gt;0,LEFT($B30,FIND("_",$B30)-1)),WP!$E$2:$E$23,0),2),6)="Series",LEFT(INDEX(WP!$A$2:$F$23,MATCH(IF(FIND("_",$B30)&gt;0,LEFT($B30,FIND("_",$B30)-1)),WP!$E$2:$E$23,0),2),5),""),IF(RIGHT(INDEX(WP!$A$2:$F$23,MATCH($B30,WP!$E$2:$E$23,0),2),6)="Series",LEFT(INDEX(WP!$A$2:$F$23,MATCH($B30,WP!$E$2:$E$23,0),2),5),"")),"")</f>
        <v/>
      </c>
      <c r="E30" s="17" t="str">
        <f>IFERROR(VLOOKUP(VALUE($D30),Series!$B$3:$F$11,2,0),"")</f>
        <v/>
      </c>
      <c r="F30" s="12" t="str">
        <f>_xlfn.IFNA(IF(IF($D30&lt;&gt;"",COUNTIF($E:$E,"="&amp;$D30),"")="",IF(RIGHT(IFERROR(IF(FIND("_",$B30)&gt;0,INDEX(WP!$A$2:$F$23,MATCH(LEFT($B30,FIND("_",$B30)-1),WP!$E$2:$E$23,0),2),IF(FIND("-",$B30)&gt;0,INDEX(WP!$A$2:$F$23,MATCH(LEFT($B30,FIND("_",$B30)-1),WP!$E$2:$E$23,0),2))),INDEX(WP!$A$2:$F$23,MATCH(Results!$B30,WP!$E$2:$E$23,0),2)),6)="Series",LEFT(IFERROR(IF(FIND("_",$B30)&gt;0,INDEX(WP!$A$2:$F$23,MATCH(LEFT($B30,FIND("_",$B30)-1),WP!$E$2:$E$23,0),2),IF(FIND("-",$B30)&gt;0,INDEX(WP!$A$2:$F$23,MATCH(LEFT($B30,FIND("_",$B30)-1),WP!$E$2:$E$23,0),2))),INDEX(WP!$A$2:$F$23,MATCH(Results!$B30,WP!$E$2:$E$23,0),2)),5),(IFERROR(IF(FIND("_",$B30)&gt;0,INDEX(WP!$A$2:$F$23,MATCH(LEFT($B30,FIND("_",$B30)-1),WP!$E$2:$E$23,0),2),IF(FIND("-",$B30)&gt;0,INDEX(WP!$A$2:$F$23,MATCH(LEFT($B30,FIND("_",$B30)-1),WP!$E$2:$E$23,0),2))),INDEX(WP!$A$2:$F$23,MATCH(Results!$B30,WP!$E$2:$E$23,0),2)))),IF(RIGHT(IFERROR(IF(FIND("_",$B30)&gt;0,INDEX(WP!$A$2:$F$23,MATCH(LEFT($B30,FIND("_",$B30)-1),WP!$E$2:$E$23,0),2),IF(FIND("-",$B30)&gt;0,INDEX(WP!$A$2:$F$23,MATCH(LEFT($B30,FIND("_",$B30)-1),WP!$E$2:$E$23,0),2))),INDEX(WP!$A$2:$F$23,MATCH(Results!$B30,WP!$E$2:$E$23,0),2)),6)="Series",LEFT(IFERROR(IF(FIND("_",$B30)&gt;0,INDEX(WP!$A$2:$F$23,MATCH(LEFT($B30,FIND("_",$B30)-1),WP!$E$2:$E$23,0),2),IF(FIND("-",$B30)&gt;0,INDEX(WP!$A$2:$F$23,MATCH(LEFT($B30,FIND("_",$B30)-1),WP!$E$2:$E$23,0),2))),INDEX(WP!$A$2:$F$23,MATCH(Results!$B30,WP!$E$2:$E$23,0),2)),5),(IFERROR(IF(FIND("_",$B30)&gt;0,INDEX(WP!$A$2:$F$23,MATCH(LEFT($B30,FIND("_",$B30)-1),WP!$E$2:$E$23,0),2),IF(FIND("-",$B30)&gt;0,INDEX(WP!$A$2:$F$23,MATCH(LEFT($B30,FIND("_",$B30)-1),WP!$E$2:$E$23,0),2))),INDEX(WP!$A$2:$F$23,MATCH(Results!$B30,WP!$E$2:$E$23,0),2))))&amp;"-"&amp;$I30),"")</f>
        <v/>
      </c>
      <c r="G30" s="17" t="str">
        <f>IF(LEN(_xlfn.IFNA(IF(IFERROR(IF(FIND("_",$B30)&gt;0,MID($B30,FIND("_",$B30)+1,LEN($B30)),IF(FIND("-",$B30)&gt;0,MID($B30,FIND("-",$B30)+1,LEN($B30)))),"")="",IFERROR(VLOOKUP($F30,WP!$B$2:$C$23,2,0),VLOOKUP($C30,Series!$A$3:$F$11,6,0)),IFERROR(VLOOKUP($F30,WP!$B$2:$C$23,2,0),VLOOKUP($C30,Series!$A$3:$F$11,6,0))&amp;" - "&amp;(IFERROR(IF(FIND("_",$B30)&gt;0,MID($B30,FIND("_",$B30)+1,LEN($B30)),IF(FIND("-",$B30)&gt;0,MID($B30,FIND("-",$B30)+1,LEN($B30)))),""))),""))&lt;64,_xlfn.IFNA(IF(IFERROR(IF(FIND("_",$B30)&gt;0,MID($B30,FIND("_",$B30)+1,LEN($B30)),IF(FIND("-",$B30)&gt;0,MID($B30,FIND("-",$B30)+1,LEN($B30)))),"")="",IFERROR(VLOOKUP($F30,WP!$B$2:$C$23,2,0),VLOOKUP($C30,Series!$A$3:$F$11,6,0)),IFERROR(VLOOKUP($F30,WP!$B$2:$C$23,2,0),VLOOKUP($C30,Series!$A$3:$F$11,6,0))&amp;" - "&amp;(IFERROR(IF(FIND("_",$B30)&gt;0,MID($B30,FIND("_",$B30)+1,LEN($B30)),IF(FIND("-",$B30)&gt;0,MID($B30,FIND("-",$B30)+1,LEN($B30)))),""))),""),LEFT((_xlfn.IFNA(IF(IFERROR(IF(FIND("_",$B30)&gt;0,MID($B30,FIND("_",$B30)+1,LEN($B30)),IF(FIND("-",$B30)&gt;0,MID($B30,FIND("-",$B30)+1,LEN($B30)))),"")="",IFERROR(VLOOKUP($F30,WP!$B$2:$C$23,2,0),VLOOKUP($C30,Series!$A$3:$F$11,6,0)),IFERROR(VLOOKUP($F30,WP!$B$2:$C$23,2,0),VLOOKUP($C30,Series!$A$3:$F$11,6,0))&amp;" - "&amp;(IFERROR(IF(FIND("_",$B30)&gt;0,MID($B30,FIND("_",$B30)+1,LEN($B30)),IF(FIND("-",$B30)&gt;0,MID($B30,FIND("-",$B30)+1,LEN($B30)))),""))),"")),64))</f>
        <v/>
      </c>
      <c r="H30" s="12"/>
      <c r="I30" s="12" t="str">
        <f>IF($D30&lt;&gt;"",COUNTIF($D$7:$D30,"="&amp;$D30),"")</f>
        <v/>
      </c>
      <c r="J30"/>
      <c r="K30" s="8"/>
      <c r="L30"/>
    </row>
    <row r="31" spans="1:12" x14ac:dyDescent="0.3">
      <c r="A31" s="1"/>
      <c r="B31" s="26"/>
      <c r="C31" s="12" t="str">
        <f>_xlfn.IFNA(IFERROR(IF(FIND("_",$B31)&gt;0,INDEX(WP!$A$2:$F$23,MATCH(LEFT($B31,FIND("_",$B31)-1),WP!$E$2:$E$23,0),1),IF(FIND("-",$B31)&gt;0,INDEX(WP!$A$2:$F$23,MATCH(LEFT($B31,FIND("_",$B31)-1),WP!$E$2:$E$23,0),1))),INDEX(WP!$A$2:$F$23,MATCH(Results!$B31,WP!$E$2:$E$23,0),1)),"")</f>
        <v/>
      </c>
      <c r="D31" s="12" t="str">
        <f>IFERROR(IFERROR(IF(RIGHT(INDEX(WP!$A$2:$F$23,MATCH(IF(FIND("_",$B31)&gt;0,LEFT($B31,FIND("_",$B31)-1)),WP!$E$2:$E$23,0),2),6)="Series",LEFT(INDEX(WP!$A$2:$F$23,MATCH(IF(FIND("_",$B31)&gt;0,LEFT($B31,FIND("_",$B31)-1)),WP!$E$2:$E$23,0),2),5),""),IF(RIGHT(INDEX(WP!$A$2:$F$23,MATCH($B31,WP!$E$2:$E$23,0),2),6)="Series",LEFT(INDEX(WP!$A$2:$F$23,MATCH($B31,WP!$E$2:$E$23,0),2),5),"")),"")</f>
        <v/>
      </c>
      <c r="E31" s="17" t="str">
        <f>IFERROR(VLOOKUP(VALUE($D31),Series!$B$3:$F$11,2,0),"")</f>
        <v/>
      </c>
      <c r="F31" s="12" t="str">
        <f>_xlfn.IFNA(IF(IF($D31&lt;&gt;"",COUNTIF($E:$E,"="&amp;$D31),"")="",IF(RIGHT(IFERROR(IF(FIND("_",$B31)&gt;0,INDEX(WP!$A$2:$F$23,MATCH(LEFT($B31,FIND("_",$B31)-1),WP!$E$2:$E$23,0),2),IF(FIND("-",$B31)&gt;0,INDEX(WP!$A$2:$F$23,MATCH(LEFT($B31,FIND("_",$B31)-1),WP!$E$2:$E$23,0),2))),INDEX(WP!$A$2:$F$23,MATCH(Results!$B31,WP!$E$2:$E$23,0),2)),6)="Series",LEFT(IFERROR(IF(FIND("_",$B31)&gt;0,INDEX(WP!$A$2:$F$23,MATCH(LEFT($B31,FIND("_",$B31)-1),WP!$E$2:$E$23,0),2),IF(FIND("-",$B31)&gt;0,INDEX(WP!$A$2:$F$23,MATCH(LEFT($B31,FIND("_",$B31)-1),WP!$E$2:$E$23,0),2))),INDEX(WP!$A$2:$F$23,MATCH(Results!$B31,WP!$E$2:$E$23,0),2)),5),(IFERROR(IF(FIND("_",$B31)&gt;0,INDEX(WP!$A$2:$F$23,MATCH(LEFT($B31,FIND("_",$B31)-1),WP!$E$2:$E$23,0),2),IF(FIND("-",$B31)&gt;0,INDEX(WP!$A$2:$F$23,MATCH(LEFT($B31,FIND("_",$B31)-1),WP!$E$2:$E$23,0),2))),INDEX(WP!$A$2:$F$23,MATCH(Results!$B31,WP!$E$2:$E$23,0),2)))),IF(RIGHT(IFERROR(IF(FIND("_",$B31)&gt;0,INDEX(WP!$A$2:$F$23,MATCH(LEFT($B31,FIND("_",$B31)-1),WP!$E$2:$E$23,0),2),IF(FIND("-",$B31)&gt;0,INDEX(WP!$A$2:$F$23,MATCH(LEFT($B31,FIND("_",$B31)-1),WP!$E$2:$E$23,0),2))),INDEX(WP!$A$2:$F$23,MATCH(Results!$B31,WP!$E$2:$E$23,0),2)),6)="Series",LEFT(IFERROR(IF(FIND("_",$B31)&gt;0,INDEX(WP!$A$2:$F$23,MATCH(LEFT($B31,FIND("_",$B31)-1),WP!$E$2:$E$23,0),2),IF(FIND("-",$B31)&gt;0,INDEX(WP!$A$2:$F$23,MATCH(LEFT($B31,FIND("_",$B31)-1),WP!$E$2:$E$23,0),2))),INDEX(WP!$A$2:$F$23,MATCH(Results!$B31,WP!$E$2:$E$23,0),2)),5),(IFERROR(IF(FIND("_",$B31)&gt;0,INDEX(WP!$A$2:$F$23,MATCH(LEFT($B31,FIND("_",$B31)-1),WP!$E$2:$E$23,0),2),IF(FIND("-",$B31)&gt;0,INDEX(WP!$A$2:$F$23,MATCH(LEFT($B31,FIND("_",$B31)-1),WP!$E$2:$E$23,0),2))),INDEX(WP!$A$2:$F$23,MATCH(Results!$B31,WP!$E$2:$E$23,0),2))))&amp;"-"&amp;$I31),"")</f>
        <v/>
      </c>
      <c r="G31" s="17" t="str">
        <f>IF(LEN(_xlfn.IFNA(IF(IFERROR(IF(FIND("_",$B31)&gt;0,MID($B31,FIND("_",$B31)+1,LEN($B31)),IF(FIND("-",$B31)&gt;0,MID($B31,FIND("-",$B31)+1,LEN($B31)))),"")="",IFERROR(VLOOKUP($F31,WP!$B$2:$C$23,2,0),VLOOKUP($C31,Series!$A$3:$F$11,6,0)),IFERROR(VLOOKUP($F31,WP!$B$2:$C$23,2,0),VLOOKUP($C31,Series!$A$3:$F$11,6,0))&amp;" - "&amp;(IFERROR(IF(FIND("_",$B31)&gt;0,MID($B31,FIND("_",$B31)+1,LEN($B31)),IF(FIND("-",$B31)&gt;0,MID($B31,FIND("-",$B31)+1,LEN($B31)))),""))),""))&lt;64,_xlfn.IFNA(IF(IFERROR(IF(FIND("_",$B31)&gt;0,MID($B31,FIND("_",$B31)+1,LEN($B31)),IF(FIND("-",$B31)&gt;0,MID($B31,FIND("-",$B31)+1,LEN($B31)))),"")="",IFERROR(VLOOKUP($F31,WP!$B$2:$C$23,2,0),VLOOKUP($C31,Series!$A$3:$F$11,6,0)),IFERROR(VLOOKUP($F31,WP!$B$2:$C$23,2,0),VLOOKUP($C31,Series!$A$3:$F$11,6,0))&amp;" - "&amp;(IFERROR(IF(FIND("_",$B31)&gt;0,MID($B31,FIND("_",$B31)+1,LEN($B31)),IF(FIND("-",$B31)&gt;0,MID($B31,FIND("-",$B31)+1,LEN($B31)))),""))),""),LEFT((_xlfn.IFNA(IF(IFERROR(IF(FIND("_",$B31)&gt;0,MID($B31,FIND("_",$B31)+1,LEN($B31)),IF(FIND("-",$B31)&gt;0,MID($B31,FIND("-",$B31)+1,LEN($B31)))),"")="",IFERROR(VLOOKUP($F31,WP!$B$2:$C$23,2,0),VLOOKUP($C31,Series!$A$3:$F$11,6,0)),IFERROR(VLOOKUP($F31,WP!$B$2:$C$23,2,0),VLOOKUP($C31,Series!$A$3:$F$11,6,0))&amp;" - "&amp;(IFERROR(IF(FIND("_",$B31)&gt;0,MID($B31,FIND("_",$B31)+1,LEN($B31)),IF(FIND("-",$B31)&gt;0,MID($B31,FIND("-",$B31)+1,LEN($B31)))),""))),"")),64))</f>
        <v/>
      </c>
      <c r="H31" s="12"/>
      <c r="I31" s="12" t="str">
        <f>IF($D31&lt;&gt;"",COUNTIF($D$7:$D31,"="&amp;$D31),"")</f>
        <v/>
      </c>
      <c r="J31"/>
      <c r="K31" s="8"/>
      <c r="L31"/>
    </row>
    <row r="32" spans="1:12" x14ac:dyDescent="0.3">
      <c r="A32" s="1"/>
      <c r="B32" s="26"/>
      <c r="C32" s="12" t="str">
        <f>_xlfn.IFNA(IFERROR(IF(FIND("_",$B32)&gt;0,INDEX(WP!$A$2:$F$23,MATCH(LEFT($B32,FIND("_",$B32)-1),WP!$E$2:$E$23,0),1),IF(FIND("-",$B32)&gt;0,INDEX(WP!$A$2:$F$23,MATCH(LEFT($B32,FIND("_",$B32)-1),WP!$E$2:$E$23,0),1))),INDEX(WP!$A$2:$F$23,MATCH(Results!$B32,WP!$E$2:$E$23,0),1)),"")</f>
        <v/>
      </c>
      <c r="D32" s="12" t="str">
        <f>IFERROR(IFERROR(IF(RIGHT(INDEX(WP!$A$2:$F$23,MATCH(IF(FIND("_",$B32)&gt;0,LEFT($B32,FIND("_",$B32)-1)),WP!$E$2:$E$23,0),2),6)="Series",LEFT(INDEX(WP!$A$2:$F$23,MATCH(IF(FIND("_",$B32)&gt;0,LEFT($B32,FIND("_",$B32)-1)),WP!$E$2:$E$23,0),2),5),""),IF(RIGHT(INDEX(WP!$A$2:$F$23,MATCH($B32,WP!$E$2:$E$23,0),2),6)="Series",LEFT(INDEX(WP!$A$2:$F$23,MATCH($B32,WP!$E$2:$E$23,0),2),5),"")),"")</f>
        <v/>
      </c>
      <c r="E32" s="17" t="str">
        <f>IFERROR(VLOOKUP(VALUE($D32),Series!$B$3:$F$11,2,0),"")</f>
        <v/>
      </c>
      <c r="F32" s="12" t="str">
        <f>_xlfn.IFNA(IF(IF($D32&lt;&gt;"",COUNTIF($E:$E,"="&amp;$D32),"")="",IF(RIGHT(IFERROR(IF(FIND("_",$B32)&gt;0,INDEX(WP!$A$2:$F$23,MATCH(LEFT($B32,FIND("_",$B32)-1),WP!$E$2:$E$23,0),2),IF(FIND("-",$B32)&gt;0,INDEX(WP!$A$2:$F$23,MATCH(LEFT($B32,FIND("_",$B32)-1),WP!$E$2:$E$23,0),2))),INDEX(WP!$A$2:$F$23,MATCH(Results!$B32,WP!$E$2:$E$23,0),2)),6)="Series",LEFT(IFERROR(IF(FIND("_",$B32)&gt;0,INDEX(WP!$A$2:$F$23,MATCH(LEFT($B32,FIND("_",$B32)-1),WP!$E$2:$E$23,0),2),IF(FIND("-",$B32)&gt;0,INDEX(WP!$A$2:$F$23,MATCH(LEFT($B32,FIND("_",$B32)-1),WP!$E$2:$E$23,0),2))),INDEX(WP!$A$2:$F$23,MATCH(Results!$B32,WP!$E$2:$E$23,0),2)),5),(IFERROR(IF(FIND("_",$B32)&gt;0,INDEX(WP!$A$2:$F$23,MATCH(LEFT($B32,FIND("_",$B32)-1),WP!$E$2:$E$23,0),2),IF(FIND("-",$B32)&gt;0,INDEX(WP!$A$2:$F$23,MATCH(LEFT($B32,FIND("_",$B32)-1),WP!$E$2:$E$23,0),2))),INDEX(WP!$A$2:$F$23,MATCH(Results!$B32,WP!$E$2:$E$23,0),2)))),IF(RIGHT(IFERROR(IF(FIND("_",$B32)&gt;0,INDEX(WP!$A$2:$F$23,MATCH(LEFT($B32,FIND("_",$B32)-1),WP!$E$2:$E$23,0),2),IF(FIND("-",$B32)&gt;0,INDEX(WP!$A$2:$F$23,MATCH(LEFT($B32,FIND("_",$B32)-1),WP!$E$2:$E$23,0),2))),INDEX(WP!$A$2:$F$23,MATCH(Results!$B32,WP!$E$2:$E$23,0),2)),6)="Series",LEFT(IFERROR(IF(FIND("_",$B32)&gt;0,INDEX(WP!$A$2:$F$23,MATCH(LEFT($B32,FIND("_",$B32)-1),WP!$E$2:$E$23,0),2),IF(FIND("-",$B32)&gt;0,INDEX(WP!$A$2:$F$23,MATCH(LEFT($B32,FIND("_",$B32)-1),WP!$E$2:$E$23,0),2))),INDEX(WP!$A$2:$F$23,MATCH(Results!$B32,WP!$E$2:$E$23,0),2)),5),(IFERROR(IF(FIND("_",$B32)&gt;0,INDEX(WP!$A$2:$F$23,MATCH(LEFT($B32,FIND("_",$B32)-1),WP!$E$2:$E$23,0),2),IF(FIND("-",$B32)&gt;0,INDEX(WP!$A$2:$F$23,MATCH(LEFT($B32,FIND("_",$B32)-1),WP!$E$2:$E$23,0),2))),INDEX(WP!$A$2:$F$23,MATCH(Results!$B32,WP!$E$2:$E$23,0),2))))&amp;"-"&amp;$I32),"")</f>
        <v/>
      </c>
      <c r="G32" s="17" t="str">
        <f>IF(LEN(_xlfn.IFNA(IF(IFERROR(IF(FIND("_",$B32)&gt;0,MID($B32,FIND("_",$B32)+1,LEN($B32)),IF(FIND("-",$B32)&gt;0,MID($B32,FIND("-",$B32)+1,LEN($B32)))),"")="",IFERROR(VLOOKUP($F32,WP!$B$2:$C$23,2,0),VLOOKUP($C32,Series!$A$3:$F$11,6,0)),IFERROR(VLOOKUP($F32,WP!$B$2:$C$23,2,0),VLOOKUP($C32,Series!$A$3:$F$11,6,0))&amp;" - "&amp;(IFERROR(IF(FIND("_",$B32)&gt;0,MID($B32,FIND("_",$B32)+1,LEN($B32)),IF(FIND("-",$B32)&gt;0,MID($B32,FIND("-",$B32)+1,LEN($B32)))),""))),""))&lt;64,_xlfn.IFNA(IF(IFERROR(IF(FIND("_",$B32)&gt;0,MID($B32,FIND("_",$B32)+1,LEN($B32)),IF(FIND("-",$B32)&gt;0,MID($B32,FIND("-",$B32)+1,LEN($B32)))),"")="",IFERROR(VLOOKUP($F32,WP!$B$2:$C$23,2,0),VLOOKUP($C32,Series!$A$3:$F$11,6,0)),IFERROR(VLOOKUP($F32,WP!$B$2:$C$23,2,0),VLOOKUP($C32,Series!$A$3:$F$11,6,0))&amp;" - "&amp;(IFERROR(IF(FIND("_",$B32)&gt;0,MID($B32,FIND("_",$B32)+1,LEN($B32)),IF(FIND("-",$B32)&gt;0,MID($B32,FIND("-",$B32)+1,LEN($B32)))),""))),""),LEFT((_xlfn.IFNA(IF(IFERROR(IF(FIND("_",$B32)&gt;0,MID($B32,FIND("_",$B32)+1,LEN($B32)),IF(FIND("-",$B32)&gt;0,MID($B32,FIND("-",$B32)+1,LEN($B32)))),"")="",IFERROR(VLOOKUP($F32,WP!$B$2:$C$23,2,0),VLOOKUP($C32,Series!$A$3:$F$11,6,0)),IFERROR(VLOOKUP($F32,WP!$B$2:$C$23,2,0),VLOOKUP($C32,Series!$A$3:$F$11,6,0))&amp;" - "&amp;(IFERROR(IF(FIND("_",$B32)&gt;0,MID($B32,FIND("_",$B32)+1,LEN($B32)),IF(FIND("-",$B32)&gt;0,MID($B32,FIND("-",$B32)+1,LEN($B32)))),""))),"")),64))</f>
        <v/>
      </c>
      <c r="H32" s="12"/>
      <c r="I32" s="12" t="str">
        <f>IF($D32&lt;&gt;"",COUNTIF($D$7:$D32,"="&amp;$D32),"")</f>
        <v/>
      </c>
      <c r="J32"/>
      <c r="K32" s="8"/>
      <c r="L32"/>
    </row>
    <row r="33" spans="1:12" x14ac:dyDescent="0.3">
      <c r="A33" s="1"/>
      <c r="B33" s="26"/>
      <c r="C33" s="12" t="str">
        <f>_xlfn.IFNA(IFERROR(IF(FIND("_",$B33)&gt;0,INDEX(WP!$A$2:$F$23,MATCH(LEFT($B33,FIND("_",$B33)-1),WP!$E$2:$E$23,0),1),IF(FIND("-",$B33)&gt;0,INDEX(WP!$A$2:$F$23,MATCH(LEFT($B33,FIND("_",$B33)-1),WP!$E$2:$E$23,0),1))),INDEX(WP!$A$2:$F$23,MATCH(Results!$B33,WP!$E$2:$E$23,0),1)),"")</f>
        <v/>
      </c>
      <c r="D33" s="12" t="str">
        <f>IFERROR(IFERROR(IF(RIGHT(INDEX(WP!$A$2:$F$23,MATCH(IF(FIND("_",$B33)&gt;0,LEFT($B33,FIND("_",$B33)-1)),WP!$E$2:$E$23,0),2),6)="Series",LEFT(INDEX(WP!$A$2:$F$23,MATCH(IF(FIND("_",$B33)&gt;0,LEFT($B33,FIND("_",$B33)-1)),WP!$E$2:$E$23,0),2),5),""),IF(RIGHT(INDEX(WP!$A$2:$F$23,MATCH($B33,WP!$E$2:$E$23,0),2),6)="Series",LEFT(INDEX(WP!$A$2:$F$23,MATCH($B33,WP!$E$2:$E$23,0),2),5),"")),"")</f>
        <v/>
      </c>
      <c r="E33" s="17" t="str">
        <f>IFERROR(VLOOKUP(VALUE($D33),Series!$B$3:$F$11,2,0),"")</f>
        <v/>
      </c>
      <c r="F33" s="12" t="str">
        <f>_xlfn.IFNA(IF(IF($D33&lt;&gt;"",COUNTIF($E:$E,"="&amp;$D33),"")="",IF(RIGHT(IFERROR(IF(FIND("_",$B33)&gt;0,INDEX(WP!$A$2:$F$23,MATCH(LEFT($B33,FIND("_",$B33)-1),WP!$E$2:$E$23,0),2),IF(FIND("-",$B33)&gt;0,INDEX(WP!$A$2:$F$23,MATCH(LEFT($B33,FIND("_",$B33)-1),WP!$E$2:$E$23,0),2))),INDEX(WP!$A$2:$F$23,MATCH(Results!$B33,WP!$E$2:$E$23,0),2)),6)="Series",LEFT(IFERROR(IF(FIND("_",$B33)&gt;0,INDEX(WP!$A$2:$F$23,MATCH(LEFT($B33,FIND("_",$B33)-1),WP!$E$2:$E$23,0),2),IF(FIND("-",$B33)&gt;0,INDEX(WP!$A$2:$F$23,MATCH(LEFT($B33,FIND("_",$B33)-1),WP!$E$2:$E$23,0),2))),INDEX(WP!$A$2:$F$23,MATCH(Results!$B33,WP!$E$2:$E$23,0),2)),5),(IFERROR(IF(FIND("_",$B33)&gt;0,INDEX(WP!$A$2:$F$23,MATCH(LEFT($B33,FIND("_",$B33)-1),WP!$E$2:$E$23,0),2),IF(FIND("-",$B33)&gt;0,INDEX(WP!$A$2:$F$23,MATCH(LEFT($B33,FIND("_",$B33)-1),WP!$E$2:$E$23,0),2))),INDEX(WP!$A$2:$F$23,MATCH(Results!$B33,WP!$E$2:$E$23,0),2)))),IF(RIGHT(IFERROR(IF(FIND("_",$B33)&gt;0,INDEX(WP!$A$2:$F$23,MATCH(LEFT($B33,FIND("_",$B33)-1),WP!$E$2:$E$23,0),2),IF(FIND("-",$B33)&gt;0,INDEX(WP!$A$2:$F$23,MATCH(LEFT($B33,FIND("_",$B33)-1),WP!$E$2:$E$23,0),2))),INDEX(WP!$A$2:$F$23,MATCH(Results!$B33,WP!$E$2:$E$23,0),2)),6)="Series",LEFT(IFERROR(IF(FIND("_",$B33)&gt;0,INDEX(WP!$A$2:$F$23,MATCH(LEFT($B33,FIND("_",$B33)-1),WP!$E$2:$E$23,0),2),IF(FIND("-",$B33)&gt;0,INDEX(WP!$A$2:$F$23,MATCH(LEFT($B33,FIND("_",$B33)-1),WP!$E$2:$E$23,0),2))),INDEX(WP!$A$2:$F$23,MATCH(Results!$B33,WP!$E$2:$E$23,0),2)),5),(IFERROR(IF(FIND("_",$B33)&gt;0,INDEX(WP!$A$2:$F$23,MATCH(LEFT($B33,FIND("_",$B33)-1),WP!$E$2:$E$23,0),2),IF(FIND("-",$B33)&gt;0,INDEX(WP!$A$2:$F$23,MATCH(LEFT($B33,FIND("_",$B33)-1),WP!$E$2:$E$23,0),2))),INDEX(WP!$A$2:$F$23,MATCH(Results!$B33,WP!$E$2:$E$23,0),2))))&amp;"-"&amp;$I33),"")</f>
        <v/>
      </c>
      <c r="G33" s="17" t="str">
        <f>IF(LEN(_xlfn.IFNA(IF(IFERROR(IF(FIND("_",$B33)&gt;0,MID($B33,FIND("_",$B33)+1,LEN($B33)),IF(FIND("-",$B33)&gt;0,MID($B33,FIND("-",$B33)+1,LEN($B33)))),"")="",IFERROR(VLOOKUP($F33,WP!$B$2:$C$23,2,0),VLOOKUP($C33,Series!$A$3:$F$11,6,0)),IFERROR(VLOOKUP($F33,WP!$B$2:$C$23,2,0),VLOOKUP($C33,Series!$A$3:$F$11,6,0))&amp;" - "&amp;(IFERROR(IF(FIND("_",$B33)&gt;0,MID($B33,FIND("_",$B33)+1,LEN($B33)),IF(FIND("-",$B33)&gt;0,MID($B33,FIND("-",$B33)+1,LEN($B33)))),""))),""))&lt;64,_xlfn.IFNA(IF(IFERROR(IF(FIND("_",$B33)&gt;0,MID($B33,FIND("_",$B33)+1,LEN($B33)),IF(FIND("-",$B33)&gt;0,MID($B33,FIND("-",$B33)+1,LEN($B33)))),"")="",IFERROR(VLOOKUP($F33,WP!$B$2:$C$23,2,0),VLOOKUP($C33,Series!$A$3:$F$11,6,0)),IFERROR(VLOOKUP($F33,WP!$B$2:$C$23,2,0),VLOOKUP($C33,Series!$A$3:$F$11,6,0))&amp;" - "&amp;(IFERROR(IF(FIND("_",$B33)&gt;0,MID($B33,FIND("_",$B33)+1,LEN($B33)),IF(FIND("-",$B33)&gt;0,MID($B33,FIND("-",$B33)+1,LEN($B33)))),""))),""),LEFT((_xlfn.IFNA(IF(IFERROR(IF(FIND("_",$B33)&gt;0,MID($B33,FIND("_",$B33)+1,LEN($B33)),IF(FIND("-",$B33)&gt;0,MID($B33,FIND("-",$B33)+1,LEN($B33)))),"")="",IFERROR(VLOOKUP($F33,WP!$B$2:$C$23,2,0),VLOOKUP($C33,Series!$A$3:$F$11,6,0)),IFERROR(VLOOKUP($F33,WP!$B$2:$C$23,2,0),VLOOKUP($C33,Series!$A$3:$F$11,6,0))&amp;" - "&amp;(IFERROR(IF(FIND("_",$B33)&gt;0,MID($B33,FIND("_",$B33)+1,LEN($B33)),IF(FIND("-",$B33)&gt;0,MID($B33,FIND("-",$B33)+1,LEN($B33)))),""))),"")),64))</f>
        <v/>
      </c>
      <c r="H33" s="12"/>
      <c r="I33" s="12" t="str">
        <f>IF($D33&lt;&gt;"",COUNTIF($D$7:$D33,"="&amp;$D33),"")</f>
        <v/>
      </c>
      <c r="J33"/>
      <c r="K33" s="8"/>
      <c r="L33"/>
    </row>
    <row r="34" spans="1:12" x14ac:dyDescent="0.3">
      <c r="A34" s="1"/>
      <c r="B34" s="26"/>
      <c r="C34" s="12" t="str">
        <f>_xlfn.IFNA(IFERROR(IF(FIND("_",$B34)&gt;0,INDEX(WP!$A$2:$F$23,MATCH(LEFT($B34,FIND("_",$B34)-1),WP!$E$2:$E$23,0),1),IF(FIND("-",$B34)&gt;0,INDEX(WP!$A$2:$F$23,MATCH(LEFT($B34,FIND("_",$B34)-1),WP!$E$2:$E$23,0),1))),INDEX(WP!$A$2:$F$23,MATCH(Results!$B34,WP!$E$2:$E$23,0),1)),"")</f>
        <v/>
      </c>
      <c r="D34" s="12" t="str">
        <f>IFERROR(IFERROR(IF(RIGHT(INDEX(WP!$A$2:$F$23,MATCH(IF(FIND("_",$B34)&gt;0,LEFT($B34,FIND("_",$B34)-1)),WP!$E$2:$E$23,0),2),6)="Series",LEFT(INDEX(WP!$A$2:$F$23,MATCH(IF(FIND("_",$B34)&gt;0,LEFT($B34,FIND("_",$B34)-1)),WP!$E$2:$E$23,0),2),5),""),IF(RIGHT(INDEX(WP!$A$2:$F$23,MATCH($B34,WP!$E$2:$E$23,0),2),6)="Series",LEFT(INDEX(WP!$A$2:$F$23,MATCH($B34,WP!$E$2:$E$23,0),2),5),"")),"")</f>
        <v/>
      </c>
      <c r="E34" s="17" t="str">
        <f>IFERROR(VLOOKUP(VALUE($D34),Series!$B$3:$F$11,2,0),"")</f>
        <v/>
      </c>
      <c r="F34" s="12" t="str">
        <f>_xlfn.IFNA(IF(IF($D34&lt;&gt;"",COUNTIF($E:$E,"="&amp;$D34),"")="",IF(RIGHT(IFERROR(IF(FIND("_",$B34)&gt;0,INDEX(WP!$A$2:$F$23,MATCH(LEFT($B34,FIND("_",$B34)-1),WP!$E$2:$E$23,0),2),IF(FIND("-",$B34)&gt;0,INDEX(WP!$A$2:$F$23,MATCH(LEFT($B34,FIND("_",$B34)-1),WP!$E$2:$E$23,0),2))),INDEX(WP!$A$2:$F$23,MATCH(Results!$B34,WP!$E$2:$E$23,0),2)),6)="Series",LEFT(IFERROR(IF(FIND("_",$B34)&gt;0,INDEX(WP!$A$2:$F$23,MATCH(LEFT($B34,FIND("_",$B34)-1),WP!$E$2:$E$23,0),2),IF(FIND("-",$B34)&gt;0,INDEX(WP!$A$2:$F$23,MATCH(LEFT($B34,FIND("_",$B34)-1),WP!$E$2:$E$23,0),2))),INDEX(WP!$A$2:$F$23,MATCH(Results!$B34,WP!$E$2:$E$23,0),2)),5),(IFERROR(IF(FIND("_",$B34)&gt;0,INDEX(WP!$A$2:$F$23,MATCH(LEFT($B34,FIND("_",$B34)-1),WP!$E$2:$E$23,0),2),IF(FIND("-",$B34)&gt;0,INDEX(WP!$A$2:$F$23,MATCH(LEFT($B34,FIND("_",$B34)-1),WP!$E$2:$E$23,0),2))),INDEX(WP!$A$2:$F$23,MATCH(Results!$B34,WP!$E$2:$E$23,0),2)))),IF(RIGHT(IFERROR(IF(FIND("_",$B34)&gt;0,INDEX(WP!$A$2:$F$23,MATCH(LEFT($B34,FIND("_",$B34)-1),WP!$E$2:$E$23,0),2),IF(FIND("-",$B34)&gt;0,INDEX(WP!$A$2:$F$23,MATCH(LEFT($B34,FIND("_",$B34)-1),WP!$E$2:$E$23,0),2))),INDEX(WP!$A$2:$F$23,MATCH(Results!$B34,WP!$E$2:$E$23,0),2)),6)="Series",LEFT(IFERROR(IF(FIND("_",$B34)&gt;0,INDEX(WP!$A$2:$F$23,MATCH(LEFT($B34,FIND("_",$B34)-1),WP!$E$2:$E$23,0),2),IF(FIND("-",$B34)&gt;0,INDEX(WP!$A$2:$F$23,MATCH(LEFT($B34,FIND("_",$B34)-1),WP!$E$2:$E$23,0),2))),INDEX(WP!$A$2:$F$23,MATCH(Results!$B34,WP!$E$2:$E$23,0),2)),5),(IFERROR(IF(FIND("_",$B34)&gt;0,INDEX(WP!$A$2:$F$23,MATCH(LEFT($B34,FIND("_",$B34)-1),WP!$E$2:$E$23,0),2),IF(FIND("-",$B34)&gt;0,INDEX(WP!$A$2:$F$23,MATCH(LEFT($B34,FIND("_",$B34)-1),WP!$E$2:$E$23,0),2))),INDEX(WP!$A$2:$F$23,MATCH(Results!$B34,WP!$E$2:$E$23,0),2))))&amp;"-"&amp;$I34),"")</f>
        <v/>
      </c>
      <c r="G34" s="17" t="str">
        <f>IF(LEN(_xlfn.IFNA(IF(IFERROR(IF(FIND("_",$B34)&gt;0,MID($B34,FIND("_",$B34)+1,LEN($B34)),IF(FIND("-",$B34)&gt;0,MID($B34,FIND("-",$B34)+1,LEN($B34)))),"")="",IFERROR(VLOOKUP($F34,WP!$B$2:$C$23,2,0),VLOOKUP($C34,Series!$A$3:$F$11,6,0)),IFERROR(VLOOKUP($F34,WP!$B$2:$C$23,2,0),VLOOKUP($C34,Series!$A$3:$F$11,6,0))&amp;" - "&amp;(IFERROR(IF(FIND("_",$B34)&gt;0,MID($B34,FIND("_",$B34)+1,LEN($B34)),IF(FIND("-",$B34)&gt;0,MID($B34,FIND("-",$B34)+1,LEN($B34)))),""))),""))&lt;64,_xlfn.IFNA(IF(IFERROR(IF(FIND("_",$B34)&gt;0,MID($B34,FIND("_",$B34)+1,LEN($B34)),IF(FIND("-",$B34)&gt;0,MID($B34,FIND("-",$B34)+1,LEN($B34)))),"")="",IFERROR(VLOOKUP($F34,WP!$B$2:$C$23,2,0),VLOOKUP($C34,Series!$A$3:$F$11,6,0)),IFERROR(VLOOKUP($F34,WP!$B$2:$C$23,2,0),VLOOKUP($C34,Series!$A$3:$F$11,6,0))&amp;" - "&amp;(IFERROR(IF(FIND("_",$B34)&gt;0,MID($B34,FIND("_",$B34)+1,LEN($B34)),IF(FIND("-",$B34)&gt;0,MID($B34,FIND("-",$B34)+1,LEN($B34)))),""))),""),LEFT((_xlfn.IFNA(IF(IFERROR(IF(FIND("_",$B34)&gt;0,MID($B34,FIND("_",$B34)+1,LEN($B34)),IF(FIND("-",$B34)&gt;0,MID($B34,FIND("-",$B34)+1,LEN($B34)))),"")="",IFERROR(VLOOKUP($F34,WP!$B$2:$C$23,2,0),VLOOKUP($C34,Series!$A$3:$F$11,6,0)),IFERROR(VLOOKUP($F34,WP!$B$2:$C$23,2,0),VLOOKUP($C34,Series!$A$3:$F$11,6,0))&amp;" - "&amp;(IFERROR(IF(FIND("_",$B34)&gt;0,MID($B34,FIND("_",$B34)+1,LEN($B34)),IF(FIND("-",$B34)&gt;0,MID($B34,FIND("-",$B34)+1,LEN($B34)))),""))),"")),64))</f>
        <v/>
      </c>
      <c r="H34" s="12"/>
      <c r="I34" s="12" t="str">
        <f>IF($D34&lt;&gt;"",COUNTIF($D$7:$D34,"="&amp;$D34),"")</f>
        <v/>
      </c>
      <c r="J34"/>
      <c r="K34" s="8"/>
      <c r="L34"/>
    </row>
    <row r="35" spans="1:12" x14ac:dyDescent="0.3">
      <c r="A35" s="1"/>
      <c r="B35" s="26"/>
      <c r="C35" s="12" t="str">
        <f>_xlfn.IFNA(IFERROR(IF(FIND("_",$B35)&gt;0,INDEX(WP!$A$2:$F$23,MATCH(LEFT($B35,FIND("_",$B35)-1),WP!$E$2:$E$23,0),1),IF(FIND("-",$B35)&gt;0,INDEX(WP!$A$2:$F$23,MATCH(LEFT($B35,FIND("_",$B35)-1),WP!$E$2:$E$23,0),1))),INDEX(WP!$A$2:$F$23,MATCH(Results!$B35,WP!$E$2:$E$23,0),1)),"")</f>
        <v/>
      </c>
      <c r="D35" s="12" t="str">
        <f>IFERROR(IFERROR(IF(RIGHT(INDEX(WP!$A$2:$F$23,MATCH(IF(FIND("_",$B35)&gt;0,LEFT($B35,FIND("_",$B35)-1)),WP!$E$2:$E$23,0),2),6)="Series",LEFT(INDEX(WP!$A$2:$F$23,MATCH(IF(FIND("_",$B35)&gt;0,LEFT($B35,FIND("_",$B35)-1)),WP!$E$2:$E$23,0),2),5),""),IF(RIGHT(INDEX(WP!$A$2:$F$23,MATCH($B35,WP!$E$2:$E$23,0),2),6)="Series",LEFT(INDEX(WP!$A$2:$F$23,MATCH($B35,WP!$E$2:$E$23,0),2),5),"")),"")</f>
        <v/>
      </c>
      <c r="E35" s="17" t="str">
        <f>IFERROR(VLOOKUP(VALUE($D35),Series!$B$3:$F$11,2,0),"")</f>
        <v/>
      </c>
      <c r="F35" s="12" t="str">
        <f>_xlfn.IFNA(IF(IF($D35&lt;&gt;"",COUNTIF($E:$E,"="&amp;$D35),"")="",IF(RIGHT(IFERROR(IF(FIND("_",$B35)&gt;0,INDEX(WP!$A$2:$F$23,MATCH(LEFT($B35,FIND("_",$B35)-1),WP!$E$2:$E$23,0),2),IF(FIND("-",$B35)&gt;0,INDEX(WP!$A$2:$F$23,MATCH(LEFT($B35,FIND("_",$B35)-1),WP!$E$2:$E$23,0),2))),INDEX(WP!$A$2:$F$23,MATCH(Results!$B35,WP!$E$2:$E$23,0),2)),6)="Series",LEFT(IFERROR(IF(FIND("_",$B35)&gt;0,INDEX(WP!$A$2:$F$23,MATCH(LEFT($B35,FIND("_",$B35)-1),WP!$E$2:$E$23,0),2),IF(FIND("-",$B35)&gt;0,INDEX(WP!$A$2:$F$23,MATCH(LEFT($B35,FIND("_",$B35)-1),WP!$E$2:$E$23,0),2))),INDEX(WP!$A$2:$F$23,MATCH(Results!$B35,WP!$E$2:$E$23,0),2)),5),(IFERROR(IF(FIND("_",$B35)&gt;0,INDEX(WP!$A$2:$F$23,MATCH(LEFT($B35,FIND("_",$B35)-1),WP!$E$2:$E$23,0),2),IF(FIND("-",$B35)&gt;0,INDEX(WP!$A$2:$F$23,MATCH(LEFT($B35,FIND("_",$B35)-1),WP!$E$2:$E$23,0),2))),INDEX(WP!$A$2:$F$23,MATCH(Results!$B35,WP!$E$2:$E$23,0),2)))),IF(RIGHT(IFERROR(IF(FIND("_",$B35)&gt;0,INDEX(WP!$A$2:$F$23,MATCH(LEFT($B35,FIND("_",$B35)-1),WP!$E$2:$E$23,0),2),IF(FIND("-",$B35)&gt;0,INDEX(WP!$A$2:$F$23,MATCH(LEFT($B35,FIND("_",$B35)-1),WP!$E$2:$E$23,0),2))),INDEX(WP!$A$2:$F$23,MATCH(Results!$B35,WP!$E$2:$E$23,0),2)),6)="Series",LEFT(IFERROR(IF(FIND("_",$B35)&gt;0,INDEX(WP!$A$2:$F$23,MATCH(LEFT($B35,FIND("_",$B35)-1),WP!$E$2:$E$23,0),2),IF(FIND("-",$B35)&gt;0,INDEX(WP!$A$2:$F$23,MATCH(LEFT($B35,FIND("_",$B35)-1),WP!$E$2:$E$23,0),2))),INDEX(WP!$A$2:$F$23,MATCH(Results!$B35,WP!$E$2:$E$23,0),2)),5),(IFERROR(IF(FIND("_",$B35)&gt;0,INDEX(WP!$A$2:$F$23,MATCH(LEFT($B35,FIND("_",$B35)-1),WP!$E$2:$E$23,0),2),IF(FIND("-",$B35)&gt;0,INDEX(WP!$A$2:$F$23,MATCH(LEFT($B35,FIND("_",$B35)-1),WP!$E$2:$E$23,0),2))),INDEX(WP!$A$2:$F$23,MATCH(Results!$B35,WP!$E$2:$E$23,0),2))))&amp;"-"&amp;$I35),"")</f>
        <v/>
      </c>
      <c r="G35" s="17" t="str">
        <f>IF(LEN(_xlfn.IFNA(IF(IFERROR(IF(FIND("_",$B35)&gt;0,MID($B35,FIND("_",$B35)+1,LEN($B35)),IF(FIND("-",$B35)&gt;0,MID($B35,FIND("-",$B35)+1,LEN($B35)))),"")="",IFERROR(VLOOKUP($F35,WP!$B$2:$C$23,2,0),VLOOKUP($C35,Series!$A$3:$F$11,6,0)),IFERROR(VLOOKUP($F35,WP!$B$2:$C$23,2,0),VLOOKUP($C35,Series!$A$3:$F$11,6,0))&amp;" - "&amp;(IFERROR(IF(FIND("_",$B35)&gt;0,MID($B35,FIND("_",$B35)+1,LEN($B35)),IF(FIND("-",$B35)&gt;0,MID($B35,FIND("-",$B35)+1,LEN($B35)))),""))),""))&lt;64,_xlfn.IFNA(IF(IFERROR(IF(FIND("_",$B35)&gt;0,MID($B35,FIND("_",$B35)+1,LEN($B35)),IF(FIND("-",$B35)&gt;0,MID($B35,FIND("-",$B35)+1,LEN($B35)))),"")="",IFERROR(VLOOKUP($F35,WP!$B$2:$C$23,2,0),VLOOKUP($C35,Series!$A$3:$F$11,6,0)),IFERROR(VLOOKUP($F35,WP!$B$2:$C$23,2,0),VLOOKUP($C35,Series!$A$3:$F$11,6,0))&amp;" - "&amp;(IFERROR(IF(FIND("_",$B35)&gt;0,MID($B35,FIND("_",$B35)+1,LEN($B35)),IF(FIND("-",$B35)&gt;0,MID($B35,FIND("-",$B35)+1,LEN($B35)))),""))),""),LEFT((_xlfn.IFNA(IF(IFERROR(IF(FIND("_",$B35)&gt;0,MID($B35,FIND("_",$B35)+1,LEN($B35)),IF(FIND("-",$B35)&gt;0,MID($B35,FIND("-",$B35)+1,LEN($B35)))),"")="",IFERROR(VLOOKUP($F35,WP!$B$2:$C$23,2,0),VLOOKUP($C35,Series!$A$3:$F$11,6,0)),IFERROR(VLOOKUP($F35,WP!$B$2:$C$23,2,0),VLOOKUP($C35,Series!$A$3:$F$11,6,0))&amp;" - "&amp;(IFERROR(IF(FIND("_",$B35)&gt;0,MID($B35,FIND("_",$B35)+1,LEN($B35)),IF(FIND("-",$B35)&gt;0,MID($B35,FIND("-",$B35)+1,LEN($B35)))),""))),"")),64))</f>
        <v/>
      </c>
      <c r="H35" s="12"/>
      <c r="I35" s="12" t="str">
        <f>IF($D35&lt;&gt;"",COUNTIF($D$7:$D35,"="&amp;$D35),"")</f>
        <v/>
      </c>
      <c r="J35"/>
      <c r="K35" s="8"/>
      <c r="L35"/>
    </row>
    <row r="36" spans="1:12" x14ac:dyDescent="0.3">
      <c r="A36" s="1"/>
      <c r="B36" s="26"/>
      <c r="C36" s="12" t="str">
        <f>_xlfn.IFNA(IFERROR(IF(FIND("_",$B36)&gt;0,INDEX(WP!$A$2:$F$23,MATCH(LEFT($B36,FIND("_",$B36)-1),WP!$E$2:$E$23,0),1),IF(FIND("-",$B36)&gt;0,INDEX(WP!$A$2:$F$23,MATCH(LEFT($B36,FIND("_",$B36)-1),WP!$E$2:$E$23,0),1))),INDEX(WP!$A$2:$F$23,MATCH(Results!$B36,WP!$E$2:$E$23,0),1)),"")</f>
        <v/>
      </c>
      <c r="D36" s="12" t="str">
        <f>IFERROR(IFERROR(IF(RIGHT(INDEX(WP!$A$2:$F$23,MATCH(IF(FIND("_",$B36)&gt;0,LEFT($B36,FIND("_",$B36)-1)),WP!$E$2:$E$23,0),2),6)="Series",LEFT(INDEX(WP!$A$2:$F$23,MATCH(IF(FIND("_",$B36)&gt;0,LEFT($B36,FIND("_",$B36)-1)),WP!$E$2:$E$23,0),2),5),""),IF(RIGHT(INDEX(WP!$A$2:$F$23,MATCH($B36,WP!$E$2:$E$23,0),2),6)="Series",LEFT(INDEX(WP!$A$2:$F$23,MATCH($B36,WP!$E$2:$E$23,0),2),5),"")),"")</f>
        <v/>
      </c>
      <c r="E36" s="17" t="str">
        <f>IFERROR(VLOOKUP(VALUE($D36),Series!$B$3:$F$11,2,0),"")</f>
        <v/>
      </c>
      <c r="F36" s="12" t="str">
        <f>_xlfn.IFNA(IF(IF($D36&lt;&gt;"",COUNTIF($E:$E,"="&amp;$D36),"")="",IF(RIGHT(IFERROR(IF(FIND("_",$B36)&gt;0,INDEX(WP!$A$2:$F$23,MATCH(LEFT($B36,FIND("_",$B36)-1),WP!$E$2:$E$23,0),2),IF(FIND("-",$B36)&gt;0,INDEX(WP!$A$2:$F$23,MATCH(LEFT($B36,FIND("_",$B36)-1),WP!$E$2:$E$23,0),2))),INDEX(WP!$A$2:$F$23,MATCH(Results!$B36,WP!$E$2:$E$23,0),2)),6)="Series",LEFT(IFERROR(IF(FIND("_",$B36)&gt;0,INDEX(WP!$A$2:$F$23,MATCH(LEFT($B36,FIND("_",$B36)-1),WP!$E$2:$E$23,0),2),IF(FIND("-",$B36)&gt;0,INDEX(WP!$A$2:$F$23,MATCH(LEFT($B36,FIND("_",$B36)-1),WP!$E$2:$E$23,0),2))),INDEX(WP!$A$2:$F$23,MATCH(Results!$B36,WP!$E$2:$E$23,0),2)),5),(IFERROR(IF(FIND("_",$B36)&gt;0,INDEX(WP!$A$2:$F$23,MATCH(LEFT($B36,FIND("_",$B36)-1),WP!$E$2:$E$23,0),2),IF(FIND("-",$B36)&gt;0,INDEX(WP!$A$2:$F$23,MATCH(LEFT($B36,FIND("_",$B36)-1),WP!$E$2:$E$23,0),2))),INDEX(WP!$A$2:$F$23,MATCH(Results!$B36,WP!$E$2:$E$23,0),2)))),IF(RIGHT(IFERROR(IF(FIND("_",$B36)&gt;0,INDEX(WP!$A$2:$F$23,MATCH(LEFT($B36,FIND("_",$B36)-1),WP!$E$2:$E$23,0),2),IF(FIND("-",$B36)&gt;0,INDEX(WP!$A$2:$F$23,MATCH(LEFT($B36,FIND("_",$B36)-1),WP!$E$2:$E$23,0),2))),INDEX(WP!$A$2:$F$23,MATCH(Results!$B36,WP!$E$2:$E$23,0),2)),6)="Series",LEFT(IFERROR(IF(FIND("_",$B36)&gt;0,INDEX(WP!$A$2:$F$23,MATCH(LEFT($B36,FIND("_",$B36)-1),WP!$E$2:$E$23,0),2),IF(FIND("-",$B36)&gt;0,INDEX(WP!$A$2:$F$23,MATCH(LEFT($B36,FIND("_",$B36)-1),WP!$E$2:$E$23,0),2))),INDEX(WP!$A$2:$F$23,MATCH(Results!$B36,WP!$E$2:$E$23,0),2)),5),(IFERROR(IF(FIND("_",$B36)&gt;0,INDEX(WP!$A$2:$F$23,MATCH(LEFT($B36,FIND("_",$B36)-1),WP!$E$2:$E$23,0),2),IF(FIND("-",$B36)&gt;0,INDEX(WP!$A$2:$F$23,MATCH(LEFT($B36,FIND("_",$B36)-1),WP!$E$2:$E$23,0),2))),INDEX(WP!$A$2:$F$23,MATCH(Results!$B36,WP!$E$2:$E$23,0),2))))&amp;"-"&amp;$I36),"")</f>
        <v/>
      </c>
      <c r="G36" s="17" t="str">
        <f>IF(LEN(_xlfn.IFNA(IF(IFERROR(IF(FIND("_",$B36)&gt;0,MID($B36,FIND("_",$B36)+1,LEN($B36)),IF(FIND("-",$B36)&gt;0,MID($B36,FIND("-",$B36)+1,LEN($B36)))),"")="",IFERROR(VLOOKUP($F36,WP!$B$2:$C$23,2,0),VLOOKUP($C36,Series!$A$3:$F$11,6,0)),IFERROR(VLOOKUP($F36,WP!$B$2:$C$23,2,0),VLOOKUP($C36,Series!$A$3:$F$11,6,0))&amp;" - "&amp;(IFERROR(IF(FIND("_",$B36)&gt;0,MID($B36,FIND("_",$B36)+1,LEN($B36)),IF(FIND("-",$B36)&gt;0,MID($B36,FIND("-",$B36)+1,LEN($B36)))),""))),""))&lt;64,_xlfn.IFNA(IF(IFERROR(IF(FIND("_",$B36)&gt;0,MID($B36,FIND("_",$B36)+1,LEN($B36)),IF(FIND("-",$B36)&gt;0,MID($B36,FIND("-",$B36)+1,LEN($B36)))),"")="",IFERROR(VLOOKUP($F36,WP!$B$2:$C$23,2,0),VLOOKUP($C36,Series!$A$3:$F$11,6,0)),IFERROR(VLOOKUP($F36,WP!$B$2:$C$23,2,0),VLOOKUP($C36,Series!$A$3:$F$11,6,0))&amp;" - "&amp;(IFERROR(IF(FIND("_",$B36)&gt;0,MID($B36,FIND("_",$B36)+1,LEN($B36)),IF(FIND("-",$B36)&gt;0,MID($B36,FIND("-",$B36)+1,LEN($B36)))),""))),""),LEFT((_xlfn.IFNA(IF(IFERROR(IF(FIND("_",$B36)&gt;0,MID($B36,FIND("_",$B36)+1,LEN($B36)),IF(FIND("-",$B36)&gt;0,MID($B36,FIND("-",$B36)+1,LEN($B36)))),"")="",IFERROR(VLOOKUP($F36,WP!$B$2:$C$23,2,0),VLOOKUP($C36,Series!$A$3:$F$11,6,0)),IFERROR(VLOOKUP($F36,WP!$B$2:$C$23,2,0),VLOOKUP($C36,Series!$A$3:$F$11,6,0))&amp;" - "&amp;(IFERROR(IF(FIND("_",$B36)&gt;0,MID($B36,FIND("_",$B36)+1,LEN($B36)),IF(FIND("-",$B36)&gt;0,MID($B36,FIND("-",$B36)+1,LEN($B36)))),""))),"")),64))</f>
        <v/>
      </c>
      <c r="H36" s="12"/>
      <c r="I36" s="12" t="str">
        <f>IF($D36&lt;&gt;"",COUNTIF($D$7:$D36,"="&amp;$D36),"")</f>
        <v/>
      </c>
      <c r="J36"/>
      <c r="K36" s="8"/>
      <c r="L36"/>
    </row>
    <row r="37" spans="1:12" x14ac:dyDescent="0.3">
      <c r="A37" s="1"/>
      <c r="B37" s="26"/>
      <c r="C37" s="12" t="str">
        <f>_xlfn.IFNA(IFERROR(IF(FIND("_",$B37)&gt;0,INDEX(WP!$A$2:$F$23,MATCH(LEFT($B37,FIND("_",$B37)-1),WP!$E$2:$E$23,0),1),IF(FIND("-",$B37)&gt;0,INDEX(WP!$A$2:$F$23,MATCH(LEFT($B37,FIND("_",$B37)-1),WP!$E$2:$E$23,0),1))),INDEX(WP!$A$2:$F$23,MATCH(Results!$B37,WP!$E$2:$E$23,0),1)),"")</f>
        <v/>
      </c>
      <c r="D37" s="12" t="str">
        <f>IFERROR(IFERROR(IF(RIGHT(INDEX(WP!$A$2:$F$23,MATCH(IF(FIND("_",$B37)&gt;0,LEFT($B37,FIND("_",$B37)-1)),WP!$E$2:$E$23,0),2),6)="Series",LEFT(INDEX(WP!$A$2:$F$23,MATCH(IF(FIND("_",$B37)&gt;0,LEFT($B37,FIND("_",$B37)-1)),WP!$E$2:$E$23,0),2),5),""),IF(RIGHT(INDEX(WP!$A$2:$F$23,MATCH($B37,WP!$E$2:$E$23,0),2),6)="Series",LEFT(INDEX(WP!$A$2:$F$23,MATCH($B37,WP!$E$2:$E$23,0),2),5),"")),"")</f>
        <v/>
      </c>
      <c r="E37" s="17" t="str">
        <f>IFERROR(VLOOKUP(VALUE($D37),Series!$B$3:$F$11,2,0),"")</f>
        <v/>
      </c>
      <c r="F37" s="12" t="str">
        <f>_xlfn.IFNA(IF(IF($D37&lt;&gt;"",COUNTIF($E:$E,"="&amp;$D37),"")="",IF(RIGHT(IFERROR(IF(FIND("_",$B37)&gt;0,INDEX(WP!$A$2:$F$23,MATCH(LEFT($B37,FIND("_",$B37)-1),WP!$E$2:$E$23,0),2),IF(FIND("-",$B37)&gt;0,INDEX(WP!$A$2:$F$23,MATCH(LEFT($B37,FIND("_",$B37)-1),WP!$E$2:$E$23,0),2))),INDEX(WP!$A$2:$F$23,MATCH(Results!$B37,WP!$E$2:$E$23,0),2)),6)="Series",LEFT(IFERROR(IF(FIND("_",$B37)&gt;0,INDEX(WP!$A$2:$F$23,MATCH(LEFT($B37,FIND("_",$B37)-1),WP!$E$2:$E$23,0),2),IF(FIND("-",$B37)&gt;0,INDEX(WP!$A$2:$F$23,MATCH(LEFT($B37,FIND("_",$B37)-1),WP!$E$2:$E$23,0),2))),INDEX(WP!$A$2:$F$23,MATCH(Results!$B37,WP!$E$2:$E$23,0),2)),5),(IFERROR(IF(FIND("_",$B37)&gt;0,INDEX(WP!$A$2:$F$23,MATCH(LEFT($B37,FIND("_",$B37)-1),WP!$E$2:$E$23,0),2),IF(FIND("-",$B37)&gt;0,INDEX(WP!$A$2:$F$23,MATCH(LEFT($B37,FIND("_",$B37)-1),WP!$E$2:$E$23,0),2))),INDEX(WP!$A$2:$F$23,MATCH(Results!$B37,WP!$E$2:$E$23,0),2)))),IF(RIGHT(IFERROR(IF(FIND("_",$B37)&gt;0,INDEX(WP!$A$2:$F$23,MATCH(LEFT($B37,FIND("_",$B37)-1),WP!$E$2:$E$23,0),2),IF(FIND("-",$B37)&gt;0,INDEX(WP!$A$2:$F$23,MATCH(LEFT($B37,FIND("_",$B37)-1),WP!$E$2:$E$23,0),2))),INDEX(WP!$A$2:$F$23,MATCH(Results!$B37,WP!$E$2:$E$23,0),2)),6)="Series",LEFT(IFERROR(IF(FIND("_",$B37)&gt;0,INDEX(WP!$A$2:$F$23,MATCH(LEFT($B37,FIND("_",$B37)-1),WP!$E$2:$E$23,0),2),IF(FIND("-",$B37)&gt;0,INDEX(WP!$A$2:$F$23,MATCH(LEFT($B37,FIND("_",$B37)-1),WP!$E$2:$E$23,0),2))),INDEX(WP!$A$2:$F$23,MATCH(Results!$B37,WP!$E$2:$E$23,0),2)),5),(IFERROR(IF(FIND("_",$B37)&gt;0,INDEX(WP!$A$2:$F$23,MATCH(LEFT($B37,FIND("_",$B37)-1),WP!$E$2:$E$23,0),2),IF(FIND("-",$B37)&gt;0,INDEX(WP!$A$2:$F$23,MATCH(LEFT($B37,FIND("_",$B37)-1),WP!$E$2:$E$23,0),2))),INDEX(WP!$A$2:$F$23,MATCH(Results!$B37,WP!$E$2:$E$23,0),2))))&amp;"-"&amp;$I37),"")</f>
        <v/>
      </c>
      <c r="G37" s="17" t="str">
        <f>IF(LEN(_xlfn.IFNA(IF(IFERROR(IF(FIND("_",$B37)&gt;0,MID($B37,FIND("_",$B37)+1,LEN($B37)),IF(FIND("-",$B37)&gt;0,MID($B37,FIND("-",$B37)+1,LEN($B37)))),"")="",IFERROR(VLOOKUP($F37,WP!$B$2:$C$23,2,0),VLOOKUP($C37,Series!$A$3:$F$11,6,0)),IFERROR(VLOOKUP($F37,WP!$B$2:$C$23,2,0),VLOOKUP($C37,Series!$A$3:$F$11,6,0))&amp;" - "&amp;(IFERROR(IF(FIND("_",$B37)&gt;0,MID($B37,FIND("_",$B37)+1,LEN($B37)),IF(FIND("-",$B37)&gt;0,MID($B37,FIND("-",$B37)+1,LEN($B37)))),""))),""))&lt;64,_xlfn.IFNA(IF(IFERROR(IF(FIND("_",$B37)&gt;0,MID($B37,FIND("_",$B37)+1,LEN($B37)),IF(FIND("-",$B37)&gt;0,MID($B37,FIND("-",$B37)+1,LEN($B37)))),"")="",IFERROR(VLOOKUP($F37,WP!$B$2:$C$23,2,0),VLOOKUP($C37,Series!$A$3:$F$11,6,0)),IFERROR(VLOOKUP($F37,WP!$B$2:$C$23,2,0),VLOOKUP($C37,Series!$A$3:$F$11,6,0))&amp;" - "&amp;(IFERROR(IF(FIND("_",$B37)&gt;0,MID($B37,FIND("_",$B37)+1,LEN($B37)),IF(FIND("-",$B37)&gt;0,MID($B37,FIND("-",$B37)+1,LEN($B37)))),""))),""),LEFT((_xlfn.IFNA(IF(IFERROR(IF(FIND("_",$B37)&gt;0,MID($B37,FIND("_",$B37)+1,LEN($B37)),IF(FIND("-",$B37)&gt;0,MID($B37,FIND("-",$B37)+1,LEN($B37)))),"")="",IFERROR(VLOOKUP($F37,WP!$B$2:$C$23,2,0),VLOOKUP($C37,Series!$A$3:$F$11,6,0)),IFERROR(VLOOKUP($F37,WP!$B$2:$C$23,2,0),VLOOKUP($C37,Series!$A$3:$F$11,6,0))&amp;" - "&amp;(IFERROR(IF(FIND("_",$B37)&gt;0,MID($B37,FIND("_",$B37)+1,LEN($B37)),IF(FIND("-",$B37)&gt;0,MID($B37,FIND("-",$B37)+1,LEN($B37)))),""))),"")),64))</f>
        <v/>
      </c>
      <c r="H37" s="12"/>
      <c r="I37" s="12" t="str">
        <f>IF($D37&lt;&gt;"",COUNTIF($D$7:$D37,"="&amp;$D37),"")</f>
        <v/>
      </c>
      <c r="J37"/>
      <c r="K37" s="8"/>
      <c r="L37"/>
    </row>
    <row r="38" spans="1:12" x14ac:dyDescent="0.3">
      <c r="A38" s="1"/>
      <c r="B38" s="26"/>
      <c r="C38" s="12" t="str">
        <f>_xlfn.IFNA(IFERROR(IF(FIND("_",$B38)&gt;0,INDEX(WP!$A$2:$F$23,MATCH(LEFT($B38,FIND("_",$B38)-1),WP!$E$2:$E$23,0),1),IF(FIND("-",$B38)&gt;0,INDEX(WP!$A$2:$F$23,MATCH(LEFT($B38,FIND("_",$B38)-1),WP!$E$2:$E$23,0),1))),INDEX(WP!$A$2:$F$23,MATCH(Results!$B38,WP!$E$2:$E$23,0),1)),"")</f>
        <v/>
      </c>
      <c r="D38" s="12" t="str">
        <f>IFERROR(IFERROR(IF(RIGHT(INDEX(WP!$A$2:$F$23,MATCH(IF(FIND("_",$B38)&gt;0,LEFT($B38,FIND("_",$B38)-1)),WP!$E$2:$E$23,0),2),6)="Series",LEFT(INDEX(WP!$A$2:$F$23,MATCH(IF(FIND("_",$B38)&gt;0,LEFT($B38,FIND("_",$B38)-1)),WP!$E$2:$E$23,0),2),5),""),IF(RIGHT(INDEX(WP!$A$2:$F$23,MATCH($B38,WP!$E$2:$E$23,0),2),6)="Series",LEFT(INDEX(WP!$A$2:$F$23,MATCH($B38,WP!$E$2:$E$23,0),2),5),"")),"")</f>
        <v/>
      </c>
      <c r="E38" s="17" t="str">
        <f>IFERROR(VLOOKUP(VALUE($D38),Series!$B$3:$F$11,2,0),"")</f>
        <v/>
      </c>
      <c r="F38" s="12" t="str">
        <f>_xlfn.IFNA(IF(IF($D38&lt;&gt;"",COUNTIF($E:$E,"="&amp;$D38),"")="",IF(RIGHT(IFERROR(IF(FIND("_",$B38)&gt;0,INDEX(WP!$A$2:$F$23,MATCH(LEFT($B38,FIND("_",$B38)-1),WP!$E$2:$E$23,0),2),IF(FIND("-",$B38)&gt;0,INDEX(WP!$A$2:$F$23,MATCH(LEFT($B38,FIND("_",$B38)-1),WP!$E$2:$E$23,0),2))),INDEX(WP!$A$2:$F$23,MATCH(Results!$B38,WP!$E$2:$E$23,0),2)),6)="Series",LEFT(IFERROR(IF(FIND("_",$B38)&gt;0,INDEX(WP!$A$2:$F$23,MATCH(LEFT($B38,FIND("_",$B38)-1),WP!$E$2:$E$23,0),2),IF(FIND("-",$B38)&gt;0,INDEX(WP!$A$2:$F$23,MATCH(LEFT($B38,FIND("_",$B38)-1),WP!$E$2:$E$23,0),2))),INDEX(WP!$A$2:$F$23,MATCH(Results!$B38,WP!$E$2:$E$23,0),2)),5),(IFERROR(IF(FIND("_",$B38)&gt;0,INDEX(WP!$A$2:$F$23,MATCH(LEFT($B38,FIND("_",$B38)-1),WP!$E$2:$E$23,0),2),IF(FIND("-",$B38)&gt;0,INDEX(WP!$A$2:$F$23,MATCH(LEFT($B38,FIND("_",$B38)-1),WP!$E$2:$E$23,0),2))),INDEX(WP!$A$2:$F$23,MATCH(Results!$B38,WP!$E$2:$E$23,0),2)))),IF(RIGHT(IFERROR(IF(FIND("_",$B38)&gt;0,INDEX(WP!$A$2:$F$23,MATCH(LEFT($B38,FIND("_",$B38)-1),WP!$E$2:$E$23,0),2),IF(FIND("-",$B38)&gt;0,INDEX(WP!$A$2:$F$23,MATCH(LEFT($B38,FIND("_",$B38)-1),WP!$E$2:$E$23,0),2))),INDEX(WP!$A$2:$F$23,MATCH(Results!$B38,WP!$E$2:$E$23,0),2)),6)="Series",LEFT(IFERROR(IF(FIND("_",$B38)&gt;0,INDEX(WP!$A$2:$F$23,MATCH(LEFT($B38,FIND("_",$B38)-1),WP!$E$2:$E$23,0),2),IF(FIND("-",$B38)&gt;0,INDEX(WP!$A$2:$F$23,MATCH(LEFT($B38,FIND("_",$B38)-1),WP!$E$2:$E$23,0),2))),INDEX(WP!$A$2:$F$23,MATCH(Results!$B38,WP!$E$2:$E$23,0),2)),5),(IFERROR(IF(FIND("_",$B38)&gt;0,INDEX(WP!$A$2:$F$23,MATCH(LEFT($B38,FIND("_",$B38)-1),WP!$E$2:$E$23,0),2),IF(FIND("-",$B38)&gt;0,INDEX(WP!$A$2:$F$23,MATCH(LEFT($B38,FIND("_",$B38)-1),WP!$E$2:$E$23,0),2))),INDEX(WP!$A$2:$F$23,MATCH(Results!$B38,WP!$E$2:$E$23,0),2))))&amp;"-"&amp;$I38),"")</f>
        <v/>
      </c>
      <c r="G38" s="17" t="str">
        <f>IF(LEN(_xlfn.IFNA(IF(IFERROR(IF(FIND("_",$B38)&gt;0,MID($B38,FIND("_",$B38)+1,LEN($B38)),IF(FIND("-",$B38)&gt;0,MID($B38,FIND("-",$B38)+1,LEN($B38)))),"")="",IFERROR(VLOOKUP($F38,WP!$B$2:$C$23,2,0),VLOOKUP($C38,Series!$A$3:$F$11,6,0)),IFERROR(VLOOKUP($F38,WP!$B$2:$C$23,2,0),VLOOKUP($C38,Series!$A$3:$F$11,6,0))&amp;" - "&amp;(IFERROR(IF(FIND("_",$B38)&gt;0,MID($B38,FIND("_",$B38)+1,LEN($B38)),IF(FIND("-",$B38)&gt;0,MID($B38,FIND("-",$B38)+1,LEN($B38)))),""))),""))&lt;64,_xlfn.IFNA(IF(IFERROR(IF(FIND("_",$B38)&gt;0,MID($B38,FIND("_",$B38)+1,LEN($B38)),IF(FIND("-",$B38)&gt;0,MID($B38,FIND("-",$B38)+1,LEN($B38)))),"")="",IFERROR(VLOOKUP($F38,WP!$B$2:$C$23,2,0),VLOOKUP($C38,Series!$A$3:$F$11,6,0)),IFERROR(VLOOKUP($F38,WP!$B$2:$C$23,2,0),VLOOKUP($C38,Series!$A$3:$F$11,6,0))&amp;" - "&amp;(IFERROR(IF(FIND("_",$B38)&gt;0,MID($B38,FIND("_",$B38)+1,LEN($B38)),IF(FIND("-",$B38)&gt;0,MID($B38,FIND("-",$B38)+1,LEN($B38)))),""))),""),LEFT((_xlfn.IFNA(IF(IFERROR(IF(FIND("_",$B38)&gt;0,MID($B38,FIND("_",$B38)+1,LEN($B38)),IF(FIND("-",$B38)&gt;0,MID($B38,FIND("-",$B38)+1,LEN($B38)))),"")="",IFERROR(VLOOKUP($F38,WP!$B$2:$C$23,2,0),VLOOKUP($C38,Series!$A$3:$F$11,6,0)),IFERROR(VLOOKUP($F38,WP!$B$2:$C$23,2,0),VLOOKUP($C38,Series!$A$3:$F$11,6,0))&amp;" - "&amp;(IFERROR(IF(FIND("_",$B38)&gt;0,MID($B38,FIND("_",$B38)+1,LEN($B38)),IF(FIND("-",$B38)&gt;0,MID($B38,FIND("-",$B38)+1,LEN($B38)))),""))),"")),64))</f>
        <v/>
      </c>
      <c r="H38" s="12"/>
      <c r="I38" s="12" t="str">
        <f>IF($D38&lt;&gt;"",COUNTIF($D$7:$D38,"="&amp;$D38),"")</f>
        <v/>
      </c>
      <c r="J38"/>
      <c r="K38" s="8"/>
      <c r="L38"/>
    </row>
    <row r="39" spans="1:12" x14ac:dyDescent="0.3">
      <c r="A39" s="1"/>
      <c r="B39" s="26"/>
      <c r="C39" s="12" t="str">
        <f>_xlfn.IFNA(IFERROR(IF(FIND("_",$B39)&gt;0,INDEX(WP!$A$2:$F$23,MATCH(LEFT($B39,FIND("_",$B39)-1),WP!$E$2:$E$23,0),1),IF(FIND("-",$B39)&gt;0,INDEX(WP!$A$2:$F$23,MATCH(LEFT($B39,FIND("_",$B39)-1),WP!$E$2:$E$23,0),1))),INDEX(WP!$A$2:$F$23,MATCH(Results!$B39,WP!$E$2:$E$23,0),1)),"")</f>
        <v/>
      </c>
      <c r="D39" s="12" t="str">
        <f>IFERROR(IFERROR(IF(RIGHT(INDEX(WP!$A$2:$F$23,MATCH(IF(FIND("_",$B39)&gt;0,LEFT($B39,FIND("_",$B39)-1)),WP!$E$2:$E$23,0),2),6)="Series",LEFT(INDEX(WP!$A$2:$F$23,MATCH(IF(FIND("_",$B39)&gt;0,LEFT($B39,FIND("_",$B39)-1)),WP!$E$2:$E$23,0),2),5),""),IF(RIGHT(INDEX(WP!$A$2:$F$23,MATCH($B39,WP!$E$2:$E$23,0),2),6)="Series",LEFT(INDEX(WP!$A$2:$F$23,MATCH($B39,WP!$E$2:$E$23,0),2),5),"")),"")</f>
        <v/>
      </c>
      <c r="E39" s="17" t="str">
        <f>IFERROR(VLOOKUP(VALUE($D39),Series!$B$3:$F$11,2,0),"")</f>
        <v/>
      </c>
      <c r="F39" s="12" t="str">
        <f>_xlfn.IFNA(IF(IF($D39&lt;&gt;"",COUNTIF($E:$E,"="&amp;$D39),"")="",IF(RIGHT(IFERROR(IF(FIND("_",$B39)&gt;0,INDEX(WP!$A$2:$F$23,MATCH(LEFT($B39,FIND("_",$B39)-1),WP!$E$2:$E$23,0),2),IF(FIND("-",$B39)&gt;0,INDEX(WP!$A$2:$F$23,MATCH(LEFT($B39,FIND("_",$B39)-1),WP!$E$2:$E$23,0),2))),INDEX(WP!$A$2:$F$23,MATCH(Results!$B39,WP!$E$2:$E$23,0),2)),6)="Series",LEFT(IFERROR(IF(FIND("_",$B39)&gt;0,INDEX(WP!$A$2:$F$23,MATCH(LEFT($B39,FIND("_",$B39)-1),WP!$E$2:$E$23,0),2),IF(FIND("-",$B39)&gt;0,INDEX(WP!$A$2:$F$23,MATCH(LEFT($B39,FIND("_",$B39)-1),WP!$E$2:$E$23,0),2))),INDEX(WP!$A$2:$F$23,MATCH(Results!$B39,WP!$E$2:$E$23,0),2)),5),(IFERROR(IF(FIND("_",$B39)&gt;0,INDEX(WP!$A$2:$F$23,MATCH(LEFT($B39,FIND("_",$B39)-1),WP!$E$2:$E$23,0),2),IF(FIND("-",$B39)&gt;0,INDEX(WP!$A$2:$F$23,MATCH(LEFT($B39,FIND("_",$B39)-1),WP!$E$2:$E$23,0),2))),INDEX(WP!$A$2:$F$23,MATCH(Results!$B39,WP!$E$2:$E$23,0),2)))),IF(RIGHT(IFERROR(IF(FIND("_",$B39)&gt;0,INDEX(WP!$A$2:$F$23,MATCH(LEFT($B39,FIND("_",$B39)-1),WP!$E$2:$E$23,0),2),IF(FIND("-",$B39)&gt;0,INDEX(WP!$A$2:$F$23,MATCH(LEFT($B39,FIND("_",$B39)-1),WP!$E$2:$E$23,0),2))),INDEX(WP!$A$2:$F$23,MATCH(Results!$B39,WP!$E$2:$E$23,0),2)),6)="Series",LEFT(IFERROR(IF(FIND("_",$B39)&gt;0,INDEX(WP!$A$2:$F$23,MATCH(LEFT($B39,FIND("_",$B39)-1),WP!$E$2:$E$23,0),2),IF(FIND("-",$B39)&gt;0,INDEX(WP!$A$2:$F$23,MATCH(LEFT($B39,FIND("_",$B39)-1),WP!$E$2:$E$23,0),2))),INDEX(WP!$A$2:$F$23,MATCH(Results!$B39,WP!$E$2:$E$23,0),2)),5),(IFERROR(IF(FIND("_",$B39)&gt;0,INDEX(WP!$A$2:$F$23,MATCH(LEFT($B39,FIND("_",$B39)-1),WP!$E$2:$E$23,0),2),IF(FIND("-",$B39)&gt;0,INDEX(WP!$A$2:$F$23,MATCH(LEFT($B39,FIND("_",$B39)-1),WP!$E$2:$E$23,0),2))),INDEX(WP!$A$2:$F$23,MATCH(Results!$B39,WP!$E$2:$E$23,0),2))))&amp;"-"&amp;$I39),"")</f>
        <v/>
      </c>
      <c r="G39" s="17" t="str">
        <f>IF(LEN(_xlfn.IFNA(IF(IFERROR(IF(FIND("_",$B39)&gt;0,MID($B39,FIND("_",$B39)+1,LEN($B39)),IF(FIND("-",$B39)&gt;0,MID($B39,FIND("-",$B39)+1,LEN($B39)))),"")="",IFERROR(VLOOKUP($F39,WP!$B$2:$C$23,2,0),VLOOKUP($C39,Series!$A$3:$F$11,6,0)),IFERROR(VLOOKUP($F39,WP!$B$2:$C$23,2,0),VLOOKUP($C39,Series!$A$3:$F$11,6,0))&amp;" - "&amp;(IFERROR(IF(FIND("_",$B39)&gt;0,MID($B39,FIND("_",$B39)+1,LEN($B39)),IF(FIND("-",$B39)&gt;0,MID($B39,FIND("-",$B39)+1,LEN($B39)))),""))),""))&lt;64,_xlfn.IFNA(IF(IFERROR(IF(FIND("_",$B39)&gt;0,MID($B39,FIND("_",$B39)+1,LEN($B39)),IF(FIND("-",$B39)&gt;0,MID($B39,FIND("-",$B39)+1,LEN($B39)))),"")="",IFERROR(VLOOKUP($F39,WP!$B$2:$C$23,2,0),VLOOKUP($C39,Series!$A$3:$F$11,6,0)),IFERROR(VLOOKUP($F39,WP!$B$2:$C$23,2,0),VLOOKUP($C39,Series!$A$3:$F$11,6,0))&amp;" - "&amp;(IFERROR(IF(FIND("_",$B39)&gt;0,MID($B39,FIND("_",$B39)+1,LEN($B39)),IF(FIND("-",$B39)&gt;0,MID($B39,FIND("-",$B39)+1,LEN($B39)))),""))),""),LEFT((_xlfn.IFNA(IF(IFERROR(IF(FIND("_",$B39)&gt;0,MID($B39,FIND("_",$B39)+1,LEN($B39)),IF(FIND("-",$B39)&gt;0,MID($B39,FIND("-",$B39)+1,LEN($B39)))),"")="",IFERROR(VLOOKUP($F39,WP!$B$2:$C$23,2,0),VLOOKUP($C39,Series!$A$3:$F$11,6,0)),IFERROR(VLOOKUP($F39,WP!$B$2:$C$23,2,0),VLOOKUP($C39,Series!$A$3:$F$11,6,0))&amp;" - "&amp;(IFERROR(IF(FIND("_",$B39)&gt;0,MID($B39,FIND("_",$B39)+1,LEN($B39)),IF(FIND("-",$B39)&gt;0,MID($B39,FIND("-",$B39)+1,LEN($B39)))),""))),"")),64))</f>
        <v/>
      </c>
      <c r="H39" s="12"/>
      <c r="I39" s="12" t="str">
        <f>IF($D39&lt;&gt;"",COUNTIF($D$7:$D39,"="&amp;$D39),"")</f>
        <v/>
      </c>
      <c r="J39"/>
      <c r="K39" s="8"/>
      <c r="L39"/>
    </row>
    <row r="40" spans="1:12" x14ac:dyDescent="0.3">
      <c r="A40" s="1"/>
      <c r="B40" s="26"/>
      <c r="C40" s="12" t="str">
        <f>_xlfn.IFNA(IFERROR(IF(FIND("_",$B40)&gt;0,INDEX(WP!$A$2:$F$23,MATCH(LEFT($B40,FIND("_",$B40)-1),WP!$E$2:$E$23,0),1),IF(FIND("-",$B40)&gt;0,INDEX(WP!$A$2:$F$23,MATCH(LEFT($B40,FIND("_",$B40)-1),WP!$E$2:$E$23,0),1))),INDEX(WP!$A$2:$F$23,MATCH(Results!$B40,WP!$E$2:$E$23,0),1)),"")</f>
        <v/>
      </c>
      <c r="D40" s="12" t="str">
        <f>IFERROR(IFERROR(IF(RIGHT(INDEX(WP!$A$2:$F$23,MATCH(IF(FIND("_",$B40)&gt;0,LEFT($B40,FIND("_",$B40)-1)),WP!$E$2:$E$23,0),2),6)="Series",LEFT(INDEX(WP!$A$2:$F$23,MATCH(IF(FIND("_",$B40)&gt;0,LEFT($B40,FIND("_",$B40)-1)),WP!$E$2:$E$23,0),2),5),""),IF(RIGHT(INDEX(WP!$A$2:$F$23,MATCH($B40,WP!$E$2:$E$23,0),2),6)="Series",LEFT(INDEX(WP!$A$2:$F$23,MATCH($B40,WP!$E$2:$E$23,0),2),5),"")),"")</f>
        <v/>
      </c>
      <c r="E40" s="17" t="str">
        <f>IFERROR(VLOOKUP(VALUE($D40),Series!$B$3:$F$11,2,0),"")</f>
        <v/>
      </c>
      <c r="F40" s="12" t="str">
        <f>_xlfn.IFNA(IF(IF($D40&lt;&gt;"",COUNTIF($E:$E,"="&amp;$D40),"")="",IF(RIGHT(IFERROR(IF(FIND("_",$B40)&gt;0,INDEX(WP!$A$2:$F$23,MATCH(LEFT($B40,FIND("_",$B40)-1),WP!$E$2:$E$23,0),2),IF(FIND("-",$B40)&gt;0,INDEX(WP!$A$2:$F$23,MATCH(LEFT($B40,FIND("_",$B40)-1),WP!$E$2:$E$23,0),2))),INDEX(WP!$A$2:$F$23,MATCH(Results!$B40,WP!$E$2:$E$23,0),2)),6)="Series",LEFT(IFERROR(IF(FIND("_",$B40)&gt;0,INDEX(WP!$A$2:$F$23,MATCH(LEFT($B40,FIND("_",$B40)-1),WP!$E$2:$E$23,0),2),IF(FIND("-",$B40)&gt;0,INDEX(WP!$A$2:$F$23,MATCH(LEFT($B40,FIND("_",$B40)-1),WP!$E$2:$E$23,0),2))),INDEX(WP!$A$2:$F$23,MATCH(Results!$B40,WP!$E$2:$E$23,0),2)),5),(IFERROR(IF(FIND("_",$B40)&gt;0,INDEX(WP!$A$2:$F$23,MATCH(LEFT($B40,FIND("_",$B40)-1),WP!$E$2:$E$23,0),2),IF(FIND("-",$B40)&gt;0,INDEX(WP!$A$2:$F$23,MATCH(LEFT($B40,FIND("_",$B40)-1),WP!$E$2:$E$23,0),2))),INDEX(WP!$A$2:$F$23,MATCH(Results!$B40,WP!$E$2:$E$23,0),2)))),IF(RIGHT(IFERROR(IF(FIND("_",$B40)&gt;0,INDEX(WP!$A$2:$F$23,MATCH(LEFT($B40,FIND("_",$B40)-1),WP!$E$2:$E$23,0),2),IF(FIND("-",$B40)&gt;0,INDEX(WP!$A$2:$F$23,MATCH(LEFT($B40,FIND("_",$B40)-1),WP!$E$2:$E$23,0),2))),INDEX(WP!$A$2:$F$23,MATCH(Results!$B40,WP!$E$2:$E$23,0),2)),6)="Series",LEFT(IFERROR(IF(FIND("_",$B40)&gt;0,INDEX(WP!$A$2:$F$23,MATCH(LEFT($B40,FIND("_",$B40)-1),WP!$E$2:$E$23,0),2),IF(FIND("-",$B40)&gt;0,INDEX(WP!$A$2:$F$23,MATCH(LEFT($B40,FIND("_",$B40)-1),WP!$E$2:$E$23,0),2))),INDEX(WP!$A$2:$F$23,MATCH(Results!$B40,WP!$E$2:$E$23,0),2)),5),(IFERROR(IF(FIND("_",$B40)&gt;0,INDEX(WP!$A$2:$F$23,MATCH(LEFT($B40,FIND("_",$B40)-1),WP!$E$2:$E$23,0),2),IF(FIND("-",$B40)&gt;0,INDEX(WP!$A$2:$F$23,MATCH(LEFT($B40,FIND("_",$B40)-1),WP!$E$2:$E$23,0),2))),INDEX(WP!$A$2:$F$23,MATCH(Results!$B40,WP!$E$2:$E$23,0),2))))&amp;"-"&amp;$I40),"")</f>
        <v/>
      </c>
      <c r="G40" s="17" t="str">
        <f>IF(LEN(_xlfn.IFNA(IF(IFERROR(IF(FIND("_",$B40)&gt;0,MID($B40,FIND("_",$B40)+1,LEN($B40)),IF(FIND("-",$B40)&gt;0,MID($B40,FIND("-",$B40)+1,LEN($B40)))),"")="",IFERROR(VLOOKUP($F40,WP!$B$2:$C$23,2,0),VLOOKUP($C40,Series!$A$3:$F$11,6,0)),IFERROR(VLOOKUP($F40,WP!$B$2:$C$23,2,0),VLOOKUP($C40,Series!$A$3:$F$11,6,0))&amp;" - "&amp;(IFERROR(IF(FIND("_",$B40)&gt;0,MID($B40,FIND("_",$B40)+1,LEN($B40)),IF(FIND("-",$B40)&gt;0,MID($B40,FIND("-",$B40)+1,LEN($B40)))),""))),""))&lt;64,_xlfn.IFNA(IF(IFERROR(IF(FIND("_",$B40)&gt;0,MID($B40,FIND("_",$B40)+1,LEN($B40)),IF(FIND("-",$B40)&gt;0,MID($B40,FIND("-",$B40)+1,LEN($B40)))),"")="",IFERROR(VLOOKUP($F40,WP!$B$2:$C$23,2,0),VLOOKUP($C40,Series!$A$3:$F$11,6,0)),IFERROR(VLOOKUP($F40,WP!$B$2:$C$23,2,0),VLOOKUP($C40,Series!$A$3:$F$11,6,0))&amp;" - "&amp;(IFERROR(IF(FIND("_",$B40)&gt;0,MID($B40,FIND("_",$B40)+1,LEN($B40)),IF(FIND("-",$B40)&gt;0,MID($B40,FIND("-",$B40)+1,LEN($B40)))),""))),""),LEFT((_xlfn.IFNA(IF(IFERROR(IF(FIND("_",$B40)&gt;0,MID($B40,FIND("_",$B40)+1,LEN($B40)),IF(FIND("-",$B40)&gt;0,MID($B40,FIND("-",$B40)+1,LEN($B40)))),"")="",IFERROR(VLOOKUP($F40,WP!$B$2:$C$23,2,0),VLOOKUP($C40,Series!$A$3:$F$11,6,0)),IFERROR(VLOOKUP($F40,WP!$B$2:$C$23,2,0),VLOOKUP($C40,Series!$A$3:$F$11,6,0))&amp;" - "&amp;(IFERROR(IF(FIND("_",$B40)&gt;0,MID($B40,FIND("_",$B40)+1,LEN($B40)),IF(FIND("-",$B40)&gt;0,MID($B40,FIND("-",$B40)+1,LEN($B40)))),""))),"")),64))</f>
        <v/>
      </c>
      <c r="H40" s="12"/>
      <c r="I40" s="12" t="str">
        <f>IF($D40&lt;&gt;"",COUNTIF($D$7:$D40,"="&amp;$D40),"")</f>
        <v/>
      </c>
      <c r="J40"/>
      <c r="K40" s="8"/>
      <c r="L40"/>
    </row>
    <row r="41" spans="1:12" x14ac:dyDescent="0.3">
      <c r="A41" s="1"/>
      <c r="B41" s="26"/>
      <c r="C41" s="12" t="str">
        <f>_xlfn.IFNA(IFERROR(IF(FIND("_",$B41)&gt;0,INDEX(WP!$A$2:$F$23,MATCH(LEFT($B41,FIND("_",$B41)-1),WP!$E$2:$E$23,0),1),IF(FIND("-",$B41)&gt;0,INDEX(WP!$A$2:$F$23,MATCH(LEFT($B41,FIND("_",$B41)-1),WP!$E$2:$E$23,0),1))),INDEX(WP!$A$2:$F$23,MATCH(Results!$B41,WP!$E$2:$E$23,0),1)),"")</f>
        <v/>
      </c>
      <c r="D41" s="12" t="str">
        <f>IFERROR(IFERROR(IF(RIGHT(INDEX(WP!$A$2:$F$23,MATCH(IF(FIND("_",$B41)&gt;0,LEFT($B41,FIND("_",$B41)-1)),WP!$E$2:$E$23,0),2),6)="Series",LEFT(INDEX(WP!$A$2:$F$23,MATCH(IF(FIND("_",$B41)&gt;0,LEFT($B41,FIND("_",$B41)-1)),WP!$E$2:$E$23,0),2),5),""),IF(RIGHT(INDEX(WP!$A$2:$F$23,MATCH($B41,WP!$E$2:$E$23,0),2),6)="Series",LEFT(INDEX(WP!$A$2:$F$23,MATCH($B41,WP!$E$2:$E$23,0),2),5),"")),"")</f>
        <v/>
      </c>
      <c r="E41" s="17" t="str">
        <f>IFERROR(VLOOKUP(VALUE($D41),Series!$B$3:$F$11,2,0),"")</f>
        <v/>
      </c>
      <c r="F41" s="12" t="str">
        <f>_xlfn.IFNA(IF(IF($D41&lt;&gt;"",COUNTIF($E:$E,"="&amp;$D41),"")="",IF(RIGHT(IFERROR(IF(FIND("_",$B41)&gt;0,INDEX(WP!$A$2:$F$23,MATCH(LEFT($B41,FIND("_",$B41)-1),WP!$E$2:$E$23,0),2),IF(FIND("-",$B41)&gt;0,INDEX(WP!$A$2:$F$23,MATCH(LEFT($B41,FIND("_",$B41)-1),WP!$E$2:$E$23,0),2))),INDEX(WP!$A$2:$F$23,MATCH(Results!$B41,WP!$E$2:$E$23,0),2)),6)="Series",LEFT(IFERROR(IF(FIND("_",$B41)&gt;0,INDEX(WP!$A$2:$F$23,MATCH(LEFT($B41,FIND("_",$B41)-1),WP!$E$2:$E$23,0),2),IF(FIND("-",$B41)&gt;0,INDEX(WP!$A$2:$F$23,MATCH(LEFT($B41,FIND("_",$B41)-1),WP!$E$2:$E$23,0),2))),INDEX(WP!$A$2:$F$23,MATCH(Results!$B41,WP!$E$2:$E$23,0),2)),5),(IFERROR(IF(FIND("_",$B41)&gt;0,INDEX(WP!$A$2:$F$23,MATCH(LEFT($B41,FIND("_",$B41)-1),WP!$E$2:$E$23,0),2),IF(FIND("-",$B41)&gt;0,INDEX(WP!$A$2:$F$23,MATCH(LEFT($B41,FIND("_",$B41)-1),WP!$E$2:$E$23,0),2))),INDEX(WP!$A$2:$F$23,MATCH(Results!$B41,WP!$E$2:$E$23,0),2)))),IF(RIGHT(IFERROR(IF(FIND("_",$B41)&gt;0,INDEX(WP!$A$2:$F$23,MATCH(LEFT($B41,FIND("_",$B41)-1),WP!$E$2:$E$23,0),2),IF(FIND("-",$B41)&gt;0,INDEX(WP!$A$2:$F$23,MATCH(LEFT($B41,FIND("_",$B41)-1),WP!$E$2:$E$23,0),2))),INDEX(WP!$A$2:$F$23,MATCH(Results!$B41,WP!$E$2:$E$23,0),2)),6)="Series",LEFT(IFERROR(IF(FIND("_",$B41)&gt;0,INDEX(WP!$A$2:$F$23,MATCH(LEFT($B41,FIND("_",$B41)-1),WP!$E$2:$E$23,0),2),IF(FIND("-",$B41)&gt;0,INDEX(WP!$A$2:$F$23,MATCH(LEFT($B41,FIND("_",$B41)-1),WP!$E$2:$E$23,0),2))),INDEX(WP!$A$2:$F$23,MATCH(Results!$B41,WP!$E$2:$E$23,0),2)),5),(IFERROR(IF(FIND("_",$B41)&gt;0,INDEX(WP!$A$2:$F$23,MATCH(LEFT($B41,FIND("_",$B41)-1),WP!$E$2:$E$23,0),2),IF(FIND("-",$B41)&gt;0,INDEX(WP!$A$2:$F$23,MATCH(LEFT($B41,FIND("_",$B41)-1),WP!$E$2:$E$23,0),2))),INDEX(WP!$A$2:$F$23,MATCH(Results!$B41,WP!$E$2:$E$23,0),2))))&amp;"-"&amp;$I41),"")</f>
        <v/>
      </c>
      <c r="G41" s="17" t="str">
        <f>IF(LEN(_xlfn.IFNA(IF(IFERROR(IF(FIND("_",$B41)&gt;0,MID($B41,FIND("_",$B41)+1,LEN($B41)),IF(FIND("-",$B41)&gt;0,MID($B41,FIND("-",$B41)+1,LEN($B41)))),"")="",IFERROR(VLOOKUP($F41,WP!$B$2:$C$23,2,0),VLOOKUP($C41,Series!$A$3:$F$11,6,0)),IFERROR(VLOOKUP($F41,WP!$B$2:$C$23,2,0),VLOOKUP($C41,Series!$A$3:$F$11,6,0))&amp;" - "&amp;(IFERROR(IF(FIND("_",$B41)&gt;0,MID($B41,FIND("_",$B41)+1,LEN($B41)),IF(FIND("-",$B41)&gt;0,MID($B41,FIND("-",$B41)+1,LEN($B41)))),""))),""))&lt;64,_xlfn.IFNA(IF(IFERROR(IF(FIND("_",$B41)&gt;0,MID($B41,FIND("_",$B41)+1,LEN($B41)),IF(FIND("-",$B41)&gt;0,MID($B41,FIND("-",$B41)+1,LEN($B41)))),"")="",IFERROR(VLOOKUP($F41,WP!$B$2:$C$23,2,0),VLOOKUP($C41,Series!$A$3:$F$11,6,0)),IFERROR(VLOOKUP($F41,WP!$B$2:$C$23,2,0),VLOOKUP($C41,Series!$A$3:$F$11,6,0))&amp;" - "&amp;(IFERROR(IF(FIND("_",$B41)&gt;0,MID($B41,FIND("_",$B41)+1,LEN($B41)),IF(FIND("-",$B41)&gt;0,MID($B41,FIND("-",$B41)+1,LEN($B41)))),""))),""),LEFT((_xlfn.IFNA(IF(IFERROR(IF(FIND("_",$B41)&gt;0,MID($B41,FIND("_",$B41)+1,LEN($B41)),IF(FIND("-",$B41)&gt;0,MID($B41,FIND("-",$B41)+1,LEN($B41)))),"")="",IFERROR(VLOOKUP($F41,WP!$B$2:$C$23,2,0),VLOOKUP($C41,Series!$A$3:$F$11,6,0)),IFERROR(VLOOKUP($F41,WP!$B$2:$C$23,2,0),VLOOKUP($C41,Series!$A$3:$F$11,6,0))&amp;" - "&amp;(IFERROR(IF(FIND("_",$B41)&gt;0,MID($B41,FIND("_",$B41)+1,LEN($B41)),IF(FIND("-",$B41)&gt;0,MID($B41,FIND("-",$B41)+1,LEN($B41)))),""))),"")),64))</f>
        <v/>
      </c>
      <c r="H41" s="12"/>
      <c r="I41" s="12" t="str">
        <f>IF($D41&lt;&gt;"",COUNTIF($D$7:$D41,"="&amp;$D41),"")</f>
        <v/>
      </c>
      <c r="J41"/>
      <c r="K41" s="8"/>
      <c r="L41"/>
    </row>
    <row r="42" spans="1:12" x14ac:dyDescent="0.3">
      <c r="A42" s="1"/>
      <c r="B42" s="26"/>
      <c r="C42" s="12" t="str">
        <f>_xlfn.IFNA(IFERROR(IF(FIND("_",$B42)&gt;0,INDEX(WP!$A$2:$F$23,MATCH(LEFT($B42,FIND("_",$B42)-1),WP!$E$2:$E$23,0),1),IF(FIND("-",$B42)&gt;0,INDEX(WP!$A$2:$F$23,MATCH(LEFT($B42,FIND("_",$B42)-1),WP!$E$2:$E$23,0),1))),INDEX(WP!$A$2:$F$23,MATCH(Results!$B42,WP!$E$2:$E$23,0),1)),"")</f>
        <v/>
      </c>
      <c r="D42" s="12" t="str">
        <f>IFERROR(IFERROR(IF(RIGHT(INDEX(WP!$A$2:$F$23,MATCH(IF(FIND("_",$B42)&gt;0,LEFT($B42,FIND("_",$B42)-1)),WP!$E$2:$E$23,0),2),6)="Series",LEFT(INDEX(WP!$A$2:$F$23,MATCH(IF(FIND("_",$B42)&gt;0,LEFT($B42,FIND("_",$B42)-1)),WP!$E$2:$E$23,0),2),5),""),IF(RIGHT(INDEX(WP!$A$2:$F$23,MATCH($B42,WP!$E$2:$E$23,0),2),6)="Series",LEFT(INDEX(WP!$A$2:$F$23,MATCH($B42,WP!$E$2:$E$23,0),2),5),"")),"")</f>
        <v/>
      </c>
      <c r="E42" s="17" t="str">
        <f>IFERROR(VLOOKUP(VALUE($D42),Series!$B$3:$F$11,2,0),"")</f>
        <v/>
      </c>
      <c r="F42" s="12" t="str">
        <f>_xlfn.IFNA(IF(IF($D42&lt;&gt;"",COUNTIF($E:$E,"="&amp;$D42),"")="",IF(RIGHT(IFERROR(IF(FIND("_",$B42)&gt;0,INDEX(WP!$A$2:$F$23,MATCH(LEFT($B42,FIND("_",$B42)-1),WP!$E$2:$E$23,0),2),IF(FIND("-",$B42)&gt;0,INDEX(WP!$A$2:$F$23,MATCH(LEFT($B42,FIND("_",$B42)-1),WP!$E$2:$E$23,0),2))),INDEX(WP!$A$2:$F$23,MATCH(Results!$B42,WP!$E$2:$E$23,0),2)),6)="Series",LEFT(IFERROR(IF(FIND("_",$B42)&gt;0,INDEX(WP!$A$2:$F$23,MATCH(LEFT($B42,FIND("_",$B42)-1),WP!$E$2:$E$23,0),2),IF(FIND("-",$B42)&gt;0,INDEX(WP!$A$2:$F$23,MATCH(LEFT($B42,FIND("_",$B42)-1),WP!$E$2:$E$23,0),2))),INDEX(WP!$A$2:$F$23,MATCH(Results!$B42,WP!$E$2:$E$23,0),2)),5),(IFERROR(IF(FIND("_",$B42)&gt;0,INDEX(WP!$A$2:$F$23,MATCH(LEFT($B42,FIND("_",$B42)-1),WP!$E$2:$E$23,0),2),IF(FIND("-",$B42)&gt;0,INDEX(WP!$A$2:$F$23,MATCH(LEFT($B42,FIND("_",$B42)-1),WP!$E$2:$E$23,0),2))),INDEX(WP!$A$2:$F$23,MATCH(Results!$B42,WP!$E$2:$E$23,0),2)))),IF(RIGHT(IFERROR(IF(FIND("_",$B42)&gt;0,INDEX(WP!$A$2:$F$23,MATCH(LEFT($B42,FIND("_",$B42)-1),WP!$E$2:$E$23,0),2),IF(FIND("-",$B42)&gt;0,INDEX(WP!$A$2:$F$23,MATCH(LEFT($B42,FIND("_",$B42)-1),WP!$E$2:$E$23,0),2))),INDEX(WP!$A$2:$F$23,MATCH(Results!$B42,WP!$E$2:$E$23,0),2)),6)="Series",LEFT(IFERROR(IF(FIND("_",$B42)&gt;0,INDEX(WP!$A$2:$F$23,MATCH(LEFT($B42,FIND("_",$B42)-1),WP!$E$2:$E$23,0),2),IF(FIND("-",$B42)&gt;0,INDEX(WP!$A$2:$F$23,MATCH(LEFT($B42,FIND("_",$B42)-1),WP!$E$2:$E$23,0),2))),INDEX(WP!$A$2:$F$23,MATCH(Results!$B42,WP!$E$2:$E$23,0),2)),5),(IFERROR(IF(FIND("_",$B42)&gt;0,INDEX(WP!$A$2:$F$23,MATCH(LEFT($B42,FIND("_",$B42)-1),WP!$E$2:$E$23,0),2),IF(FIND("-",$B42)&gt;0,INDEX(WP!$A$2:$F$23,MATCH(LEFT($B42,FIND("_",$B42)-1),WP!$E$2:$E$23,0),2))),INDEX(WP!$A$2:$F$23,MATCH(Results!$B42,WP!$E$2:$E$23,0),2))))&amp;"-"&amp;$I42),"")</f>
        <v/>
      </c>
      <c r="G42" s="17" t="str">
        <f>IF(LEN(_xlfn.IFNA(IF(IFERROR(IF(FIND("_",$B42)&gt;0,MID($B42,FIND("_",$B42)+1,LEN($B42)),IF(FIND("-",$B42)&gt;0,MID($B42,FIND("-",$B42)+1,LEN($B42)))),"")="",IFERROR(VLOOKUP($F42,WP!$B$2:$C$23,2,0),VLOOKUP($C42,Series!$A$3:$F$11,6,0)),IFERROR(VLOOKUP($F42,WP!$B$2:$C$23,2,0),VLOOKUP($C42,Series!$A$3:$F$11,6,0))&amp;" - "&amp;(IFERROR(IF(FIND("_",$B42)&gt;0,MID($B42,FIND("_",$B42)+1,LEN($B42)),IF(FIND("-",$B42)&gt;0,MID($B42,FIND("-",$B42)+1,LEN($B42)))),""))),""))&lt;64,_xlfn.IFNA(IF(IFERROR(IF(FIND("_",$B42)&gt;0,MID($B42,FIND("_",$B42)+1,LEN($B42)),IF(FIND("-",$B42)&gt;0,MID($B42,FIND("-",$B42)+1,LEN($B42)))),"")="",IFERROR(VLOOKUP($F42,WP!$B$2:$C$23,2,0),VLOOKUP($C42,Series!$A$3:$F$11,6,0)),IFERROR(VLOOKUP($F42,WP!$B$2:$C$23,2,0),VLOOKUP($C42,Series!$A$3:$F$11,6,0))&amp;" - "&amp;(IFERROR(IF(FIND("_",$B42)&gt;0,MID($B42,FIND("_",$B42)+1,LEN($B42)),IF(FIND("-",$B42)&gt;0,MID($B42,FIND("-",$B42)+1,LEN($B42)))),""))),""),LEFT((_xlfn.IFNA(IF(IFERROR(IF(FIND("_",$B42)&gt;0,MID($B42,FIND("_",$B42)+1,LEN($B42)),IF(FIND("-",$B42)&gt;0,MID($B42,FIND("-",$B42)+1,LEN($B42)))),"")="",IFERROR(VLOOKUP($F42,WP!$B$2:$C$23,2,0),VLOOKUP($C42,Series!$A$3:$F$11,6,0)),IFERROR(VLOOKUP($F42,WP!$B$2:$C$23,2,0),VLOOKUP($C42,Series!$A$3:$F$11,6,0))&amp;" - "&amp;(IFERROR(IF(FIND("_",$B42)&gt;0,MID($B42,FIND("_",$B42)+1,LEN($B42)),IF(FIND("-",$B42)&gt;0,MID($B42,FIND("-",$B42)+1,LEN($B42)))),""))),"")),64))</f>
        <v/>
      </c>
      <c r="H42" s="12"/>
      <c r="I42" s="12" t="str">
        <f>IF($D42&lt;&gt;"",COUNTIF($D$7:$D42,"="&amp;$D42),"")</f>
        <v/>
      </c>
      <c r="J42"/>
      <c r="K42" s="8"/>
      <c r="L42"/>
    </row>
    <row r="43" spans="1:12" x14ac:dyDescent="0.3">
      <c r="A43" s="1"/>
      <c r="B43" s="26"/>
      <c r="C43" s="12" t="str">
        <f>_xlfn.IFNA(IFERROR(IF(FIND("_",$B43)&gt;0,INDEX(WP!$A$2:$F$23,MATCH(LEFT($B43,FIND("_",$B43)-1),WP!$E$2:$E$23,0),1),IF(FIND("-",$B43)&gt;0,INDEX(WP!$A$2:$F$23,MATCH(LEFT($B43,FIND("_",$B43)-1),WP!$E$2:$E$23,0),1))),INDEX(WP!$A$2:$F$23,MATCH(Results!$B43,WP!$E$2:$E$23,0),1)),"")</f>
        <v/>
      </c>
      <c r="D43" s="12" t="str">
        <f>IFERROR(IFERROR(IF(RIGHT(INDEX(WP!$A$2:$F$23,MATCH(IF(FIND("_",$B43)&gt;0,LEFT($B43,FIND("_",$B43)-1)),WP!$E$2:$E$23,0),2),6)="Series",LEFT(INDEX(WP!$A$2:$F$23,MATCH(IF(FIND("_",$B43)&gt;0,LEFT($B43,FIND("_",$B43)-1)),WP!$E$2:$E$23,0),2),5),""),IF(RIGHT(INDEX(WP!$A$2:$F$23,MATCH($B43,WP!$E$2:$E$23,0),2),6)="Series",LEFT(INDEX(WP!$A$2:$F$23,MATCH($B43,WP!$E$2:$E$23,0),2),5),"")),"")</f>
        <v/>
      </c>
      <c r="E43" s="17" t="str">
        <f>IFERROR(VLOOKUP(VALUE($D43),Series!$B$3:$F$11,2,0),"")</f>
        <v/>
      </c>
      <c r="F43" s="12" t="str">
        <f>_xlfn.IFNA(IF(IF($D43&lt;&gt;"",COUNTIF($E:$E,"="&amp;$D43),"")="",IF(RIGHT(IFERROR(IF(FIND("_",$B43)&gt;0,INDEX(WP!$A$2:$F$23,MATCH(LEFT($B43,FIND("_",$B43)-1),WP!$E$2:$E$23,0),2),IF(FIND("-",$B43)&gt;0,INDEX(WP!$A$2:$F$23,MATCH(LEFT($B43,FIND("_",$B43)-1),WP!$E$2:$E$23,0),2))),INDEX(WP!$A$2:$F$23,MATCH(Results!$B43,WP!$E$2:$E$23,0),2)),6)="Series",LEFT(IFERROR(IF(FIND("_",$B43)&gt;0,INDEX(WP!$A$2:$F$23,MATCH(LEFT($B43,FIND("_",$B43)-1),WP!$E$2:$E$23,0),2),IF(FIND("-",$B43)&gt;0,INDEX(WP!$A$2:$F$23,MATCH(LEFT($B43,FIND("_",$B43)-1),WP!$E$2:$E$23,0),2))),INDEX(WP!$A$2:$F$23,MATCH(Results!$B43,WP!$E$2:$E$23,0),2)),5),(IFERROR(IF(FIND("_",$B43)&gt;0,INDEX(WP!$A$2:$F$23,MATCH(LEFT($B43,FIND("_",$B43)-1),WP!$E$2:$E$23,0),2),IF(FIND("-",$B43)&gt;0,INDEX(WP!$A$2:$F$23,MATCH(LEFT($B43,FIND("_",$B43)-1),WP!$E$2:$E$23,0),2))),INDEX(WP!$A$2:$F$23,MATCH(Results!$B43,WP!$E$2:$E$23,0),2)))),IF(RIGHT(IFERROR(IF(FIND("_",$B43)&gt;0,INDEX(WP!$A$2:$F$23,MATCH(LEFT($B43,FIND("_",$B43)-1),WP!$E$2:$E$23,0),2),IF(FIND("-",$B43)&gt;0,INDEX(WP!$A$2:$F$23,MATCH(LEFT($B43,FIND("_",$B43)-1),WP!$E$2:$E$23,0),2))),INDEX(WP!$A$2:$F$23,MATCH(Results!$B43,WP!$E$2:$E$23,0),2)),6)="Series",LEFT(IFERROR(IF(FIND("_",$B43)&gt;0,INDEX(WP!$A$2:$F$23,MATCH(LEFT($B43,FIND("_",$B43)-1),WP!$E$2:$E$23,0),2),IF(FIND("-",$B43)&gt;0,INDEX(WP!$A$2:$F$23,MATCH(LEFT($B43,FIND("_",$B43)-1),WP!$E$2:$E$23,0),2))),INDEX(WP!$A$2:$F$23,MATCH(Results!$B43,WP!$E$2:$E$23,0),2)),5),(IFERROR(IF(FIND("_",$B43)&gt;0,INDEX(WP!$A$2:$F$23,MATCH(LEFT($B43,FIND("_",$B43)-1),WP!$E$2:$E$23,0),2),IF(FIND("-",$B43)&gt;0,INDEX(WP!$A$2:$F$23,MATCH(LEFT($B43,FIND("_",$B43)-1),WP!$E$2:$E$23,0),2))),INDEX(WP!$A$2:$F$23,MATCH(Results!$B43,WP!$E$2:$E$23,0),2))))&amp;"-"&amp;$I43),"")</f>
        <v/>
      </c>
      <c r="G43" s="17" t="str">
        <f>IF(LEN(_xlfn.IFNA(IF(IFERROR(IF(FIND("_",$B43)&gt;0,MID($B43,FIND("_",$B43)+1,LEN($B43)),IF(FIND("-",$B43)&gt;0,MID($B43,FIND("-",$B43)+1,LEN($B43)))),"")="",IFERROR(VLOOKUP($F43,WP!$B$2:$C$23,2,0),VLOOKUP($C43,Series!$A$3:$F$11,6,0)),IFERROR(VLOOKUP($F43,WP!$B$2:$C$23,2,0),VLOOKUP($C43,Series!$A$3:$F$11,6,0))&amp;" - "&amp;(IFERROR(IF(FIND("_",$B43)&gt;0,MID($B43,FIND("_",$B43)+1,LEN($B43)),IF(FIND("-",$B43)&gt;0,MID($B43,FIND("-",$B43)+1,LEN($B43)))),""))),""))&lt;64,_xlfn.IFNA(IF(IFERROR(IF(FIND("_",$B43)&gt;0,MID($B43,FIND("_",$B43)+1,LEN($B43)),IF(FIND("-",$B43)&gt;0,MID($B43,FIND("-",$B43)+1,LEN($B43)))),"")="",IFERROR(VLOOKUP($F43,WP!$B$2:$C$23,2,0),VLOOKUP($C43,Series!$A$3:$F$11,6,0)),IFERROR(VLOOKUP($F43,WP!$B$2:$C$23,2,0),VLOOKUP($C43,Series!$A$3:$F$11,6,0))&amp;" - "&amp;(IFERROR(IF(FIND("_",$B43)&gt;0,MID($B43,FIND("_",$B43)+1,LEN($B43)),IF(FIND("-",$B43)&gt;0,MID($B43,FIND("-",$B43)+1,LEN($B43)))),""))),""),LEFT((_xlfn.IFNA(IF(IFERROR(IF(FIND("_",$B43)&gt;0,MID($B43,FIND("_",$B43)+1,LEN($B43)),IF(FIND("-",$B43)&gt;0,MID($B43,FIND("-",$B43)+1,LEN($B43)))),"")="",IFERROR(VLOOKUP($F43,WP!$B$2:$C$23,2,0),VLOOKUP($C43,Series!$A$3:$F$11,6,0)),IFERROR(VLOOKUP($F43,WP!$B$2:$C$23,2,0),VLOOKUP($C43,Series!$A$3:$F$11,6,0))&amp;" - "&amp;(IFERROR(IF(FIND("_",$B43)&gt;0,MID($B43,FIND("_",$B43)+1,LEN($B43)),IF(FIND("-",$B43)&gt;0,MID($B43,FIND("-",$B43)+1,LEN($B43)))),""))),"")),64))</f>
        <v/>
      </c>
      <c r="H43" s="12"/>
      <c r="I43" s="12" t="str">
        <f>IF($D43&lt;&gt;"",COUNTIF($D$7:$D43,"="&amp;$D43),"")</f>
        <v/>
      </c>
      <c r="J43"/>
      <c r="K43" s="8"/>
      <c r="L43"/>
    </row>
    <row r="44" spans="1:12" x14ac:dyDescent="0.3">
      <c r="A44" s="1"/>
      <c r="B44" s="26"/>
      <c r="C44" s="12" t="str">
        <f>_xlfn.IFNA(IFERROR(IF(FIND("_",$B44)&gt;0,INDEX(WP!$A$2:$F$23,MATCH(LEFT($B44,FIND("_",$B44)-1),WP!$E$2:$E$23,0),1),IF(FIND("-",$B44)&gt;0,INDEX(WP!$A$2:$F$23,MATCH(LEFT($B44,FIND("_",$B44)-1),WP!$E$2:$E$23,0),1))),INDEX(WP!$A$2:$F$23,MATCH(Results!$B44,WP!$E$2:$E$23,0),1)),"")</f>
        <v/>
      </c>
      <c r="D44" s="12" t="str">
        <f>IFERROR(IFERROR(IF(RIGHT(INDEX(WP!$A$2:$F$23,MATCH(IF(FIND("_",$B44)&gt;0,LEFT($B44,FIND("_",$B44)-1)),WP!$E$2:$E$23,0),2),6)="Series",LEFT(INDEX(WP!$A$2:$F$23,MATCH(IF(FIND("_",$B44)&gt;0,LEFT($B44,FIND("_",$B44)-1)),WP!$E$2:$E$23,0),2),5),""),IF(RIGHT(INDEX(WP!$A$2:$F$23,MATCH($B44,WP!$E$2:$E$23,0),2),6)="Series",LEFT(INDEX(WP!$A$2:$F$23,MATCH($B44,WP!$E$2:$E$23,0),2),5),"")),"")</f>
        <v/>
      </c>
      <c r="E44" s="17" t="str">
        <f>IFERROR(VLOOKUP(VALUE($D44),Series!$B$3:$F$11,2,0),"")</f>
        <v/>
      </c>
      <c r="F44" s="12" t="str">
        <f>_xlfn.IFNA(IF(IF($D44&lt;&gt;"",COUNTIF($E:$E,"="&amp;$D44),"")="",IF(RIGHT(IFERROR(IF(FIND("_",$B44)&gt;0,INDEX(WP!$A$2:$F$23,MATCH(LEFT($B44,FIND("_",$B44)-1),WP!$E$2:$E$23,0),2),IF(FIND("-",$B44)&gt;0,INDEX(WP!$A$2:$F$23,MATCH(LEFT($B44,FIND("_",$B44)-1),WP!$E$2:$E$23,0),2))),INDEX(WP!$A$2:$F$23,MATCH(Results!$B44,WP!$E$2:$E$23,0),2)),6)="Series",LEFT(IFERROR(IF(FIND("_",$B44)&gt;0,INDEX(WP!$A$2:$F$23,MATCH(LEFT($B44,FIND("_",$B44)-1),WP!$E$2:$E$23,0),2),IF(FIND("-",$B44)&gt;0,INDEX(WP!$A$2:$F$23,MATCH(LEFT($B44,FIND("_",$B44)-1),WP!$E$2:$E$23,0),2))),INDEX(WP!$A$2:$F$23,MATCH(Results!$B44,WP!$E$2:$E$23,0),2)),5),(IFERROR(IF(FIND("_",$B44)&gt;0,INDEX(WP!$A$2:$F$23,MATCH(LEFT($B44,FIND("_",$B44)-1),WP!$E$2:$E$23,0),2),IF(FIND("-",$B44)&gt;0,INDEX(WP!$A$2:$F$23,MATCH(LEFT($B44,FIND("_",$B44)-1),WP!$E$2:$E$23,0),2))),INDEX(WP!$A$2:$F$23,MATCH(Results!$B44,WP!$E$2:$E$23,0),2)))),IF(RIGHT(IFERROR(IF(FIND("_",$B44)&gt;0,INDEX(WP!$A$2:$F$23,MATCH(LEFT($B44,FIND("_",$B44)-1),WP!$E$2:$E$23,0),2),IF(FIND("-",$B44)&gt;0,INDEX(WP!$A$2:$F$23,MATCH(LEFT($B44,FIND("_",$B44)-1),WP!$E$2:$E$23,0),2))),INDEX(WP!$A$2:$F$23,MATCH(Results!$B44,WP!$E$2:$E$23,0),2)),6)="Series",LEFT(IFERROR(IF(FIND("_",$B44)&gt;0,INDEX(WP!$A$2:$F$23,MATCH(LEFT($B44,FIND("_",$B44)-1),WP!$E$2:$E$23,0),2),IF(FIND("-",$B44)&gt;0,INDEX(WP!$A$2:$F$23,MATCH(LEFT($B44,FIND("_",$B44)-1),WP!$E$2:$E$23,0),2))),INDEX(WP!$A$2:$F$23,MATCH(Results!$B44,WP!$E$2:$E$23,0),2)),5),(IFERROR(IF(FIND("_",$B44)&gt;0,INDEX(WP!$A$2:$F$23,MATCH(LEFT($B44,FIND("_",$B44)-1),WP!$E$2:$E$23,0),2),IF(FIND("-",$B44)&gt;0,INDEX(WP!$A$2:$F$23,MATCH(LEFT($B44,FIND("_",$B44)-1),WP!$E$2:$E$23,0),2))),INDEX(WP!$A$2:$F$23,MATCH(Results!$B44,WP!$E$2:$E$23,0),2))))&amp;"-"&amp;$I44),"")</f>
        <v/>
      </c>
      <c r="G44" s="17" t="str">
        <f>IF(LEN(_xlfn.IFNA(IF(IFERROR(IF(FIND("_",$B44)&gt;0,MID($B44,FIND("_",$B44)+1,LEN($B44)),IF(FIND("-",$B44)&gt;0,MID($B44,FIND("-",$B44)+1,LEN($B44)))),"")="",IFERROR(VLOOKUP($F44,WP!$B$2:$C$23,2,0),VLOOKUP($C44,Series!$A$3:$F$11,6,0)),IFERROR(VLOOKUP($F44,WP!$B$2:$C$23,2,0),VLOOKUP($C44,Series!$A$3:$F$11,6,0))&amp;" - "&amp;(IFERROR(IF(FIND("_",$B44)&gt;0,MID($B44,FIND("_",$B44)+1,LEN($B44)),IF(FIND("-",$B44)&gt;0,MID($B44,FIND("-",$B44)+1,LEN($B44)))),""))),""))&lt;64,_xlfn.IFNA(IF(IFERROR(IF(FIND("_",$B44)&gt;0,MID($B44,FIND("_",$B44)+1,LEN($B44)),IF(FIND("-",$B44)&gt;0,MID($B44,FIND("-",$B44)+1,LEN($B44)))),"")="",IFERROR(VLOOKUP($F44,WP!$B$2:$C$23,2,0),VLOOKUP($C44,Series!$A$3:$F$11,6,0)),IFERROR(VLOOKUP($F44,WP!$B$2:$C$23,2,0),VLOOKUP($C44,Series!$A$3:$F$11,6,0))&amp;" - "&amp;(IFERROR(IF(FIND("_",$B44)&gt;0,MID($B44,FIND("_",$B44)+1,LEN($B44)),IF(FIND("-",$B44)&gt;0,MID($B44,FIND("-",$B44)+1,LEN($B44)))),""))),""),LEFT((_xlfn.IFNA(IF(IFERROR(IF(FIND("_",$B44)&gt;0,MID($B44,FIND("_",$B44)+1,LEN($B44)),IF(FIND("-",$B44)&gt;0,MID($B44,FIND("-",$B44)+1,LEN($B44)))),"")="",IFERROR(VLOOKUP($F44,WP!$B$2:$C$23,2,0),VLOOKUP($C44,Series!$A$3:$F$11,6,0)),IFERROR(VLOOKUP($F44,WP!$B$2:$C$23,2,0),VLOOKUP($C44,Series!$A$3:$F$11,6,0))&amp;" - "&amp;(IFERROR(IF(FIND("_",$B44)&gt;0,MID($B44,FIND("_",$B44)+1,LEN($B44)),IF(FIND("-",$B44)&gt;0,MID($B44,FIND("-",$B44)+1,LEN($B44)))),""))),"")),64))</f>
        <v/>
      </c>
      <c r="H44" s="12"/>
      <c r="I44" s="12" t="str">
        <f>IF($D44&lt;&gt;"",COUNTIF($D$7:$D44,"="&amp;$D44),"")</f>
        <v/>
      </c>
      <c r="J44"/>
      <c r="K44" s="8"/>
      <c r="L44"/>
    </row>
    <row r="45" spans="1:12" x14ac:dyDescent="0.3">
      <c r="A45" s="1"/>
      <c r="B45" s="26"/>
      <c r="C45" s="12" t="str">
        <f>_xlfn.IFNA(IFERROR(IF(FIND("_",$B45)&gt;0,INDEX(WP!$A$2:$F$23,MATCH(LEFT($B45,FIND("_",$B45)-1),WP!$E$2:$E$23,0),1),IF(FIND("-",$B45)&gt;0,INDEX(WP!$A$2:$F$23,MATCH(LEFT($B45,FIND("_",$B45)-1),WP!$E$2:$E$23,0),1))),INDEX(WP!$A$2:$F$23,MATCH(Results!$B45,WP!$E$2:$E$23,0),1)),"")</f>
        <v/>
      </c>
      <c r="D45" s="12" t="str">
        <f>IFERROR(IFERROR(IF(RIGHT(INDEX(WP!$A$2:$F$23,MATCH(IF(FIND("_",$B45)&gt;0,LEFT($B45,FIND("_",$B45)-1)),WP!$E$2:$E$23,0),2),6)="Series",LEFT(INDEX(WP!$A$2:$F$23,MATCH(IF(FIND("_",$B45)&gt;0,LEFT($B45,FIND("_",$B45)-1)),WP!$E$2:$E$23,0),2),5),""),IF(RIGHT(INDEX(WP!$A$2:$F$23,MATCH($B45,WP!$E$2:$E$23,0),2),6)="Series",LEFT(INDEX(WP!$A$2:$F$23,MATCH($B45,WP!$E$2:$E$23,0),2),5),"")),"")</f>
        <v/>
      </c>
      <c r="E45" s="17" t="str">
        <f>IFERROR(VLOOKUP(VALUE($D45),Series!$B$3:$F$11,2,0),"")</f>
        <v/>
      </c>
      <c r="F45" s="12" t="str">
        <f>_xlfn.IFNA(IF(IF($D45&lt;&gt;"",COUNTIF($E:$E,"="&amp;$D45),"")="",IF(RIGHT(IFERROR(IF(FIND("_",$B45)&gt;0,INDEX(WP!$A$2:$F$23,MATCH(LEFT($B45,FIND("_",$B45)-1),WP!$E$2:$E$23,0),2),IF(FIND("-",$B45)&gt;0,INDEX(WP!$A$2:$F$23,MATCH(LEFT($B45,FIND("_",$B45)-1),WP!$E$2:$E$23,0),2))),INDEX(WP!$A$2:$F$23,MATCH(Results!$B45,WP!$E$2:$E$23,0),2)),6)="Series",LEFT(IFERROR(IF(FIND("_",$B45)&gt;0,INDEX(WP!$A$2:$F$23,MATCH(LEFT($B45,FIND("_",$B45)-1),WP!$E$2:$E$23,0),2),IF(FIND("-",$B45)&gt;0,INDEX(WP!$A$2:$F$23,MATCH(LEFT($B45,FIND("_",$B45)-1),WP!$E$2:$E$23,0),2))),INDEX(WP!$A$2:$F$23,MATCH(Results!$B45,WP!$E$2:$E$23,0),2)),5),(IFERROR(IF(FIND("_",$B45)&gt;0,INDEX(WP!$A$2:$F$23,MATCH(LEFT($B45,FIND("_",$B45)-1),WP!$E$2:$E$23,0),2),IF(FIND("-",$B45)&gt;0,INDEX(WP!$A$2:$F$23,MATCH(LEFT($B45,FIND("_",$B45)-1),WP!$E$2:$E$23,0),2))),INDEX(WP!$A$2:$F$23,MATCH(Results!$B45,WP!$E$2:$E$23,0),2)))),IF(RIGHT(IFERROR(IF(FIND("_",$B45)&gt;0,INDEX(WP!$A$2:$F$23,MATCH(LEFT($B45,FIND("_",$B45)-1),WP!$E$2:$E$23,0),2),IF(FIND("-",$B45)&gt;0,INDEX(WP!$A$2:$F$23,MATCH(LEFT($B45,FIND("_",$B45)-1),WP!$E$2:$E$23,0),2))),INDEX(WP!$A$2:$F$23,MATCH(Results!$B45,WP!$E$2:$E$23,0),2)),6)="Series",LEFT(IFERROR(IF(FIND("_",$B45)&gt;0,INDEX(WP!$A$2:$F$23,MATCH(LEFT($B45,FIND("_",$B45)-1),WP!$E$2:$E$23,0),2),IF(FIND("-",$B45)&gt;0,INDEX(WP!$A$2:$F$23,MATCH(LEFT($B45,FIND("_",$B45)-1),WP!$E$2:$E$23,0),2))),INDEX(WP!$A$2:$F$23,MATCH(Results!$B45,WP!$E$2:$E$23,0),2)),5),(IFERROR(IF(FIND("_",$B45)&gt;0,INDEX(WP!$A$2:$F$23,MATCH(LEFT($B45,FIND("_",$B45)-1),WP!$E$2:$E$23,0),2),IF(FIND("-",$B45)&gt;0,INDEX(WP!$A$2:$F$23,MATCH(LEFT($B45,FIND("_",$B45)-1),WP!$E$2:$E$23,0),2))),INDEX(WP!$A$2:$F$23,MATCH(Results!$B45,WP!$E$2:$E$23,0),2))))&amp;"-"&amp;$I45),"")</f>
        <v/>
      </c>
      <c r="G45" s="17" t="str">
        <f>IF(LEN(_xlfn.IFNA(IF(IFERROR(IF(FIND("_",$B45)&gt;0,MID($B45,FIND("_",$B45)+1,LEN($B45)),IF(FIND("-",$B45)&gt;0,MID($B45,FIND("-",$B45)+1,LEN($B45)))),"")="",IFERROR(VLOOKUP($F45,WP!$B$2:$C$23,2,0),VLOOKUP($C45,Series!$A$3:$F$11,6,0)),IFERROR(VLOOKUP($F45,WP!$B$2:$C$23,2,0),VLOOKUP($C45,Series!$A$3:$F$11,6,0))&amp;" - "&amp;(IFERROR(IF(FIND("_",$B45)&gt;0,MID($B45,FIND("_",$B45)+1,LEN($B45)),IF(FIND("-",$B45)&gt;0,MID($B45,FIND("-",$B45)+1,LEN($B45)))),""))),""))&lt;64,_xlfn.IFNA(IF(IFERROR(IF(FIND("_",$B45)&gt;0,MID($B45,FIND("_",$B45)+1,LEN($B45)),IF(FIND("-",$B45)&gt;0,MID($B45,FIND("-",$B45)+1,LEN($B45)))),"")="",IFERROR(VLOOKUP($F45,WP!$B$2:$C$23,2,0),VLOOKUP($C45,Series!$A$3:$F$11,6,0)),IFERROR(VLOOKUP($F45,WP!$B$2:$C$23,2,0),VLOOKUP($C45,Series!$A$3:$F$11,6,0))&amp;" - "&amp;(IFERROR(IF(FIND("_",$B45)&gt;0,MID($B45,FIND("_",$B45)+1,LEN($B45)),IF(FIND("-",$B45)&gt;0,MID($B45,FIND("-",$B45)+1,LEN($B45)))),""))),""),LEFT((_xlfn.IFNA(IF(IFERROR(IF(FIND("_",$B45)&gt;0,MID($B45,FIND("_",$B45)+1,LEN($B45)),IF(FIND("-",$B45)&gt;0,MID($B45,FIND("-",$B45)+1,LEN($B45)))),"")="",IFERROR(VLOOKUP($F45,WP!$B$2:$C$23,2,0),VLOOKUP($C45,Series!$A$3:$F$11,6,0)),IFERROR(VLOOKUP($F45,WP!$B$2:$C$23,2,0),VLOOKUP($C45,Series!$A$3:$F$11,6,0))&amp;" - "&amp;(IFERROR(IF(FIND("_",$B45)&gt;0,MID($B45,FIND("_",$B45)+1,LEN($B45)),IF(FIND("-",$B45)&gt;0,MID($B45,FIND("-",$B45)+1,LEN($B45)))),""))),"")),64))</f>
        <v/>
      </c>
      <c r="H45" s="12"/>
      <c r="I45" s="12" t="str">
        <f>IF($D45&lt;&gt;"",COUNTIF($D$7:$D45,"="&amp;$D45),"")</f>
        <v/>
      </c>
      <c r="J45"/>
      <c r="K45" s="8"/>
      <c r="L45"/>
    </row>
    <row r="46" spans="1:12" x14ac:dyDescent="0.3">
      <c r="A46" s="1"/>
      <c r="B46" s="26"/>
      <c r="C46" s="12" t="str">
        <f>_xlfn.IFNA(IFERROR(IF(FIND("_",$B46)&gt;0,INDEX(WP!$A$2:$F$23,MATCH(LEFT($B46,FIND("_",$B46)-1),WP!$E$2:$E$23,0),1),IF(FIND("-",$B46)&gt;0,INDEX(WP!$A$2:$F$23,MATCH(LEFT($B46,FIND("_",$B46)-1),WP!$E$2:$E$23,0),1))),INDEX(WP!$A$2:$F$23,MATCH(Results!$B46,WP!$E$2:$E$23,0),1)),"")</f>
        <v/>
      </c>
      <c r="D46" s="12" t="str">
        <f>IFERROR(IFERROR(IF(RIGHT(INDEX(WP!$A$2:$F$23,MATCH(IF(FIND("_",$B46)&gt;0,LEFT($B46,FIND("_",$B46)-1)),WP!$E$2:$E$23,0),2),6)="Series",LEFT(INDEX(WP!$A$2:$F$23,MATCH(IF(FIND("_",$B46)&gt;0,LEFT($B46,FIND("_",$B46)-1)),WP!$E$2:$E$23,0),2),5),""),IF(RIGHT(INDEX(WP!$A$2:$F$23,MATCH($B46,WP!$E$2:$E$23,0),2),6)="Series",LEFT(INDEX(WP!$A$2:$F$23,MATCH($B46,WP!$E$2:$E$23,0),2),5),"")),"")</f>
        <v/>
      </c>
      <c r="E46" s="17" t="str">
        <f>IFERROR(VLOOKUP(VALUE($D46),Series!$B$3:$F$11,2,0),"")</f>
        <v/>
      </c>
      <c r="F46" s="12" t="str">
        <f>_xlfn.IFNA(IF(IF($D46&lt;&gt;"",COUNTIF($E:$E,"="&amp;$D46),"")="",IF(RIGHT(IFERROR(IF(FIND("_",$B46)&gt;0,INDEX(WP!$A$2:$F$23,MATCH(LEFT($B46,FIND("_",$B46)-1),WP!$E$2:$E$23,0),2),IF(FIND("-",$B46)&gt;0,INDEX(WP!$A$2:$F$23,MATCH(LEFT($B46,FIND("_",$B46)-1),WP!$E$2:$E$23,0),2))),INDEX(WP!$A$2:$F$23,MATCH(Results!$B46,WP!$E$2:$E$23,0),2)),6)="Series",LEFT(IFERROR(IF(FIND("_",$B46)&gt;0,INDEX(WP!$A$2:$F$23,MATCH(LEFT($B46,FIND("_",$B46)-1),WP!$E$2:$E$23,0),2),IF(FIND("-",$B46)&gt;0,INDEX(WP!$A$2:$F$23,MATCH(LEFT($B46,FIND("_",$B46)-1),WP!$E$2:$E$23,0),2))),INDEX(WP!$A$2:$F$23,MATCH(Results!$B46,WP!$E$2:$E$23,0),2)),5),(IFERROR(IF(FIND("_",$B46)&gt;0,INDEX(WP!$A$2:$F$23,MATCH(LEFT($B46,FIND("_",$B46)-1),WP!$E$2:$E$23,0),2),IF(FIND("-",$B46)&gt;0,INDEX(WP!$A$2:$F$23,MATCH(LEFT($B46,FIND("_",$B46)-1),WP!$E$2:$E$23,0),2))),INDEX(WP!$A$2:$F$23,MATCH(Results!$B46,WP!$E$2:$E$23,0),2)))),IF(RIGHT(IFERROR(IF(FIND("_",$B46)&gt;0,INDEX(WP!$A$2:$F$23,MATCH(LEFT($B46,FIND("_",$B46)-1),WP!$E$2:$E$23,0),2),IF(FIND("-",$B46)&gt;0,INDEX(WP!$A$2:$F$23,MATCH(LEFT($B46,FIND("_",$B46)-1),WP!$E$2:$E$23,0),2))),INDEX(WP!$A$2:$F$23,MATCH(Results!$B46,WP!$E$2:$E$23,0),2)),6)="Series",LEFT(IFERROR(IF(FIND("_",$B46)&gt;0,INDEX(WP!$A$2:$F$23,MATCH(LEFT($B46,FIND("_",$B46)-1),WP!$E$2:$E$23,0),2),IF(FIND("-",$B46)&gt;0,INDEX(WP!$A$2:$F$23,MATCH(LEFT($B46,FIND("_",$B46)-1),WP!$E$2:$E$23,0),2))),INDEX(WP!$A$2:$F$23,MATCH(Results!$B46,WP!$E$2:$E$23,0),2)),5),(IFERROR(IF(FIND("_",$B46)&gt;0,INDEX(WP!$A$2:$F$23,MATCH(LEFT($B46,FIND("_",$B46)-1),WP!$E$2:$E$23,0),2),IF(FIND("-",$B46)&gt;0,INDEX(WP!$A$2:$F$23,MATCH(LEFT($B46,FIND("_",$B46)-1),WP!$E$2:$E$23,0),2))),INDEX(WP!$A$2:$F$23,MATCH(Results!$B46,WP!$E$2:$E$23,0),2))))&amp;"-"&amp;$I46),"")</f>
        <v/>
      </c>
      <c r="G46" s="17" t="str">
        <f>IF(LEN(_xlfn.IFNA(IF(IFERROR(IF(FIND("_",$B46)&gt;0,MID($B46,FIND("_",$B46)+1,LEN($B46)),IF(FIND("-",$B46)&gt;0,MID($B46,FIND("-",$B46)+1,LEN($B46)))),"")="",IFERROR(VLOOKUP($F46,WP!$B$2:$C$23,2,0),VLOOKUP($C46,Series!$A$3:$F$11,6,0)),IFERROR(VLOOKUP($F46,WP!$B$2:$C$23,2,0),VLOOKUP($C46,Series!$A$3:$F$11,6,0))&amp;" - "&amp;(IFERROR(IF(FIND("_",$B46)&gt;0,MID($B46,FIND("_",$B46)+1,LEN($B46)),IF(FIND("-",$B46)&gt;0,MID($B46,FIND("-",$B46)+1,LEN($B46)))),""))),""))&lt;64,_xlfn.IFNA(IF(IFERROR(IF(FIND("_",$B46)&gt;0,MID($B46,FIND("_",$B46)+1,LEN($B46)),IF(FIND("-",$B46)&gt;0,MID($B46,FIND("-",$B46)+1,LEN($B46)))),"")="",IFERROR(VLOOKUP($F46,WP!$B$2:$C$23,2,0),VLOOKUP($C46,Series!$A$3:$F$11,6,0)),IFERROR(VLOOKUP($F46,WP!$B$2:$C$23,2,0),VLOOKUP($C46,Series!$A$3:$F$11,6,0))&amp;" - "&amp;(IFERROR(IF(FIND("_",$B46)&gt;0,MID($B46,FIND("_",$B46)+1,LEN($B46)),IF(FIND("-",$B46)&gt;0,MID($B46,FIND("-",$B46)+1,LEN($B46)))),""))),""),LEFT((_xlfn.IFNA(IF(IFERROR(IF(FIND("_",$B46)&gt;0,MID($B46,FIND("_",$B46)+1,LEN($B46)),IF(FIND("-",$B46)&gt;0,MID($B46,FIND("-",$B46)+1,LEN($B46)))),"")="",IFERROR(VLOOKUP($F46,WP!$B$2:$C$23,2,0),VLOOKUP($C46,Series!$A$3:$F$11,6,0)),IFERROR(VLOOKUP($F46,WP!$B$2:$C$23,2,0),VLOOKUP($C46,Series!$A$3:$F$11,6,0))&amp;" - "&amp;(IFERROR(IF(FIND("_",$B46)&gt;0,MID($B46,FIND("_",$B46)+1,LEN($B46)),IF(FIND("-",$B46)&gt;0,MID($B46,FIND("-",$B46)+1,LEN($B46)))),""))),"")),64))</f>
        <v/>
      </c>
      <c r="H46" s="12"/>
      <c r="I46" s="12" t="str">
        <f>IF($D46&lt;&gt;"",COUNTIF($D$7:$D46,"="&amp;$D46),"")</f>
        <v/>
      </c>
      <c r="J46"/>
      <c r="K46" s="8"/>
      <c r="L46"/>
    </row>
    <row r="47" spans="1:12" x14ac:dyDescent="0.3">
      <c r="A47" s="1"/>
      <c r="B47" s="26"/>
      <c r="C47" s="12" t="str">
        <f>_xlfn.IFNA(IFERROR(IF(FIND("_",$B47)&gt;0,INDEX(WP!$A$2:$F$23,MATCH(LEFT($B47,FIND("_",$B47)-1),WP!$E$2:$E$23,0),1),IF(FIND("-",$B47)&gt;0,INDEX(WP!$A$2:$F$23,MATCH(LEFT($B47,FIND("_",$B47)-1),WP!$E$2:$E$23,0),1))),INDEX(WP!$A$2:$F$23,MATCH(Results!$B47,WP!$E$2:$E$23,0),1)),"")</f>
        <v/>
      </c>
      <c r="D47" s="12" t="str">
        <f>IFERROR(IFERROR(IF(RIGHT(INDEX(WP!$A$2:$F$23,MATCH(IF(FIND("_",$B47)&gt;0,LEFT($B47,FIND("_",$B47)-1)),WP!$E$2:$E$23,0),2),6)="Series",LEFT(INDEX(WP!$A$2:$F$23,MATCH(IF(FIND("_",$B47)&gt;0,LEFT($B47,FIND("_",$B47)-1)),WP!$E$2:$E$23,0),2),5),""),IF(RIGHT(INDEX(WP!$A$2:$F$23,MATCH($B47,WP!$E$2:$E$23,0),2),6)="Series",LEFT(INDEX(WP!$A$2:$F$23,MATCH($B47,WP!$E$2:$E$23,0),2),5),"")),"")</f>
        <v/>
      </c>
      <c r="E47" s="17" t="str">
        <f>IFERROR(VLOOKUP(VALUE($D47),Series!$B$3:$F$11,2,0),"")</f>
        <v/>
      </c>
      <c r="F47" s="12" t="str">
        <f>_xlfn.IFNA(IF(IF($D47&lt;&gt;"",COUNTIF($E:$E,"="&amp;$D47),"")="",IF(RIGHT(IFERROR(IF(FIND("_",$B47)&gt;0,INDEX(WP!$A$2:$F$23,MATCH(LEFT($B47,FIND("_",$B47)-1),WP!$E$2:$E$23,0),2),IF(FIND("-",$B47)&gt;0,INDEX(WP!$A$2:$F$23,MATCH(LEFT($B47,FIND("_",$B47)-1),WP!$E$2:$E$23,0),2))),INDEX(WP!$A$2:$F$23,MATCH(Results!$B47,WP!$E$2:$E$23,0),2)),6)="Series",LEFT(IFERROR(IF(FIND("_",$B47)&gt;0,INDEX(WP!$A$2:$F$23,MATCH(LEFT($B47,FIND("_",$B47)-1),WP!$E$2:$E$23,0),2),IF(FIND("-",$B47)&gt;0,INDEX(WP!$A$2:$F$23,MATCH(LEFT($B47,FIND("_",$B47)-1),WP!$E$2:$E$23,0),2))),INDEX(WP!$A$2:$F$23,MATCH(Results!$B47,WP!$E$2:$E$23,0),2)),5),(IFERROR(IF(FIND("_",$B47)&gt;0,INDEX(WP!$A$2:$F$23,MATCH(LEFT($B47,FIND("_",$B47)-1),WP!$E$2:$E$23,0),2),IF(FIND("-",$B47)&gt;0,INDEX(WP!$A$2:$F$23,MATCH(LEFT($B47,FIND("_",$B47)-1),WP!$E$2:$E$23,0),2))),INDEX(WP!$A$2:$F$23,MATCH(Results!$B47,WP!$E$2:$E$23,0),2)))),IF(RIGHT(IFERROR(IF(FIND("_",$B47)&gt;0,INDEX(WP!$A$2:$F$23,MATCH(LEFT($B47,FIND("_",$B47)-1),WP!$E$2:$E$23,0),2),IF(FIND("-",$B47)&gt;0,INDEX(WP!$A$2:$F$23,MATCH(LEFT($B47,FIND("_",$B47)-1),WP!$E$2:$E$23,0),2))),INDEX(WP!$A$2:$F$23,MATCH(Results!$B47,WP!$E$2:$E$23,0),2)),6)="Series",LEFT(IFERROR(IF(FIND("_",$B47)&gt;0,INDEX(WP!$A$2:$F$23,MATCH(LEFT($B47,FIND("_",$B47)-1),WP!$E$2:$E$23,0),2),IF(FIND("-",$B47)&gt;0,INDEX(WP!$A$2:$F$23,MATCH(LEFT($B47,FIND("_",$B47)-1),WP!$E$2:$E$23,0),2))),INDEX(WP!$A$2:$F$23,MATCH(Results!$B47,WP!$E$2:$E$23,0),2)),5),(IFERROR(IF(FIND("_",$B47)&gt;0,INDEX(WP!$A$2:$F$23,MATCH(LEFT($B47,FIND("_",$B47)-1),WP!$E$2:$E$23,0),2),IF(FIND("-",$B47)&gt;0,INDEX(WP!$A$2:$F$23,MATCH(LEFT($B47,FIND("_",$B47)-1),WP!$E$2:$E$23,0),2))),INDEX(WP!$A$2:$F$23,MATCH(Results!$B47,WP!$E$2:$E$23,0),2))))&amp;"-"&amp;$I47),"")</f>
        <v/>
      </c>
      <c r="G47" s="17" t="str">
        <f>IF(LEN(_xlfn.IFNA(IF(IFERROR(IF(FIND("_",$B47)&gt;0,MID($B47,FIND("_",$B47)+1,LEN($B47)),IF(FIND("-",$B47)&gt;0,MID($B47,FIND("-",$B47)+1,LEN($B47)))),"")="",IFERROR(VLOOKUP($F47,WP!$B$2:$C$23,2,0),VLOOKUP($C47,Series!$A$3:$F$11,6,0)),IFERROR(VLOOKUP($F47,WP!$B$2:$C$23,2,0),VLOOKUP($C47,Series!$A$3:$F$11,6,0))&amp;" - "&amp;(IFERROR(IF(FIND("_",$B47)&gt;0,MID($B47,FIND("_",$B47)+1,LEN($B47)),IF(FIND("-",$B47)&gt;0,MID($B47,FIND("-",$B47)+1,LEN($B47)))),""))),""))&lt;64,_xlfn.IFNA(IF(IFERROR(IF(FIND("_",$B47)&gt;0,MID($B47,FIND("_",$B47)+1,LEN($B47)),IF(FIND("-",$B47)&gt;0,MID($B47,FIND("-",$B47)+1,LEN($B47)))),"")="",IFERROR(VLOOKUP($F47,WP!$B$2:$C$23,2,0),VLOOKUP($C47,Series!$A$3:$F$11,6,0)),IFERROR(VLOOKUP($F47,WP!$B$2:$C$23,2,0),VLOOKUP($C47,Series!$A$3:$F$11,6,0))&amp;" - "&amp;(IFERROR(IF(FIND("_",$B47)&gt;0,MID($B47,FIND("_",$B47)+1,LEN($B47)),IF(FIND("-",$B47)&gt;0,MID($B47,FIND("-",$B47)+1,LEN($B47)))),""))),""),LEFT((_xlfn.IFNA(IF(IFERROR(IF(FIND("_",$B47)&gt;0,MID($B47,FIND("_",$B47)+1,LEN($B47)),IF(FIND("-",$B47)&gt;0,MID($B47,FIND("-",$B47)+1,LEN($B47)))),"")="",IFERROR(VLOOKUP($F47,WP!$B$2:$C$23,2,0),VLOOKUP($C47,Series!$A$3:$F$11,6,0)),IFERROR(VLOOKUP($F47,WP!$B$2:$C$23,2,0),VLOOKUP($C47,Series!$A$3:$F$11,6,0))&amp;" - "&amp;(IFERROR(IF(FIND("_",$B47)&gt;0,MID($B47,FIND("_",$B47)+1,LEN($B47)),IF(FIND("-",$B47)&gt;0,MID($B47,FIND("-",$B47)+1,LEN($B47)))),""))),"")),64))</f>
        <v/>
      </c>
      <c r="H47" s="12"/>
      <c r="I47" s="12" t="str">
        <f>IF($D47&lt;&gt;"",COUNTIF($D$7:$D47,"="&amp;$D47),"")</f>
        <v/>
      </c>
      <c r="J47"/>
      <c r="K47" s="8"/>
      <c r="L47"/>
    </row>
    <row r="48" spans="1:12" x14ac:dyDescent="0.3">
      <c r="A48" s="1"/>
      <c r="B48" s="26"/>
      <c r="C48" s="12" t="str">
        <f>_xlfn.IFNA(IFERROR(IF(FIND("_",$B48)&gt;0,INDEX(WP!$A$2:$F$23,MATCH(LEFT($B48,FIND("_",$B48)-1),WP!$E$2:$E$23,0),1),IF(FIND("-",$B48)&gt;0,INDEX(WP!$A$2:$F$23,MATCH(LEFT($B48,FIND("_",$B48)-1),WP!$E$2:$E$23,0),1))),INDEX(WP!$A$2:$F$23,MATCH(Results!$B48,WP!$E$2:$E$23,0),1)),"")</f>
        <v/>
      </c>
      <c r="D48" s="12" t="str">
        <f>IFERROR(IFERROR(IF(RIGHT(INDEX(WP!$A$2:$F$23,MATCH(IF(FIND("_",$B48)&gt;0,LEFT($B48,FIND("_",$B48)-1)),WP!$E$2:$E$23,0),2),6)="Series",LEFT(INDEX(WP!$A$2:$F$23,MATCH(IF(FIND("_",$B48)&gt;0,LEFT($B48,FIND("_",$B48)-1)),WP!$E$2:$E$23,0),2),5),""),IF(RIGHT(INDEX(WP!$A$2:$F$23,MATCH($B48,WP!$E$2:$E$23,0),2),6)="Series",LEFT(INDEX(WP!$A$2:$F$23,MATCH($B48,WP!$E$2:$E$23,0),2),5),"")),"")</f>
        <v/>
      </c>
      <c r="E48" s="17" t="str">
        <f>IFERROR(VLOOKUP(VALUE($D48),Series!$B$3:$F$11,2,0),"")</f>
        <v/>
      </c>
      <c r="F48" s="12" t="str">
        <f>_xlfn.IFNA(IF(IF($D48&lt;&gt;"",COUNTIF($E:$E,"="&amp;$D48),"")="",IF(RIGHT(IFERROR(IF(FIND("_",$B48)&gt;0,INDEX(WP!$A$2:$F$23,MATCH(LEFT($B48,FIND("_",$B48)-1),WP!$E$2:$E$23,0),2),IF(FIND("-",$B48)&gt;0,INDEX(WP!$A$2:$F$23,MATCH(LEFT($B48,FIND("_",$B48)-1),WP!$E$2:$E$23,0),2))),INDEX(WP!$A$2:$F$23,MATCH(Results!$B48,WP!$E$2:$E$23,0),2)),6)="Series",LEFT(IFERROR(IF(FIND("_",$B48)&gt;0,INDEX(WP!$A$2:$F$23,MATCH(LEFT($B48,FIND("_",$B48)-1),WP!$E$2:$E$23,0),2),IF(FIND("-",$B48)&gt;0,INDEX(WP!$A$2:$F$23,MATCH(LEFT($B48,FIND("_",$B48)-1),WP!$E$2:$E$23,0),2))),INDEX(WP!$A$2:$F$23,MATCH(Results!$B48,WP!$E$2:$E$23,0),2)),5),(IFERROR(IF(FIND("_",$B48)&gt;0,INDEX(WP!$A$2:$F$23,MATCH(LEFT($B48,FIND("_",$B48)-1),WP!$E$2:$E$23,0),2),IF(FIND("-",$B48)&gt;0,INDEX(WP!$A$2:$F$23,MATCH(LEFT($B48,FIND("_",$B48)-1),WP!$E$2:$E$23,0),2))),INDEX(WP!$A$2:$F$23,MATCH(Results!$B48,WP!$E$2:$E$23,0),2)))),IF(RIGHT(IFERROR(IF(FIND("_",$B48)&gt;0,INDEX(WP!$A$2:$F$23,MATCH(LEFT($B48,FIND("_",$B48)-1),WP!$E$2:$E$23,0),2),IF(FIND("-",$B48)&gt;0,INDEX(WP!$A$2:$F$23,MATCH(LEFT($B48,FIND("_",$B48)-1),WP!$E$2:$E$23,0),2))),INDEX(WP!$A$2:$F$23,MATCH(Results!$B48,WP!$E$2:$E$23,0),2)),6)="Series",LEFT(IFERROR(IF(FIND("_",$B48)&gt;0,INDEX(WP!$A$2:$F$23,MATCH(LEFT($B48,FIND("_",$B48)-1),WP!$E$2:$E$23,0),2),IF(FIND("-",$B48)&gt;0,INDEX(WP!$A$2:$F$23,MATCH(LEFT($B48,FIND("_",$B48)-1),WP!$E$2:$E$23,0),2))),INDEX(WP!$A$2:$F$23,MATCH(Results!$B48,WP!$E$2:$E$23,0),2)),5),(IFERROR(IF(FIND("_",$B48)&gt;0,INDEX(WP!$A$2:$F$23,MATCH(LEFT($B48,FIND("_",$B48)-1),WP!$E$2:$E$23,0),2),IF(FIND("-",$B48)&gt;0,INDEX(WP!$A$2:$F$23,MATCH(LEFT($B48,FIND("_",$B48)-1),WP!$E$2:$E$23,0),2))),INDEX(WP!$A$2:$F$23,MATCH(Results!$B48,WP!$E$2:$E$23,0),2))))&amp;"-"&amp;$I48),"")</f>
        <v/>
      </c>
      <c r="G48" s="17" t="str">
        <f>IF(LEN(_xlfn.IFNA(IF(IFERROR(IF(FIND("_",$B48)&gt;0,MID($B48,FIND("_",$B48)+1,LEN($B48)),IF(FIND("-",$B48)&gt;0,MID($B48,FIND("-",$B48)+1,LEN($B48)))),"")="",IFERROR(VLOOKUP($F48,WP!$B$2:$C$23,2,0),VLOOKUP($C48,Series!$A$3:$F$11,6,0)),IFERROR(VLOOKUP($F48,WP!$B$2:$C$23,2,0),VLOOKUP($C48,Series!$A$3:$F$11,6,0))&amp;" - "&amp;(IFERROR(IF(FIND("_",$B48)&gt;0,MID($B48,FIND("_",$B48)+1,LEN($B48)),IF(FIND("-",$B48)&gt;0,MID($B48,FIND("-",$B48)+1,LEN($B48)))),""))),""))&lt;64,_xlfn.IFNA(IF(IFERROR(IF(FIND("_",$B48)&gt;0,MID($B48,FIND("_",$B48)+1,LEN($B48)),IF(FIND("-",$B48)&gt;0,MID($B48,FIND("-",$B48)+1,LEN($B48)))),"")="",IFERROR(VLOOKUP($F48,WP!$B$2:$C$23,2,0),VLOOKUP($C48,Series!$A$3:$F$11,6,0)),IFERROR(VLOOKUP($F48,WP!$B$2:$C$23,2,0),VLOOKUP($C48,Series!$A$3:$F$11,6,0))&amp;" - "&amp;(IFERROR(IF(FIND("_",$B48)&gt;0,MID($B48,FIND("_",$B48)+1,LEN($B48)),IF(FIND("-",$B48)&gt;0,MID($B48,FIND("-",$B48)+1,LEN($B48)))),""))),""),LEFT((_xlfn.IFNA(IF(IFERROR(IF(FIND("_",$B48)&gt;0,MID($B48,FIND("_",$B48)+1,LEN($B48)),IF(FIND("-",$B48)&gt;0,MID($B48,FIND("-",$B48)+1,LEN($B48)))),"")="",IFERROR(VLOOKUP($F48,WP!$B$2:$C$23,2,0),VLOOKUP($C48,Series!$A$3:$F$11,6,0)),IFERROR(VLOOKUP($F48,WP!$B$2:$C$23,2,0),VLOOKUP($C48,Series!$A$3:$F$11,6,0))&amp;" - "&amp;(IFERROR(IF(FIND("_",$B48)&gt;0,MID($B48,FIND("_",$B48)+1,LEN($B48)),IF(FIND("-",$B48)&gt;0,MID($B48,FIND("-",$B48)+1,LEN($B48)))),""))),"")),64))</f>
        <v/>
      </c>
      <c r="H48" s="12"/>
      <c r="I48" s="12" t="str">
        <f>IF($D48&lt;&gt;"",COUNTIF($D$7:$D48,"="&amp;$D48),"")</f>
        <v/>
      </c>
      <c r="J48"/>
      <c r="K48" s="8"/>
      <c r="L48"/>
    </row>
    <row r="49" spans="1:12" x14ac:dyDescent="0.3">
      <c r="A49" s="1"/>
      <c r="B49" s="26"/>
      <c r="C49" s="12" t="str">
        <f>_xlfn.IFNA(IFERROR(IF(FIND("_",$B49)&gt;0,INDEX(WP!$A$2:$F$23,MATCH(LEFT($B49,FIND("_",$B49)-1),WP!$E$2:$E$23,0),1),IF(FIND("-",$B49)&gt;0,INDEX(WP!$A$2:$F$23,MATCH(LEFT($B49,FIND("_",$B49)-1),WP!$E$2:$E$23,0),1))),INDEX(WP!$A$2:$F$23,MATCH(Results!$B49,WP!$E$2:$E$23,0),1)),"")</f>
        <v/>
      </c>
      <c r="D49" s="12" t="str">
        <f>IFERROR(IFERROR(IF(RIGHT(INDEX(WP!$A$2:$F$23,MATCH(IF(FIND("_",$B49)&gt;0,LEFT($B49,FIND("_",$B49)-1)),WP!$E$2:$E$23,0),2),6)="Series",LEFT(INDEX(WP!$A$2:$F$23,MATCH(IF(FIND("_",$B49)&gt;0,LEFT($B49,FIND("_",$B49)-1)),WP!$E$2:$E$23,0),2),5),""),IF(RIGHT(INDEX(WP!$A$2:$F$23,MATCH($B49,WP!$E$2:$E$23,0),2),6)="Series",LEFT(INDEX(WP!$A$2:$F$23,MATCH($B49,WP!$E$2:$E$23,0),2),5),"")),"")</f>
        <v/>
      </c>
      <c r="E49" s="17" t="str">
        <f>IFERROR(VLOOKUP(VALUE($D49),Series!$B$3:$F$11,2,0),"")</f>
        <v/>
      </c>
      <c r="F49" s="12" t="str">
        <f>_xlfn.IFNA(IF(IF($D49&lt;&gt;"",COUNTIF($E:$E,"="&amp;$D49),"")="",IF(RIGHT(IFERROR(IF(FIND("_",$B49)&gt;0,INDEX(WP!$A$2:$F$23,MATCH(LEFT($B49,FIND("_",$B49)-1),WP!$E$2:$E$23,0),2),IF(FIND("-",$B49)&gt;0,INDEX(WP!$A$2:$F$23,MATCH(LEFT($B49,FIND("_",$B49)-1),WP!$E$2:$E$23,0),2))),INDEX(WP!$A$2:$F$23,MATCH(Results!$B49,WP!$E$2:$E$23,0),2)),6)="Series",LEFT(IFERROR(IF(FIND("_",$B49)&gt;0,INDEX(WP!$A$2:$F$23,MATCH(LEFT($B49,FIND("_",$B49)-1),WP!$E$2:$E$23,0),2),IF(FIND("-",$B49)&gt;0,INDEX(WP!$A$2:$F$23,MATCH(LEFT($B49,FIND("_",$B49)-1),WP!$E$2:$E$23,0),2))),INDEX(WP!$A$2:$F$23,MATCH(Results!$B49,WP!$E$2:$E$23,0),2)),5),(IFERROR(IF(FIND("_",$B49)&gt;0,INDEX(WP!$A$2:$F$23,MATCH(LEFT($B49,FIND("_",$B49)-1),WP!$E$2:$E$23,0),2),IF(FIND("-",$B49)&gt;0,INDEX(WP!$A$2:$F$23,MATCH(LEFT($B49,FIND("_",$B49)-1),WP!$E$2:$E$23,0),2))),INDEX(WP!$A$2:$F$23,MATCH(Results!$B49,WP!$E$2:$E$23,0),2)))),IF(RIGHT(IFERROR(IF(FIND("_",$B49)&gt;0,INDEX(WP!$A$2:$F$23,MATCH(LEFT($B49,FIND("_",$B49)-1),WP!$E$2:$E$23,0),2),IF(FIND("-",$B49)&gt;0,INDEX(WP!$A$2:$F$23,MATCH(LEFT($B49,FIND("_",$B49)-1),WP!$E$2:$E$23,0),2))),INDEX(WP!$A$2:$F$23,MATCH(Results!$B49,WP!$E$2:$E$23,0),2)),6)="Series",LEFT(IFERROR(IF(FIND("_",$B49)&gt;0,INDEX(WP!$A$2:$F$23,MATCH(LEFT($B49,FIND("_",$B49)-1),WP!$E$2:$E$23,0),2),IF(FIND("-",$B49)&gt;0,INDEX(WP!$A$2:$F$23,MATCH(LEFT($B49,FIND("_",$B49)-1),WP!$E$2:$E$23,0),2))),INDEX(WP!$A$2:$F$23,MATCH(Results!$B49,WP!$E$2:$E$23,0),2)),5),(IFERROR(IF(FIND("_",$B49)&gt;0,INDEX(WP!$A$2:$F$23,MATCH(LEFT($B49,FIND("_",$B49)-1),WP!$E$2:$E$23,0),2),IF(FIND("-",$B49)&gt;0,INDEX(WP!$A$2:$F$23,MATCH(LEFT($B49,FIND("_",$B49)-1),WP!$E$2:$E$23,0),2))),INDEX(WP!$A$2:$F$23,MATCH(Results!$B49,WP!$E$2:$E$23,0),2))))&amp;"-"&amp;$I49),"")</f>
        <v/>
      </c>
      <c r="G49" s="17" t="str">
        <f>IF(LEN(_xlfn.IFNA(IF(IFERROR(IF(FIND("_",$B49)&gt;0,MID($B49,FIND("_",$B49)+1,LEN($B49)),IF(FIND("-",$B49)&gt;0,MID($B49,FIND("-",$B49)+1,LEN($B49)))),"")="",IFERROR(VLOOKUP($F49,WP!$B$2:$C$23,2,0),VLOOKUP($C49,Series!$A$3:$F$11,6,0)),IFERROR(VLOOKUP($F49,WP!$B$2:$C$23,2,0),VLOOKUP($C49,Series!$A$3:$F$11,6,0))&amp;" - "&amp;(IFERROR(IF(FIND("_",$B49)&gt;0,MID($B49,FIND("_",$B49)+1,LEN($B49)),IF(FIND("-",$B49)&gt;0,MID($B49,FIND("-",$B49)+1,LEN($B49)))),""))),""))&lt;64,_xlfn.IFNA(IF(IFERROR(IF(FIND("_",$B49)&gt;0,MID($B49,FIND("_",$B49)+1,LEN($B49)),IF(FIND("-",$B49)&gt;0,MID($B49,FIND("-",$B49)+1,LEN($B49)))),"")="",IFERROR(VLOOKUP($F49,WP!$B$2:$C$23,2,0),VLOOKUP($C49,Series!$A$3:$F$11,6,0)),IFERROR(VLOOKUP($F49,WP!$B$2:$C$23,2,0),VLOOKUP($C49,Series!$A$3:$F$11,6,0))&amp;" - "&amp;(IFERROR(IF(FIND("_",$B49)&gt;0,MID($B49,FIND("_",$B49)+1,LEN($B49)),IF(FIND("-",$B49)&gt;0,MID($B49,FIND("-",$B49)+1,LEN($B49)))),""))),""),LEFT((_xlfn.IFNA(IF(IFERROR(IF(FIND("_",$B49)&gt;0,MID($B49,FIND("_",$B49)+1,LEN($B49)),IF(FIND("-",$B49)&gt;0,MID($B49,FIND("-",$B49)+1,LEN($B49)))),"")="",IFERROR(VLOOKUP($F49,WP!$B$2:$C$23,2,0),VLOOKUP($C49,Series!$A$3:$F$11,6,0)),IFERROR(VLOOKUP($F49,WP!$B$2:$C$23,2,0),VLOOKUP($C49,Series!$A$3:$F$11,6,0))&amp;" - "&amp;(IFERROR(IF(FIND("_",$B49)&gt;0,MID($B49,FIND("_",$B49)+1,LEN($B49)),IF(FIND("-",$B49)&gt;0,MID($B49,FIND("-",$B49)+1,LEN($B49)))),""))),"")),64))</f>
        <v/>
      </c>
      <c r="H49" s="12"/>
      <c r="I49" s="12" t="str">
        <f>IF($D49&lt;&gt;"",COUNTIF($D$7:$D49,"="&amp;$D49),"")</f>
        <v/>
      </c>
      <c r="J49"/>
      <c r="K49" s="8"/>
      <c r="L49"/>
    </row>
    <row r="50" spans="1:12" x14ac:dyDescent="0.3">
      <c r="A50" s="1"/>
      <c r="B50" s="26"/>
      <c r="C50" s="12" t="str">
        <f>_xlfn.IFNA(IFERROR(IF(FIND("_",$B50)&gt;0,INDEX(WP!$A$2:$F$23,MATCH(LEFT($B50,FIND("_",$B50)-1),WP!$E$2:$E$23,0),1),IF(FIND("-",$B50)&gt;0,INDEX(WP!$A$2:$F$23,MATCH(LEFT($B50,FIND("_",$B50)-1),WP!$E$2:$E$23,0),1))),INDEX(WP!$A$2:$F$23,MATCH(Results!$B50,WP!$E$2:$E$23,0),1)),"")</f>
        <v/>
      </c>
      <c r="D50" s="12" t="str">
        <f>IFERROR(IFERROR(IF(RIGHT(INDEX(WP!$A$2:$F$23,MATCH(IF(FIND("_",$B50)&gt;0,LEFT($B50,FIND("_",$B50)-1)),WP!$E$2:$E$23,0),2),6)="Series",LEFT(INDEX(WP!$A$2:$F$23,MATCH(IF(FIND("_",$B50)&gt;0,LEFT($B50,FIND("_",$B50)-1)),WP!$E$2:$E$23,0),2),5),""),IF(RIGHT(INDEX(WP!$A$2:$F$23,MATCH($B50,WP!$E$2:$E$23,0),2),6)="Series",LEFT(INDEX(WP!$A$2:$F$23,MATCH($B50,WP!$E$2:$E$23,0),2),5),"")),"")</f>
        <v/>
      </c>
      <c r="E50" s="17" t="str">
        <f>IFERROR(VLOOKUP(VALUE($D50),Series!$B$3:$F$11,2,0),"")</f>
        <v/>
      </c>
      <c r="F50" s="12" t="str">
        <f>_xlfn.IFNA(IF(IF($D50&lt;&gt;"",COUNTIF($E:$E,"="&amp;$D50),"")="",IF(RIGHT(IFERROR(IF(FIND("_",$B50)&gt;0,INDEX(WP!$A$2:$F$23,MATCH(LEFT($B50,FIND("_",$B50)-1),WP!$E$2:$E$23,0),2),IF(FIND("-",$B50)&gt;0,INDEX(WP!$A$2:$F$23,MATCH(LEFT($B50,FIND("_",$B50)-1),WP!$E$2:$E$23,0),2))),INDEX(WP!$A$2:$F$23,MATCH(Results!$B50,WP!$E$2:$E$23,0),2)),6)="Series",LEFT(IFERROR(IF(FIND("_",$B50)&gt;0,INDEX(WP!$A$2:$F$23,MATCH(LEFT($B50,FIND("_",$B50)-1),WP!$E$2:$E$23,0),2),IF(FIND("-",$B50)&gt;0,INDEX(WP!$A$2:$F$23,MATCH(LEFT($B50,FIND("_",$B50)-1),WP!$E$2:$E$23,0),2))),INDEX(WP!$A$2:$F$23,MATCH(Results!$B50,WP!$E$2:$E$23,0),2)),5),(IFERROR(IF(FIND("_",$B50)&gt;0,INDEX(WP!$A$2:$F$23,MATCH(LEFT($B50,FIND("_",$B50)-1),WP!$E$2:$E$23,0),2),IF(FIND("-",$B50)&gt;0,INDEX(WP!$A$2:$F$23,MATCH(LEFT($B50,FIND("_",$B50)-1),WP!$E$2:$E$23,0),2))),INDEX(WP!$A$2:$F$23,MATCH(Results!$B50,WP!$E$2:$E$23,0),2)))),IF(RIGHT(IFERROR(IF(FIND("_",$B50)&gt;0,INDEX(WP!$A$2:$F$23,MATCH(LEFT($B50,FIND("_",$B50)-1),WP!$E$2:$E$23,0),2),IF(FIND("-",$B50)&gt;0,INDEX(WP!$A$2:$F$23,MATCH(LEFT($B50,FIND("_",$B50)-1),WP!$E$2:$E$23,0),2))),INDEX(WP!$A$2:$F$23,MATCH(Results!$B50,WP!$E$2:$E$23,0),2)),6)="Series",LEFT(IFERROR(IF(FIND("_",$B50)&gt;0,INDEX(WP!$A$2:$F$23,MATCH(LEFT($B50,FIND("_",$B50)-1),WP!$E$2:$E$23,0),2),IF(FIND("-",$B50)&gt;0,INDEX(WP!$A$2:$F$23,MATCH(LEFT($B50,FIND("_",$B50)-1),WP!$E$2:$E$23,0),2))),INDEX(WP!$A$2:$F$23,MATCH(Results!$B50,WP!$E$2:$E$23,0),2)),5),(IFERROR(IF(FIND("_",$B50)&gt;0,INDEX(WP!$A$2:$F$23,MATCH(LEFT($B50,FIND("_",$B50)-1),WP!$E$2:$E$23,0),2),IF(FIND("-",$B50)&gt;0,INDEX(WP!$A$2:$F$23,MATCH(LEFT($B50,FIND("_",$B50)-1),WP!$E$2:$E$23,0),2))),INDEX(WP!$A$2:$F$23,MATCH(Results!$B50,WP!$E$2:$E$23,0),2))))&amp;"-"&amp;$I50),"")</f>
        <v/>
      </c>
      <c r="G50" s="17" t="str">
        <f>IF(LEN(_xlfn.IFNA(IF(IFERROR(IF(FIND("_",$B50)&gt;0,MID($B50,FIND("_",$B50)+1,LEN($B50)),IF(FIND("-",$B50)&gt;0,MID($B50,FIND("-",$B50)+1,LEN($B50)))),"")="",IFERROR(VLOOKUP($F50,WP!$B$2:$C$23,2,0),VLOOKUP($C50,Series!$A$3:$F$11,6,0)),IFERROR(VLOOKUP($F50,WP!$B$2:$C$23,2,0),VLOOKUP($C50,Series!$A$3:$F$11,6,0))&amp;" - "&amp;(IFERROR(IF(FIND("_",$B50)&gt;0,MID($B50,FIND("_",$B50)+1,LEN($B50)),IF(FIND("-",$B50)&gt;0,MID($B50,FIND("-",$B50)+1,LEN($B50)))),""))),""))&lt;64,_xlfn.IFNA(IF(IFERROR(IF(FIND("_",$B50)&gt;0,MID($B50,FIND("_",$B50)+1,LEN($B50)),IF(FIND("-",$B50)&gt;0,MID($B50,FIND("-",$B50)+1,LEN($B50)))),"")="",IFERROR(VLOOKUP($F50,WP!$B$2:$C$23,2,0),VLOOKUP($C50,Series!$A$3:$F$11,6,0)),IFERROR(VLOOKUP($F50,WP!$B$2:$C$23,2,0),VLOOKUP($C50,Series!$A$3:$F$11,6,0))&amp;" - "&amp;(IFERROR(IF(FIND("_",$B50)&gt;0,MID($B50,FIND("_",$B50)+1,LEN($B50)),IF(FIND("-",$B50)&gt;0,MID($B50,FIND("-",$B50)+1,LEN($B50)))),""))),""),LEFT((_xlfn.IFNA(IF(IFERROR(IF(FIND("_",$B50)&gt;0,MID($B50,FIND("_",$B50)+1,LEN($B50)),IF(FIND("-",$B50)&gt;0,MID($B50,FIND("-",$B50)+1,LEN($B50)))),"")="",IFERROR(VLOOKUP($F50,WP!$B$2:$C$23,2,0),VLOOKUP($C50,Series!$A$3:$F$11,6,0)),IFERROR(VLOOKUP($F50,WP!$B$2:$C$23,2,0),VLOOKUP($C50,Series!$A$3:$F$11,6,0))&amp;" - "&amp;(IFERROR(IF(FIND("_",$B50)&gt;0,MID($B50,FIND("_",$B50)+1,LEN($B50)),IF(FIND("-",$B50)&gt;0,MID($B50,FIND("-",$B50)+1,LEN($B50)))),""))),"")),64))</f>
        <v/>
      </c>
      <c r="H50" s="12"/>
      <c r="I50" s="12" t="str">
        <f>IF($D50&lt;&gt;"",COUNTIF($D$7:$D50,"="&amp;$D50),"")</f>
        <v/>
      </c>
      <c r="J50"/>
      <c r="K50" s="8"/>
      <c r="L50"/>
    </row>
    <row r="51" spans="1:12" x14ac:dyDescent="0.3">
      <c r="A51" s="1"/>
      <c r="B51" s="26"/>
      <c r="C51" s="12" t="str">
        <f>_xlfn.IFNA(IFERROR(IF(FIND("_",$B51)&gt;0,INDEX(WP!$A$2:$F$23,MATCH(LEFT($B51,FIND("_",$B51)-1),WP!$E$2:$E$23,0),1),IF(FIND("-",$B51)&gt;0,INDEX(WP!$A$2:$F$23,MATCH(LEFT($B51,FIND("_",$B51)-1),WP!$E$2:$E$23,0),1))),INDEX(WP!$A$2:$F$23,MATCH(Results!$B51,WP!$E$2:$E$23,0),1)),"")</f>
        <v/>
      </c>
      <c r="D51" s="12" t="str">
        <f>IFERROR(IFERROR(IF(RIGHT(INDEX(WP!$A$2:$F$23,MATCH(IF(FIND("_",$B51)&gt;0,LEFT($B51,FIND("_",$B51)-1)),WP!$E$2:$E$23,0),2),6)="Series",LEFT(INDEX(WP!$A$2:$F$23,MATCH(IF(FIND("_",$B51)&gt;0,LEFT($B51,FIND("_",$B51)-1)),WP!$E$2:$E$23,0),2),5),""),IF(RIGHT(INDEX(WP!$A$2:$F$23,MATCH($B51,WP!$E$2:$E$23,0),2),6)="Series",LEFT(INDEX(WP!$A$2:$F$23,MATCH($B51,WP!$E$2:$E$23,0),2),5),"")),"")</f>
        <v/>
      </c>
      <c r="E51" s="17" t="str">
        <f>IFERROR(VLOOKUP(VALUE($D51),Series!$B$3:$F$11,2,0),"")</f>
        <v/>
      </c>
      <c r="F51" s="12" t="str">
        <f>_xlfn.IFNA(IF(IF($D51&lt;&gt;"",COUNTIF($E:$E,"="&amp;$D51),"")="",IF(RIGHT(IFERROR(IF(FIND("_",$B51)&gt;0,INDEX(WP!$A$2:$F$23,MATCH(LEFT($B51,FIND("_",$B51)-1),WP!$E$2:$E$23,0),2),IF(FIND("-",$B51)&gt;0,INDEX(WP!$A$2:$F$23,MATCH(LEFT($B51,FIND("_",$B51)-1),WP!$E$2:$E$23,0),2))),INDEX(WP!$A$2:$F$23,MATCH(Results!$B51,WP!$E$2:$E$23,0),2)),6)="Series",LEFT(IFERROR(IF(FIND("_",$B51)&gt;0,INDEX(WP!$A$2:$F$23,MATCH(LEFT($B51,FIND("_",$B51)-1),WP!$E$2:$E$23,0),2),IF(FIND("-",$B51)&gt;0,INDEX(WP!$A$2:$F$23,MATCH(LEFT($B51,FIND("_",$B51)-1),WP!$E$2:$E$23,0),2))),INDEX(WP!$A$2:$F$23,MATCH(Results!$B51,WP!$E$2:$E$23,0),2)),5),(IFERROR(IF(FIND("_",$B51)&gt;0,INDEX(WP!$A$2:$F$23,MATCH(LEFT($B51,FIND("_",$B51)-1),WP!$E$2:$E$23,0),2),IF(FIND("-",$B51)&gt;0,INDEX(WP!$A$2:$F$23,MATCH(LEFT($B51,FIND("_",$B51)-1),WP!$E$2:$E$23,0),2))),INDEX(WP!$A$2:$F$23,MATCH(Results!$B51,WP!$E$2:$E$23,0),2)))),IF(RIGHT(IFERROR(IF(FIND("_",$B51)&gt;0,INDEX(WP!$A$2:$F$23,MATCH(LEFT($B51,FIND("_",$B51)-1),WP!$E$2:$E$23,0),2),IF(FIND("-",$B51)&gt;0,INDEX(WP!$A$2:$F$23,MATCH(LEFT($B51,FIND("_",$B51)-1),WP!$E$2:$E$23,0),2))),INDEX(WP!$A$2:$F$23,MATCH(Results!$B51,WP!$E$2:$E$23,0),2)),6)="Series",LEFT(IFERROR(IF(FIND("_",$B51)&gt;0,INDEX(WP!$A$2:$F$23,MATCH(LEFT($B51,FIND("_",$B51)-1),WP!$E$2:$E$23,0),2),IF(FIND("-",$B51)&gt;0,INDEX(WP!$A$2:$F$23,MATCH(LEFT($B51,FIND("_",$B51)-1),WP!$E$2:$E$23,0),2))),INDEX(WP!$A$2:$F$23,MATCH(Results!$B51,WP!$E$2:$E$23,0),2)),5),(IFERROR(IF(FIND("_",$B51)&gt;0,INDEX(WP!$A$2:$F$23,MATCH(LEFT($B51,FIND("_",$B51)-1),WP!$E$2:$E$23,0),2),IF(FIND("-",$B51)&gt;0,INDEX(WP!$A$2:$F$23,MATCH(LEFT($B51,FIND("_",$B51)-1),WP!$E$2:$E$23,0),2))),INDEX(WP!$A$2:$F$23,MATCH(Results!$B51,WP!$E$2:$E$23,0),2))))&amp;"-"&amp;$I51),"")</f>
        <v/>
      </c>
      <c r="G51" s="17" t="str">
        <f>IF(LEN(_xlfn.IFNA(IF(IFERROR(IF(FIND("_",$B51)&gt;0,MID($B51,FIND("_",$B51)+1,LEN($B51)),IF(FIND("-",$B51)&gt;0,MID($B51,FIND("-",$B51)+1,LEN($B51)))),"")="",IFERROR(VLOOKUP($F51,WP!$B$2:$C$23,2,0),VLOOKUP($C51,Series!$A$3:$F$11,6,0)),IFERROR(VLOOKUP($F51,WP!$B$2:$C$23,2,0),VLOOKUP($C51,Series!$A$3:$F$11,6,0))&amp;" - "&amp;(IFERROR(IF(FIND("_",$B51)&gt;0,MID($B51,FIND("_",$B51)+1,LEN($B51)),IF(FIND("-",$B51)&gt;0,MID($B51,FIND("-",$B51)+1,LEN($B51)))),""))),""))&lt;64,_xlfn.IFNA(IF(IFERROR(IF(FIND("_",$B51)&gt;0,MID($B51,FIND("_",$B51)+1,LEN($B51)),IF(FIND("-",$B51)&gt;0,MID($B51,FIND("-",$B51)+1,LEN($B51)))),"")="",IFERROR(VLOOKUP($F51,WP!$B$2:$C$23,2,0),VLOOKUP($C51,Series!$A$3:$F$11,6,0)),IFERROR(VLOOKUP($F51,WP!$B$2:$C$23,2,0),VLOOKUP($C51,Series!$A$3:$F$11,6,0))&amp;" - "&amp;(IFERROR(IF(FIND("_",$B51)&gt;0,MID($B51,FIND("_",$B51)+1,LEN($B51)),IF(FIND("-",$B51)&gt;0,MID($B51,FIND("-",$B51)+1,LEN($B51)))),""))),""),LEFT((_xlfn.IFNA(IF(IFERROR(IF(FIND("_",$B51)&gt;0,MID($B51,FIND("_",$B51)+1,LEN($B51)),IF(FIND("-",$B51)&gt;0,MID($B51,FIND("-",$B51)+1,LEN($B51)))),"")="",IFERROR(VLOOKUP($F51,WP!$B$2:$C$23,2,0),VLOOKUP($C51,Series!$A$3:$F$11,6,0)),IFERROR(VLOOKUP($F51,WP!$B$2:$C$23,2,0),VLOOKUP($C51,Series!$A$3:$F$11,6,0))&amp;" - "&amp;(IFERROR(IF(FIND("_",$B51)&gt;0,MID($B51,FIND("_",$B51)+1,LEN($B51)),IF(FIND("-",$B51)&gt;0,MID($B51,FIND("-",$B51)+1,LEN($B51)))),""))),"")),64))</f>
        <v/>
      </c>
      <c r="H51" s="12"/>
      <c r="I51" s="12" t="str">
        <f>IF($D51&lt;&gt;"",COUNTIF($D$7:$D51,"="&amp;$D51),"")</f>
        <v/>
      </c>
      <c r="J51"/>
      <c r="K51" s="8"/>
      <c r="L51"/>
    </row>
    <row r="52" spans="1:12" x14ac:dyDescent="0.3">
      <c r="A52" s="1"/>
      <c r="B52" s="26"/>
      <c r="C52" s="12" t="str">
        <f>_xlfn.IFNA(IFERROR(IF(FIND("_",$B52)&gt;0,INDEX(WP!$A$2:$F$23,MATCH(LEFT($B52,FIND("_",$B52)-1),WP!$E$2:$E$23,0),1),IF(FIND("-",$B52)&gt;0,INDEX(WP!$A$2:$F$23,MATCH(LEFT($B52,FIND("_",$B52)-1),WP!$E$2:$E$23,0),1))),INDEX(WP!$A$2:$F$23,MATCH(Results!$B52,WP!$E$2:$E$23,0),1)),"")</f>
        <v/>
      </c>
      <c r="D52" s="12" t="str">
        <f>IFERROR(IFERROR(IF(RIGHT(INDEX(WP!$A$2:$F$23,MATCH(IF(FIND("_",$B52)&gt;0,LEFT($B52,FIND("_",$B52)-1)),WP!$E$2:$E$23,0),2),6)="Series",LEFT(INDEX(WP!$A$2:$F$23,MATCH(IF(FIND("_",$B52)&gt;0,LEFT($B52,FIND("_",$B52)-1)),WP!$E$2:$E$23,0),2),5),""),IF(RIGHT(INDEX(WP!$A$2:$F$23,MATCH($B52,WP!$E$2:$E$23,0),2),6)="Series",LEFT(INDEX(WP!$A$2:$F$23,MATCH($B52,WP!$E$2:$E$23,0),2),5),"")),"")</f>
        <v/>
      </c>
      <c r="E52" s="17" t="str">
        <f>IFERROR(VLOOKUP(VALUE($D52),Series!$B$3:$F$11,2,0),"")</f>
        <v/>
      </c>
      <c r="F52" s="12" t="str">
        <f>_xlfn.IFNA(IF(IF($D52&lt;&gt;"",COUNTIF($E:$E,"="&amp;$D52),"")="",IF(RIGHT(IFERROR(IF(FIND("_",$B52)&gt;0,INDEX(WP!$A$2:$F$23,MATCH(LEFT($B52,FIND("_",$B52)-1),WP!$E$2:$E$23,0),2),IF(FIND("-",$B52)&gt;0,INDEX(WP!$A$2:$F$23,MATCH(LEFT($B52,FIND("_",$B52)-1),WP!$E$2:$E$23,0),2))),INDEX(WP!$A$2:$F$23,MATCH(Results!$B52,WP!$E$2:$E$23,0),2)),6)="Series",LEFT(IFERROR(IF(FIND("_",$B52)&gt;0,INDEX(WP!$A$2:$F$23,MATCH(LEFT($B52,FIND("_",$B52)-1),WP!$E$2:$E$23,0),2),IF(FIND("-",$B52)&gt;0,INDEX(WP!$A$2:$F$23,MATCH(LEFT($B52,FIND("_",$B52)-1),WP!$E$2:$E$23,0),2))),INDEX(WP!$A$2:$F$23,MATCH(Results!$B52,WP!$E$2:$E$23,0),2)),5),(IFERROR(IF(FIND("_",$B52)&gt;0,INDEX(WP!$A$2:$F$23,MATCH(LEFT($B52,FIND("_",$B52)-1),WP!$E$2:$E$23,0),2),IF(FIND("-",$B52)&gt;0,INDEX(WP!$A$2:$F$23,MATCH(LEFT($B52,FIND("_",$B52)-1),WP!$E$2:$E$23,0),2))),INDEX(WP!$A$2:$F$23,MATCH(Results!$B52,WP!$E$2:$E$23,0),2)))),IF(RIGHT(IFERROR(IF(FIND("_",$B52)&gt;0,INDEX(WP!$A$2:$F$23,MATCH(LEFT($B52,FIND("_",$B52)-1),WP!$E$2:$E$23,0),2),IF(FIND("-",$B52)&gt;0,INDEX(WP!$A$2:$F$23,MATCH(LEFT($B52,FIND("_",$B52)-1),WP!$E$2:$E$23,0),2))),INDEX(WP!$A$2:$F$23,MATCH(Results!$B52,WP!$E$2:$E$23,0),2)),6)="Series",LEFT(IFERROR(IF(FIND("_",$B52)&gt;0,INDEX(WP!$A$2:$F$23,MATCH(LEFT($B52,FIND("_",$B52)-1),WP!$E$2:$E$23,0),2),IF(FIND("-",$B52)&gt;0,INDEX(WP!$A$2:$F$23,MATCH(LEFT($B52,FIND("_",$B52)-1),WP!$E$2:$E$23,0),2))),INDEX(WP!$A$2:$F$23,MATCH(Results!$B52,WP!$E$2:$E$23,0),2)),5),(IFERROR(IF(FIND("_",$B52)&gt;0,INDEX(WP!$A$2:$F$23,MATCH(LEFT($B52,FIND("_",$B52)-1),WP!$E$2:$E$23,0),2),IF(FIND("-",$B52)&gt;0,INDEX(WP!$A$2:$F$23,MATCH(LEFT($B52,FIND("_",$B52)-1),WP!$E$2:$E$23,0),2))),INDEX(WP!$A$2:$F$23,MATCH(Results!$B52,WP!$E$2:$E$23,0),2))))&amp;"-"&amp;$I52),"")</f>
        <v/>
      </c>
      <c r="G52" s="17" t="str">
        <f>IF(LEN(_xlfn.IFNA(IF(IFERROR(IF(FIND("_",$B52)&gt;0,MID($B52,FIND("_",$B52)+1,LEN($B52)),IF(FIND("-",$B52)&gt;0,MID($B52,FIND("-",$B52)+1,LEN($B52)))),"")="",IFERROR(VLOOKUP($F52,WP!$B$2:$C$23,2,0),VLOOKUP($C52,Series!$A$3:$F$11,6,0)),IFERROR(VLOOKUP($F52,WP!$B$2:$C$23,2,0),VLOOKUP($C52,Series!$A$3:$F$11,6,0))&amp;" - "&amp;(IFERROR(IF(FIND("_",$B52)&gt;0,MID($B52,FIND("_",$B52)+1,LEN($B52)),IF(FIND("-",$B52)&gt;0,MID($B52,FIND("-",$B52)+1,LEN($B52)))),""))),""))&lt;64,_xlfn.IFNA(IF(IFERROR(IF(FIND("_",$B52)&gt;0,MID($B52,FIND("_",$B52)+1,LEN($B52)),IF(FIND("-",$B52)&gt;0,MID($B52,FIND("-",$B52)+1,LEN($B52)))),"")="",IFERROR(VLOOKUP($F52,WP!$B$2:$C$23,2,0),VLOOKUP($C52,Series!$A$3:$F$11,6,0)),IFERROR(VLOOKUP($F52,WP!$B$2:$C$23,2,0),VLOOKUP($C52,Series!$A$3:$F$11,6,0))&amp;" - "&amp;(IFERROR(IF(FIND("_",$B52)&gt;0,MID($B52,FIND("_",$B52)+1,LEN($B52)),IF(FIND("-",$B52)&gt;0,MID($B52,FIND("-",$B52)+1,LEN($B52)))),""))),""),LEFT((_xlfn.IFNA(IF(IFERROR(IF(FIND("_",$B52)&gt;0,MID($B52,FIND("_",$B52)+1,LEN($B52)),IF(FIND("-",$B52)&gt;0,MID($B52,FIND("-",$B52)+1,LEN($B52)))),"")="",IFERROR(VLOOKUP($F52,WP!$B$2:$C$23,2,0),VLOOKUP($C52,Series!$A$3:$F$11,6,0)),IFERROR(VLOOKUP($F52,WP!$B$2:$C$23,2,0),VLOOKUP($C52,Series!$A$3:$F$11,6,0))&amp;" - "&amp;(IFERROR(IF(FIND("_",$B52)&gt;0,MID($B52,FIND("_",$B52)+1,LEN($B52)),IF(FIND("-",$B52)&gt;0,MID($B52,FIND("-",$B52)+1,LEN($B52)))),""))),"")),64))</f>
        <v/>
      </c>
      <c r="H52" s="12"/>
      <c r="I52" s="12" t="str">
        <f>IF($D52&lt;&gt;"",COUNTIF($D$7:$D52,"="&amp;$D52),"")</f>
        <v/>
      </c>
      <c r="J52"/>
      <c r="K52" s="8"/>
      <c r="L52"/>
    </row>
    <row r="53" spans="1:12" x14ac:dyDescent="0.3">
      <c r="A53" s="1"/>
      <c r="B53" s="26"/>
      <c r="C53" s="12" t="str">
        <f>_xlfn.IFNA(IFERROR(IF(FIND("_",$B53)&gt;0,INDEX(WP!$A$2:$F$23,MATCH(LEFT($B53,FIND("_",$B53)-1),WP!$E$2:$E$23,0),1),IF(FIND("-",$B53)&gt;0,INDEX(WP!$A$2:$F$23,MATCH(LEFT($B53,FIND("_",$B53)-1),WP!$E$2:$E$23,0),1))),INDEX(WP!$A$2:$F$23,MATCH(Results!$B53,WP!$E$2:$E$23,0),1)),"")</f>
        <v/>
      </c>
      <c r="D53" s="12" t="str">
        <f>IFERROR(IFERROR(IF(RIGHT(INDEX(WP!$A$2:$F$23,MATCH(IF(FIND("_",$B53)&gt;0,LEFT($B53,FIND("_",$B53)-1)),WP!$E$2:$E$23,0),2),6)="Series",LEFT(INDEX(WP!$A$2:$F$23,MATCH(IF(FIND("_",$B53)&gt;0,LEFT($B53,FIND("_",$B53)-1)),WP!$E$2:$E$23,0),2),5),""),IF(RIGHT(INDEX(WP!$A$2:$F$23,MATCH($B53,WP!$E$2:$E$23,0),2),6)="Series",LEFT(INDEX(WP!$A$2:$F$23,MATCH($B53,WP!$E$2:$E$23,0),2),5),"")),"")</f>
        <v/>
      </c>
      <c r="E53" s="17" t="str">
        <f>IFERROR(VLOOKUP(VALUE($D53),Series!$B$3:$F$11,2,0),"")</f>
        <v/>
      </c>
      <c r="F53" s="12" t="str">
        <f>_xlfn.IFNA(IF(IF($D53&lt;&gt;"",COUNTIF($E:$E,"="&amp;$D53),"")="",IF(RIGHT(IFERROR(IF(FIND("_",$B53)&gt;0,INDEX(WP!$A$2:$F$23,MATCH(LEFT($B53,FIND("_",$B53)-1),WP!$E$2:$E$23,0),2),IF(FIND("-",$B53)&gt;0,INDEX(WP!$A$2:$F$23,MATCH(LEFT($B53,FIND("_",$B53)-1),WP!$E$2:$E$23,0),2))),INDEX(WP!$A$2:$F$23,MATCH(Results!$B53,WP!$E$2:$E$23,0),2)),6)="Series",LEFT(IFERROR(IF(FIND("_",$B53)&gt;0,INDEX(WP!$A$2:$F$23,MATCH(LEFT($B53,FIND("_",$B53)-1),WP!$E$2:$E$23,0),2),IF(FIND("-",$B53)&gt;0,INDEX(WP!$A$2:$F$23,MATCH(LEFT($B53,FIND("_",$B53)-1),WP!$E$2:$E$23,0),2))),INDEX(WP!$A$2:$F$23,MATCH(Results!$B53,WP!$E$2:$E$23,0),2)),5),(IFERROR(IF(FIND("_",$B53)&gt;0,INDEX(WP!$A$2:$F$23,MATCH(LEFT($B53,FIND("_",$B53)-1),WP!$E$2:$E$23,0),2),IF(FIND("-",$B53)&gt;0,INDEX(WP!$A$2:$F$23,MATCH(LEFT($B53,FIND("_",$B53)-1),WP!$E$2:$E$23,0),2))),INDEX(WP!$A$2:$F$23,MATCH(Results!$B53,WP!$E$2:$E$23,0),2)))),IF(RIGHT(IFERROR(IF(FIND("_",$B53)&gt;0,INDEX(WP!$A$2:$F$23,MATCH(LEFT($B53,FIND("_",$B53)-1),WP!$E$2:$E$23,0),2),IF(FIND("-",$B53)&gt;0,INDEX(WP!$A$2:$F$23,MATCH(LEFT($B53,FIND("_",$B53)-1),WP!$E$2:$E$23,0),2))),INDEX(WP!$A$2:$F$23,MATCH(Results!$B53,WP!$E$2:$E$23,0),2)),6)="Series",LEFT(IFERROR(IF(FIND("_",$B53)&gt;0,INDEX(WP!$A$2:$F$23,MATCH(LEFT($B53,FIND("_",$B53)-1),WP!$E$2:$E$23,0),2),IF(FIND("-",$B53)&gt;0,INDEX(WP!$A$2:$F$23,MATCH(LEFT($B53,FIND("_",$B53)-1),WP!$E$2:$E$23,0),2))),INDEX(WP!$A$2:$F$23,MATCH(Results!$B53,WP!$E$2:$E$23,0),2)),5),(IFERROR(IF(FIND("_",$B53)&gt;0,INDEX(WP!$A$2:$F$23,MATCH(LEFT($B53,FIND("_",$B53)-1),WP!$E$2:$E$23,0),2),IF(FIND("-",$B53)&gt;0,INDEX(WP!$A$2:$F$23,MATCH(LEFT($B53,FIND("_",$B53)-1),WP!$E$2:$E$23,0),2))),INDEX(WP!$A$2:$F$23,MATCH(Results!$B53,WP!$E$2:$E$23,0),2))))&amp;"-"&amp;$I53),"")</f>
        <v/>
      </c>
      <c r="G53" s="17" t="str">
        <f>IF(LEN(_xlfn.IFNA(IF(IFERROR(IF(FIND("_",$B53)&gt;0,MID($B53,FIND("_",$B53)+1,LEN($B53)),IF(FIND("-",$B53)&gt;0,MID($B53,FIND("-",$B53)+1,LEN($B53)))),"")="",IFERROR(VLOOKUP($F53,WP!$B$2:$C$23,2,0),VLOOKUP($C53,Series!$A$3:$F$11,6,0)),IFERROR(VLOOKUP($F53,WP!$B$2:$C$23,2,0),VLOOKUP($C53,Series!$A$3:$F$11,6,0))&amp;" - "&amp;(IFERROR(IF(FIND("_",$B53)&gt;0,MID($B53,FIND("_",$B53)+1,LEN($B53)),IF(FIND("-",$B53)&gt;0,MID($B53,FIND("-",$B53)+1,LEN($B53)))),""))),""))&lt;64,_xlfn.IFNA(IF(IFERROR(IF(FIND("_",$B53)&gt;0,MID($B53,FIND("_",$B53)+1,LEN($B53)),IF(FIND("-",$B53)&gt;0,MID($B53,FIND("-",$B53)+1,LEN($B53)))),"")="",IFERROR(VLOOKUP($F53,WP!$B$2:$C$23,2,0),VLOOKUP($C53,Series!$A$3:$F$11,6,0)),IFERROR(VLOOKUP($F53,WP!$B$2:$C$23,2,0),VLOOKUP($C53,Series!$A$3:$F$11,6,0))&amp;" - "&amp;(IFERROR(IF(FIND("_",$B53)&gt;0,MID($B53,FIND("_",$B53)+1,LEN($B53)),IF(FIND("-",$B53)&gt;0,MID($B53,FIND("-",$B53)+1,LEN($B53)))),""))),""),LEFT((_xlfn.IFNA(IF(IFERROR(IF(FIND("_",$B53)&gt;0,MID($B53,FIND("_",$B53)+1,LEN($B53)),IF(FIND("-",$B53)&gt;0,MID($B53,FIND("-",$B53)+1,LEN($B53)))),"")="",IFERROR(VLOOKUP($F53,WP!$B$2:$C$23,2,0),VLOOKUP($C53,Series!$A$3:$F$11,6,0)),IFERROR(VLOOKUP($F53,WP!$B$2:$C$23,2,0),VLOOKUP($C53,Series!$A$3:$F$11,6,0))&amp;" - "&amp;(IFERROR(IF(FIND("_",$B53)&gt;0,MID($B53,FIND("_",$B53)+1,LEN($B53)),IF(FIND("-",$B53)&gt;0,MID($B53,FIND("-",$B53)+1,LEN($B53)))),""))),"")),64))</f>
        <v/>
      </c>
      <c r="H53" s="12"/>
      <c r="I53" s="12" t="str">
        <f>IF($D53&lt;&gt;"",COUNTIF($D$7:$D53,"="&amp;$D53),"")</f>
        <v/>
      </c>
      <c r="J53"/>
      <c r="K53" s="8"/>
      <c r="L53"/>
    </row>
    <row r="54" spans="1:12" x14ac:dyDescent="0.3">
      <c r="A54" s="1"/>
      <c r="B54" s="26"/>
      <c r="C54" s="12" t="str">
        <f>_xlfn.IFNA(IFERROR(IF(FIND("_",$B54)&gt;0,INDEX(WP!$A$2:$F$23,MATCH(LEFT($B54,FIND("_",$B54)-1),WP!$E$2:$E$23,0),1),IF(FIND("-",$B54)&gt;0,INDEX(WP!$A$2:$F$23,MATCH(LEFT($B54,FIND("_",$B54)-1),WP!$E$2:$E$23,0),1))),INDEX(WP!$A$2:$F$23,MATCH(Results!$B54,WP!$E$2:$E$23,0),1)),"")</f>
        <v/>
      </c>
      <c r="D54" s="12" t="str">
        <f>IFERROR(IFERROR(IF(RIGHT(INDEX(WP!$A$2:$F$23,MATCH(IF(FIND("_",$B54)&gt;0,LEFT($B54,FIND("_",$B54)-1)),WP!$E$2:$E$23,0),2),6)="Series",LEFT(INDEX(WP!$A$2:$F$23,MATCH(IF(FIND("_",$B54)&gt;0,LEFT($B54,FIND("_",$B54)-1)),WP!$E$2:$E$23,0),2),5),""),IF(RIGHT(INDEX(WP!$A$2:$F$23,MATCH($B54,WP!$E$2:$E$23,0),2),6)="Series",LEFT(INDEX(WP!$A$2:$F$23,MATCH($B54,WP!$E$2:$E$23,0),2),5),"")),"")</f>
        <v/>
      </c>
      <c r="E54" s="17" t="str">
        <f>IFERROR(VLOOKUP(VALUE($D54),Series!$B$3:$F$11,2,0),"")</f>
        <v/>
      </c>
      <c r="F54" s="12" t="str">
        <f>_xlfn.IFNA(IF(IF($D54&lt;&gt;"",COUNTIF($E:$E,"="&amp;$D54),"")="",IF(RIGHT(IFERROR(IF(FIND("_",$B54)&gt;0,INDEX(WP!$A$2:$F$23,MATCH(LEFT($B54,FIND("_",$B54)-1),WP!$E$2:$E$23,0),2),IF(FIND("-",$B54)&gt;0,INDEX(WP!$A$2:$F$23,MATCH(LEFT($B54,FIND("_",$B54)-1),WP!$E$2:$E$23,0),2))),INDEX(WP!$A$2:$F$23,MATCH(Results!$B54,WP!$E$2:$E$23,0),2)),6)="Series",LEFT(IFERROR(IF(FIND("_",$B54)&gt;0,INDEX(WP!$A$2:$F$23,MATCH(LEFT($B54,FIND("_",$B54)-1),WP!$E$2:$E$23,0),2),IF(FIND("-",$B54)&gt;0,INDEX(WP!$A$2:$F$23,MATCH(LEFT($B54,FIND("_",$B54)-1),WP!$E$2:$E$23,0),2))),INDEX(WP!$A$2:$F$23,MATCH(Results!$B54,WP!$E$2:$E$23,0),2)),5),(IFERROR(IF(FIND("_",$B54)&gt;0,INDEX(WP!$A$2:$F$23,MATCH(LEFT($B54,FIND("_",$B54)-1),WP!$E$2:$E$23,0),2),IF(FIND("-",$B54)&gt;0,INDEX(WP!$A$2:$F$23,MATCH(LEFT($B54,FIND("_",$B54)-1),WP!$E$2:$E$23,0),2))),INDEX(WP!$A$2:$F$23,MATCH(Results!$B54,WP!$E$2:$E$23,0),2)))),IF(RIGHT(IFERROR(IF(FIND("_",$B54)&gt;0,INDEX(WP!$A$2:$F$23,MATCH(LEFT($B54,FIND("_",$B54)-1),WP!$E$2:$E$23,0),2),IF(FIND("-",$B54)&gt;0,INDEX(WP!$A$2:$F$23,MATCH(LEFT($B54,FIND("_",$B54)-1),WP!$E$2:$E$23,0),2))),INDEX(WP!$A$2:$F$23,MATCH(Results!$B54,WP!$E$2:$E$23,0),2)),6)="Series",LEFT(IFERROR(IF(FIND("_",$B54)&gt;0,INDEX(WP!$A$2:$F$23,MATCH(LEFT($B54,FIND("_",$B54)-1),WP!$E$2:$E$23,0),2),IF(FIND("-",$B54)&gt;0,INDEX(WP!$A$2:$F$23,MATCH(LEFT($B54,FIND("_",$B54)-1),WP!$E$2:$E$23,0),2))),INDEX(WP!$A$2:$F$23,MATCH(Results!$B54,WP!$E$2:$E$23,0),2)),5),(IFERROR(IF(FIND("_",$B54)&gt;0,INDEX(WP!$A$2:$F$23,MATCH(LEFT($B54,FIND("_",$B54)-1),WP!$E$2:$E$23,0),2),IF(FIND("-",$B54)&gt;0,INDEX(WP!$A$2:$F$23,MATCH(LEFT($B54,FIND("_",$B54)-1),WP!$E$2:$E$23,0),2))),INDEX(WP!$A$2:$F$23,MATCH(Results!$B54,WP!$E$2:$E$23,0),2))))&amp;"-"&amp;$I54),"")</f>
        <v/>
      </c>
      <c r="G54" s="17" t="str">
        <f>IF(LEN(_xlfn.IFNA(IF(IFERROR(IF(FIND("_",$B54)&gt;0,MID($B54,FIND("_",$B54)+1,LEN($B54)),IF(FIND("-",$B54)&gt;0,MID($B54,FIND("-",$B54)+1,LEN($B54)))),"")="",IFERROR(VLOOKUP($F54,WP!$B$2:$C$23,2,0),VLOOKUP($C54,Series!$A$3:$F$11,6,0)),IFERROR(VLOOKUP($F54,WP!$B$2:$C$23,2,0),VLOOKUP($C54,Series!$A$3:$F$11,6,0))&amp;" - "&amp;(IFERROR(IF(FIND("_",$B54)&gt;0,MID($B54,FIND("_",$B54)+1,LEN($B54)),IF(FIND("-",$B54)&gt;0,MID($B54,FIND("-",$B54)+1,LEN($B54)))),""))),""))&lt;64,_xlfn.IFNA(IF(IFERROR(IF(FIND("_",$B54)&gt;0,MID($B54,FIND("_",$B54)+1,LEN($B54)),IF(FIND("-",$B54)&gt;0,MID($B54,FIND("-",$B54)+1,LEN($B54)))),"")="",IFERROR(VLOOKUP($F54,WP!$B$2:$C$23,2,0),VLOOKUP($C54,Series!$A$3:$F$11,6,0)),IFERROR(VLOOKUP($F54,WP!$B$2:$C$23,2,0),VLOOKUP($C54,Series!$A$3:$F$11,6,0))&amp;" - "&amp;(IFERROR(IF(FIND("_",$B54)&gt;0,MID($B54,FIND("_",$B54)+1,LEN($B54)),IF(FIND("-",$B54)&gt;0,MID($B54,FIND("-",$B54)+1,LEN($B54)))),""))),""),LEFT((_xlfn.IFNA(IF(IFERROR(IF(FIND("_",$B54)&gt;0,MID($B54,FIND("_",$B54)+1,LEN($B54)),IF(FIND("-",$B54)&gt;0,MID($B54,FIND("-",$B54)+1,LEN($B54)))),"")="",IFERROR(VLOOKUP($F54,WP!$B$2:$C$23,2,0),VLOOKUP($C54,Series!$A$3:$F$11,6,0)),IFERROR(VLOOKUP($F54,WP!$B$2:$C$23,2,0),VLOOKUP($C54,Series!$A$3:$F$11,6,0))&amp;" - "&amp;(IFERROR(IF(FIND("_",$B54)&gt;0,MID($B54,FIND("_",$B54)+1,LEN($B54)),IF(FIND("-",$B54)&gt;0,MID($B54,FIND("-",$B54)+1,LEN($B54)))),""))),"")),64))</f>
        <v/>
      </c>
      <c r="H54" s="12"/>
      <c r="I54" s="12" t="str">
        <f>IF($D54&lt;&gt;"",COUNTIF($D$7:$D54,"="&amp;$D54),"")</f>
        <v/>
      </c>
      <c r="J54"/>
      <c r="K54" s="8"/>
      <c r="L54"/>
    </row>
    <row r="55" spans="1:12" x14ac:dyDescent="0.3">
      <c r="A55" s="1"/>
      <c r="B55" s="26"/>
      <c r="C55" s="12" t="str">
        <f>_xlfn.IFNA(IFERROR(IF(FIND("_",$B55)&gt;0,INDEX(WP!$A$2:$F$23,MATCH(LEFT($B55,FIND("_",$B55)-1),WP!$E$2:$E$23,0),1),IF(FIND("-",$B55)&gt;0,INDEX(WP!$A$2:$F$23,MATCH(LEFT($B55,FIND("_",$B55)-1),WP!$E$2:$E$23,0),1))),INDEX(WP!$A$2:$F$23,MATCH(Results!$B55,WP!$E$2:$E$23,0),1)),"")</f>
        <v/>
      </c>
      <c r="D55" s="12" t="str">
        <f>IFERROR(IFERROR(IF(RIGHT(INDEX(WP!$A$2:$F$23,MATCH(IF(FIND("_",$B55)&gt;0,LEFT($B55,FIND("_",$B55)-1)),WP!$E$2:$E$23,0),2),6)="Series",LEFT(INDEX(WP!$A$2:$F$23,MATCH(IF(FIND("_",$B55)&gt;0,LEFT($B55,FIND("_",$B55)-1)),WP!$E$2:$E$23,0),2),5),""),IF(RIGHT(INDEX(WP!$A$2:$F$23,MATCH($B55,WP!$E$2:$E$23,0),2),6)="Series",LEFT(INDEX(WP!$A$2:$F$23,MATCH($B55,WP!$E$2:$E$23,0),2),5),"")),"")</f>
        <v/>
      </c>
      <c r="E55" s="17" t="str">
        <f>IFERROR(VLOOKUP(VALUE($D55),Series!$B$3:$F$11,2,0),"")</f>
        <v/>
      </c>
      <c r="F55" s="12" t="str">
        <f>_xlfn.IFNA(IF(IF($D55&lt;&gt;"",COUNTIF($E:$E,"="&amp;$D55),"")="",IF(RIGHT(IFERROR(IF(FIND("_",$B55)&gt;0,INDEX(WP!$A$2:$F$23,MATCH(LEFT($B55,FIND("_",$B55)-1),WP!$E$2:$E$23,0),2),IF(FIND("-",$B55)&gt;0,INDEX(WP!$A$2:$F$23,MATCH(LEFT($B55,FIND("_",$B55)-1),WP!$E$2:$E$23,0),2))),INDEX(WP!$A$2:$F$23,MATCH(Results!$B55,WP!$E$2:$E$23,0),2)),6)="Series",LEFT(IFERROR(IF(FIND("_",$B55)&gt;0,INDEX(WP!$A$2:$F$23,MATCH(LEFT($B55,FIND("_",$B55)-1),WP!$E$2:$E$23,0),2),IF(FIND("-",$B55)&gt;0,INDEX(WP!$A$2:$F$23,MATCH(LEFT($B55,FIND("_",$B55)-1),WP!$E$2:$E$23,0),2))),INDEX(WP!$A$2:$F$23,MATCH(Results!$B55,WP!$E$2:$E$23,0),2)),5),(IFERROR(IF(FIND("_",$B55)&gt;0,INDEX(WP!$A$2:$F$23,MATCH(LEFT($B55,FIND("_",$B55)-1),WP!$E$2:$E$23,0),2),IF(FIND("-",$B55)&gt;0,INDEX(WP!$A$2:$F$23,MATCH(LEFT($B55,FIND("_",$B55)-1),WP!$E$2:$E$23,0),2))),INDEX(WP!$A$2:$F$23,MATCH(Results!$B55,WP!$E$2:$E$23,0),2)))),IF(RIGHT(IFERROR(IF(FIND("_",$B55)&gt;0,INDEX(WP!$A$2:$F$23,MATCH(LEFT($B55,FIND("_",$B55)-1),WP!$E$2:$E$23,0),2),IF(FIND("-",$B55)&gt;0,INDEX(WP!$A$2:$F$23,MATCH(LEFT($B55,FIND("_",$B55)-1),WP!$E$2:$E$23,0),2))),INDEX(WP!$A$2:$F$23,MATCH(Results!$B55,WP!$E$2:$E$23,0),2)),6)="Series",LEFT(IFERROR(IF(FIND("_",$B55)&gt;0,INDEX(WP!$A$2:$F$23,MATCH(LEFT($B55,FIND("_",$B55)-1),WP!$E$2:$E$23,0),2),IF(FIND("-",$B55)&gt;0,INDEX(WP!$A$2:$F$23,MATCH(LEFT($B55,FIND("_",$B55)-1),WP!$E$2:$E$23,0),2))),INDEX(WP!$A$2:$F$23,MATCH(Results!$B55,WP!$E$2:$E$23,0),2)),5),(IFERROR(IF(FIND("_",$B55)&gt;0,INDEX(WP!$A$2:$F$23,MATCH(LEFT($B55,FIND("_",$B55)-1),WP!$E$2:$E$23,0),2),IF(FIND("-",$B55)&gt;0,INDEX(WP!$A$2:$F$23,MATCH(LEFT($B55,FIND("_",$B55)-1),WP!$E$2:$E$23,0),2))),INDEX(WP!$A$2:$F$23,MATCH(Results!$B55,WP!$E$2:$E$23,0),2))))&amp;"-"&amp;$I55),"")</f>
        <v/>
      </c>
      <c r="G55" s="17" t="str">
        <f>IF(LEN(_xlfn.IFNA(IF(IFERROR(IF(FIND("_",$B55)&gt;0,MID($B55,FIND("_",$B55)+1,LEN($B55)),IF(FIND("-",$B55)&gt;0,MID($B55,FIND("-",$B55)+1,LEN($B55)))),"")="",IFERROR(VLOOKUP($F55,WP!$B$2:$C$23,2,0),VLOOKUP($C55,Series!$A$3:$F$11,6,0)),IFERROR(VLOOKUP($F55,WP!$B$2:$C$23,2,0),VLOOKUP($C55,Series!$A$3:$F$11,6,0))&amp;" - "&amp;(IFERROR(IF(FIND("_",$B55)&gt;0,MID($B55,FIND("_",$B55)+1,LEN($B55)),IF(FIND("-",$B55)&gt;0,MID($B55,FIND("-",$B55)+1,LEN($B55)))),""))),""))&lt;64,_xlfn.IFNA(IF(IFERROR(IF(FIND("_",$B55)&gt;0,MID($B55,FIND("_",$B55)+1,LEN($B55)),IF(FIND("-",$B55)&gt;0,MID($B55,FIND("-",$B55)+1,LEN($B55)))),"")="",IFERROR(VLOOKUP($F55,WP!$B$2:$C$23,2,0),VLOOKUP($C55,Series!$A$3:$F$11,6,0)),IFERROR(VLOOKUP($F55,WP!$B$2:$C$23,2,0),VLOOKUP($C55,Series!$A$3:$F$11,6,0))&amp;" - "&amp;(IFERROR(IF(FIND("_",$B55)&gt;0,MID($B55,FIND("_",$B55)+1,LEN($B55)),IF(FIND("-",$B55)&gt;0,MID($B55,FIND("-",$B55)+1,LEN($B55)))),""))),""),LEFT((_xlfn.IFNA(IF(IFERROR(IF(FIND("_",$B55)&gt;0,MID($B55,FIND("_",$B55)+1,LEN($B55)),IF(FIND("-",$B55)&gt;0,MID($B55,FIND("-",$B55)+1,LEN($B55)))),"")="",IFERROR(VLOOKUP($F55,WP!$B$2:$C$23,2,0),VLOOKUP($C55,Series!$A$3:$F$11,6,0)),IFERROR(VLOOKUP($F55,WP!$B$2:$C$23,2,0),VLOOKUP($C55,Series!$A$3:$F$11,6,0))&amp;" - "&amp;(IFERROR(IF(FIND("_",$B55)&gt;0,MID($B55,FIND("_",$B55)+1,LEN($B55)),IF(FIND("-",$B55)&gt;0,MID($B55,FIND("-",$B55)+1,LEN($B55)))),""))),"")),64))</f>
        <v/>
      </c>
      <c r="H55" s="12"/>
      <c r="I55" s="12" t="str">
        <f>IF($D55&lt;&gt;"",COUNTIF($D$7:$D55,"="&amp;$D55),"")</f>
        <v/>
      </c>
      <c r="J55"/>
      <c r="K55" s="8"/>
      <c r="L55"/>
    </row>
    <row r="56" spans="1:12" x14ac:dyDescent="0.3">
      <c r="A56" s="1"/>
      <c r="B56" s="26"/>
      <c r="C56" s="12" t="str">
        <f>_xlfn.IFNA(IFERROR(IF(FIND("_",$B56)&gt;0,INDEX(WP!$A$2:$F$23,MATCH(LEFT($B56,FIND("_",$B56)-1),WP!$E$2:$E$23,0),1),IF(FIND("-",$B56)&gt;0,INDEX(WP!$A$2:$F$23,MATCH(LEFT($B56,FIND("_",$B56)-1),WP!$E$2:$E$23,0),1))),INDEX(WP!$A$2:$F$23,MATCH(Results!$B56,WP!$E$2:$E$23,0),1)),"")</f>
        <v/>
      </c>
      <c r="D56" s="12" t="str">
        <f>IFERROR(IFERROR(IF(RIGHT(INDEX(WP!$A$2:$F$23,MATCH(IF(FIND("_",$B56)&gt;0,LEFT($B56,FIND("_",$B56)-1)),WP!$E$2:$E$23,0),2),6)="Series",LEFT(INDEX(WP!$A$2:$F$23,MATCH(IF(FIND("_",$B56)&gt;0,LEFT($B56,FIND("_",$B56)-1)),WP!$E$2:$E$23,0),2),5),""),IF(RIGHT(INDEX(WP!$A$2:$F$23,MATCH($B56,WP!$E$2:$E$23,0),2),6)="Series",LEFT(INDEX(WP!$A$2:$F$23,MATCH($B56,WP!$E$2:$E$23,0),2),5),"")),"")</f>
        <v/>
      </c>
      <c r="E56" s="17" t="str">
        <f>IFERROR(VLOOKUP(VALUE($D56),Series!$B$3:$F$11,2,0),"")</f>
        <v/>
      </c>
      <c r="F56" s="12" t="str">
        <f>_xlfn.IFNA(IF(IF($D56&lt;&gt;"",COUNTIF($E:$E,"="&amp;$D56),"")="",IF(RIGHT(IFERROR(IF(FIND("_",$B56)&gt;0,INDEX(WP!$A$2:$F$23,MATCH(LEFT($B56,FIND("_",$B56)-1),WP!$E$2:$E$23,0),2),IF(FIND("-",$B56)&gt;0,INDEX(WP!$A$2:$F$23,MATCH(LEFT($B56,FIND("_",$B56)-1),WP!$E$2:$E$23,0),2))),INDEX(WP!$A$2:$F$23,MATCH(Results!$B56,WP!$E$2:$E$23,0),2)),6)="Series",LEFT(IFERROR(IF(FIND("_",$B56)&gt;0,INDEX(WP!$A$2:$F$23,MATCH(LEFT($B56,FIND("_",$B56)-1),WP!$E$2:$E$23,0),2),IF(FIND("-",$B56)&gt;0,INDEX(WP!$A$2:$F$23,MATCH(LEFT($B56,FIND("_",$B56)-1),WP!$E$2:$E$23,0),2))),INDEX(WP!$A$2:$F$23,MATCH(Results!$B56,WP!$E$2:$E$23,0),2)),5),(IFERROR(IF(FIND("_",$B56)&gt;0,INDEX(WP!$A$2:$F$23,MATCH(LEFT($B56,FIND("_",$B56)-1),WP!$E$2:$E$23,0),2),IF(FIND("-",$B56)&gt;0,INDEX(WP!$A$2:$F$23,MATCH(LEFT($B56,FIND("_",$B56)-1),WP!$E$2:$E$23,0),2))),INDEX(WP!$A$2:$F$23,MATCH(Results!$B56,WP!$E$2:$E$23,0),2)))),IF(RIGHT(IFERROR(IF(FIND("_",$B56)&gt;0,INDEX(WP!$A$2:$F$23,MATCH(LEFT($B56,FIND("_",$B56)-1),WP!$E$2:$E$23,0),2),IF(FIND("-",$B56)&gt;0,INDEX(WP!$A$2:$F$23,MATCH(LEFT($B56,FIND("_",$B56)-1),WP!$E$2:$E$23,0),2))),INDEX(WP!$A$2:$F$23,MATCH(Results!$B56,WP!$E$2:$E$23,0),2)),6)="Series",LEFT(IFERROR(IF(FIND("_",$B56)&gt;0,INDEX(WP!$A$2:$F$23,MATCH(LEFT($B56,FIND("_",$B56)-1),WP!$E$2:$E$23,0),2),IF(FIND("-",$B56)&gt;0,INDEX(WP!$A$2:$F$23,MATCH(LEFT($B56,FIND("_",$B56)-1),WP!$E$2:$E$23,0),2))),INDEX(WP!$A$2:$F$23,MATCH(Results!$B56,WP!$E$2:$E$23,0),2)),5),(IFERROR(IF(FIND("_",$B56)&gt;0,INDEX(WP!$A$2:$F$23,MATCH(LEFT($B56,FIND("_",$B56)-1),WP!$E$2:$E$23,0),2),IF(FIND("-",$B56)&gt;0,INDEX(WP!$A$2:$F$23,MATCH(LEFT($B56,FIND("_",$B56)-1),WP!$E$2:$E$23,0),2))),INDEX(WP!$A$2:$F$23,MATCH(Results!$B56,WP!$E$2:$E$23,0),2))))&amp;"-"&amp;$I56),"")</f>
        <v/>
      </c>
      <c r="G56" s="17" t="str">
        <f>IF(LEN(_xlfn.IFNA(IF(IFERROR(IF(FIND("_",$B56)&gt;0,MID($B56,FIND("_",$B56)+1,LEN($B56)),IF(FIND("-",$B56)&gt;0,MID($B56,FIND("-",$B56)+1,LEN($B56)))),"")="",IFERROR(VLOOKUP($F56,WP!$B$2:$C$23,2,0),VLOOKUP($C56,Series!$A$3:$F$11,6,0)),IFERROR(VLOOKUP($F56,WP!$B$2:$C$23,2,0),VLOOKUP($C56,Series!$A$3:$F$11,6,0))&amp;" - "&amp;(IFERROR(IF(FIND("_",$B56)&gt;0,MID($B56,FIND("_",$B56)+1,LEN($B56)),IF(FIND("-",$B56)&gt;0,MID($B56,FIND("-",$B56)+1,LEN($B56)))),""))),""))&lt;64,_xlfn.IFNA(IF(IFERROR(IF(FIND("_",$B56)&gt;0,MID($B56,FIND("_",$B56)+1,LEN($B56)),IF(FIND("-",$B56)&gt;0,MID($B56,FIND("-",$B56)+1,LEN($B56)))),"")="",IFERROR(VLOOKUP($F56,WP!$B$2:$C$23,2,0),VLOOKUP($C56,Series!$A$3:$F$11,6,0)),IFERROR(VLOOKUP($F56,WP!$B$2:$C$23,2,0),VLOOKUP($C56,Series!$A$3:$F$11,6,0))&amp;" - "&amp;(IFERROR(IF(FIND("_",$B56)&gt;0,MID($B56,FIND("_",$B56)+1,LEN($B56)),IF(FIND("-",$B56)&gt;0,MID($B56,FIND("-",$B56)+1,LEN($B56)))),""))),""),LEFT((_xlfn.IFNA(IF(IFERROR(IF(FIND("_",$B56)&gt;0,MID($B56,FIND("_",$B56)+1,LEN($B56)),IF(FIND("-",$B56)&gt;0,MID($B56,FIND("-",$B56)+1,LEN($B56)))),"")="",IFERROR(VLOOKUP($F56,WP!$B$2:$C$23,2,0),VLOOKUP($C56,Series!$A$3:$F$11,6,0)),IFERROR(VLOOKUP($F56,WP!$B$2:$C$23,2,0),VLOOKUP($C56,Series!$A$3:$F$11,6,0))&amp;" - "&amp;(IFERROR(IF(FIND("_",$B56)&gt;0,MID($B56,FIND("_",$B56)+1,LEN($B56)),IF(FIND("-",$B56)&gt;0,MID($B56,FIND("-",$B56)+1,LEN($B56)))),""))),"")),64))</f>
        <v/>
      </c>
      <c r="H56" s="12"/>
      <c r="I56" s="12" t="str">
        <f>IF($D56&lt;&gt;"",COUNTIF($D$7:$D56,"="&amp;$D56),"")</f>
        <v/>
      </c>
      <c r="J56"/>
      <c r="K56" s="8"/>
      <c r="L56"/>
    </row>
    <row r="57" spans="1:12" x14ac:dyDescent="0.3">
      <c r="A57" s="1"/>
      <c r="B57" s="26"/>
      <c r="C57" s="12" t="str">
        <f>_xlfn.IFNA(IFERROR(IF(FIND("_",$B57)&gt;0,INDEX(WP!$A$2:$F$23,MATCH(LEFT($B57,FIND("_",$B57)-1),WP!$E$2:$E$23,0),1),IF(FIND("-",$B57)&gt;0,INDEX(WP!$A$2:$F$23,MATCH(LEFT($B57,FIND("_",$B57)-1),WP!$E$2:$E$23,0),1))),INDEX(WP!$A$2:$F$23,MATCH(Results!$B57,WP!$E$2:$E$23,0),1)),"")</f>
        <v/>
      </c>
      <c r="D57" s="12" t="str">
        <f>IFERROR(IFERROR(IF(RIGHT(INDEX(WP!$A$2:$F$23,MATCH(IF(FIND("_",$B57)&gt;0,LEFT($B57,FIND("_",$B57)-1)),WP!$E$2:$E$23,0),2),6)="Series",LEFT(INDEX(WP!$A$2:$F$23,MATCH(IF(FIND("_",$B57)&gt;0,LEFT($B57,FIND("_",$B57)-1)),WP!$E$2:$E$23,0),2),5),""),IF(RIGHT(INDEX(WP!$A$2:$F$23,MATCH($B57,WP!$E$2:$E$23,0),2),6)="Series",LEFT(INDEX(WP!$A$2:$F$23,MATCH($B57,WP!$E$2:$E$23,0),2),5),"")),"")</f>
        <v/>
      </c>
      <c r="E57" s="17" t="str">
        <f>IFERROR(VLOOKUP(VALUE($D57),Series!$B$3:$F$11,2,0),"")</f>
        <v/>
      </c>
      <c r="F57" s="12" t="str">
        <f>_xlfn.IFNA(IF(IF($D57&lt;&gt;"",COUNTIF($E:$E,"="&amp;$D57),"")="",IF(RIGHT(IFERROR(IF(FIND("_",$B57)&gt;0,INDEX(WP!$A$2:$F$23,MATCH(LEFT($B57,FIND("_",$B57)-1),WP!$E$2:$E$23,0),2),IF(FIND("-",$B57)&gt;0,INDEX(WP!$A$2:$F$23,MATCH(LEFT($B57,FIND("_",$B57)-1),WP!$E$2:$E$23,0),2))),INDEX(WP!$A$2:$F$23,MATCH(Results!$B57,WP!$E$2:$E$23,0),2)),6)="Series",LEFT(IFERROR(IF(FIND("_",$B57)&gt;0,INDEX(WP!$A$2:$F$23,MATCH(LEFT($B57,FIND("_",$B57)-1),WP!$E$2:$E$23,0),2),IF(FIND("-",$B57)&gt;0,INDEX(WP!$A$2:$F$23,MATCH(LEFT($B57,FIND("_",$B57)-1),WP!$E$2:$E$23,0),2))),INDEX(WP!$A$2:$F$23,MATCH(Results!$B57,WP!$E$2:$E$23,0),2)),5),(IFERROR(IF(FIND("_",$B57)&gt;0,INDEX(WP!$A$2:$F$23,MATCH(LEFT($B57,FIND("_",$B57)-1),WP!$E$2:$E$23,0),2),IF(FIND("-",$B57)&gt;0,INDEX(WP!$A$2:$F$23,MATCH(LEFT($B57,FIND("_",$B57)-1),WP!$E$2:$E$23,0),2))),INDEX(WP!$A$2:$F$23,MATCH(Results!$B57,WP!$E$2:$E$23,0),2)))),IF(RIGHT(IFERROR(IF(FIND("_",$B57)&gt;0,INDEX(WP!$A$2:$F$23,MATCH(LEFT($B57,FIND("_",$B57)-1),WP!$E$2:$E$23,0),2),IF(FIND("-",$B57)&gt;0,INDEX(WP!$A$2:$F$23,MATCH(LEFT($B57,FIND("_",$B57)-1),WP!$E$2:$E$23,0),2))),INDEX(WP!$A$2:$F$23,MATCH(Results!$B57,WP!$E$2:$E$23,0),2)),6)="Series",LEFT(IFERROR(IF(FIND("_",$B57)&gt;0,INDEX(WP!$A$2:$F$23,MATCH(LEFT($B57,FIND("_",$B57)-1),WP!$E$2:$E$23,0),2),IF(FIND("-",$B57)&gt;0,INDEX(WP!$A$2:$F$23,MATCH(LEFT($B57,FIND("_",$B57)-1),WP!$E$2:$E$23,0),2))),INDEX(WP!$A$2:$F$23,MATCH(Results!$B57,WP!$E$2:$E$23,0),2)),5),(IFERROR(IF(FIND("_",$B57)&gt;0,INDEX(WP!$A$2:$F$23,MATCH(LEFT($B57,FIND("_",$B57)-1),WP!$E$2:$E$23,0),2),IF(FIND("-",$B57)&gt;0,INDEX(WP!$A$2:$F$23,MATCH(LEFT($B57,FIND("_",$B57)-1),WP!$E$2:$E$23,0),2))),INDEX(WP!$A$2:$F$23,MATCH(Results!$B57,WP!$E$2:$E$23,0),2))))&amp;"-"&amp;$I57),"")</f>
        <v/>
      </c>
      <c r="G57" s="17" t="str">
        <f>IF(LEN(_xlfn.IFNA(IF(IFERROR(IF(FIND("_",$B57)&gt;0,MID($B57,FIND("_",$B57)+1,LEN($B57)),IF(FIND("-",$B57)&gt;0,MID($B57,FIND("-",$B57)+1,LEN($B57)))),"")="",IFERROR(VLOOKUP($F57,WP!$B$2:$C$23,2,0),VLOOKUP($C57,Series!$A$3:$F$11,6,0)),IFERROR(VLOOKUP($F57,WP!$B$2:$C$23,2,0),VLOOKUP($C57,Series!$A$3:$F$11,6,0))&amp;" - "&amp;(IFERROR(IF(FIND("_",$B57)&gt;0,MID($B57,FIND("_",$B57)+1,LEN($B57)),IF(FIND("-",$B57)&gt;0,MID($B57,FIND("-",$B57)+1,LEN($B57)))),""))),""))&lt;64,_xlfn.IFNA(IF(IFERROR(IF(FIND("_",$B57)&gt;0,MID($B57,FIND("_",$B57)+1,LEN($B57)),IF(FIND("-",$B57)&gt;0,MID($B57,FIND("-",$B57)+1,LEN($B57)))),"")="",IFERROR(VLOOKUP($F57,WP!$B$2:$C$23,2,0),VLOOKUP($C57,Series!$A$3:$F$11,6,0)),IFERROR(VLOOKUP($F57,WP!$B$2:$C$23,2,0),VLOOKUP($C57,Series!$A$3:$F$11,6,0))&amp;" - "&amp;(IFERROR(IF(FIND("_",$B57)&gt;0,MID($B57,FIND("_",$B57)+1,LEN($B57)),IF(FIND("-",$B57)&gt;0,MID($B57,FIND("-",$B57)+1,LEN($B57)))),""))),""),LEFT((_xlfn.IFNA(IF(IFERROR(IF(FIND("_",$B57)&gt;0,MID($B57,FIND("_",$B57)+1,LEN($B57)),IF(FIND("-",$B57)&gt;0,MID($B57,FIND("-",$B57)+1,LEN($B57)))),"")="",IFERROR(VLOOKUP($F57,WP!$B$2:$C$23,2,0),VLOOKUP($C57,Series!$A$3:$F$11,6,0)),IFERROR(VLOOKUP($F57,WP!$B$2:$C$23,2,0),VLOOKUP($C57,Series!$A$3:$F$11,6,0))&amp;" - "&amp;(IFERROR(IF(FIND("_",$B57)&gt;0,MID($B57,FIND("_",$B57)+1,LEN($B57)),IF(FIND("-",$B57)&gt;0,MID($B57,FIND("-",$B57)+1,LEN($B57)))),""))),"")),64))</f>
        <v/>
      </c>
      <c r="H57" s="12"/>
      <c r="I57" s="12" t="str">
        <f>IF($D57&lt;&gt;"",COUNTIF($D$7:$D57,"="&amp;$D57),"")</f>
        <v/>
      </c>
      <c r="J57"/>
      <c r="K57" s="8"/>
      <c r="L57"/>
    </row>
    <row r="58" spans="1:12" x14ac:dyDescent="0.3">
      <c r="A58" s="1"/>
      <c r="B58" s="26"/>
      <c r="C58" s="12" t="str">
        <f>_xlfn.IFNA(IFERROR(IF(FIND("_",$B58)&gt;0,INDEX(WP!$A$2:$F$23,MATCH(LEFT($B58,FIND("_",$B58)-1),WP!$E$2:$E$23,0),1),IF(FIND("-",$B58)&gt;0,INDEX(WP!$A$2:$F$23,MATCH(LEFT($B58,FIND("_",$B58)-1),WP!$E$2:$E$23,0),1))),INDEX(WP!$A$2:$F$23,MATCH(Results!$B58,WP!$E$2:$E$23,0),1)),"")</f>
        <v/>
      </c>
      <c r="D58" s="12" t="str">
        <f>IFERROR(IFERROR(IF(RIGHT(INDEX(WP!$A$2:$F$23,MATCH(IF(FIND("_",$B58)&gt;0,LEFT($B58,FIND("_",$B58)-1)),WP!$E$2:$E$23,0),2),6)="Series",LEFT(INDEX(WP!$A$2:$F$23,MATCH(IF(FIND("_",$B58)&gt;0,LEFT($B58,FIND("_",$B58)-1)),WP!$E$2:$E$23,0),2),5),""),IF(RIGHT(INDEX(WP!$A$2:$F$23,MATCH($B58,WP!$E$2:$E$23,0),2),6)="Series",LEFT(INDEX(WP!$A$2:$F$23,MATCH($B58,WP!$E$2:$E$23,0),2),5),"")),"")</f>
        <v/>
      </c>
      <c r="E58" s="17" t="str">
        <f>IFERROR(VLOOKUP(VALUE($D58),Series!$B$3:$F$11,2,0),"")</f>
        <v/>
      </c>
      <c r="F58" s="12" t="str">
        <f>_xlfn.IFNA(IF(IF($D58&lt;&gt;"",COUNTIF($E:$E,"="&amp;$D58),"")="",IF(RIGHT(IFERROR(IF(FIND("_",$B58)&gt;0,INDEX(WP!$A$2:$F$23,MATCH(LEFT($B58,FIND("_",$B58)-1),WP!$E$2:$E$23,0),2),IF(FIND("-",$B58)&gt;0,INDEX(WP!$A$2:$F$23,MATCH(LEFT($B58,FIND("_",$B58)-1),WP!$E$2:$E$23,0),2))),INDEX(WP!$A$2:$F$23,MATCH(Results!$B58,WP!$E$2:$E$23,0),2)),6)="Series",LEFT(IFERROR(IF(FIND("_",$B58)&gt;0,INDEX(WP!$A$2:$F$23,MATCH(LEFT($B58,FIND("_",$B58)-1),WP!$E$2:$E$23,0),2),IF(FIND("-",$B58)&gt;0,INDEX(WP!$A$2:$F$23,MATCH(LEFT($B58,FIND("_",$B58)-1),WP!$E$2:$E$23,0),2))),INDEX(WP!$A$2:$F$23,MATCH(Results!$B58,WP!$E$2:$E$23,0),2)),5),(IFERROR(IF(FIND("_",$B58)&gt;0,INDEX(WP!$A$2:$F$23,MATCH(LEFT($B58,FIND("_",$B58)-1),WP!$E$2:$E$23,0),2),IF(FIND("-",$B58)&gt;0,INDEX(WP!$A$2:$F$23,MATCH(LEFT($B58,FIND("_",$B58)-1),WP!$E$2:$E$23,0),2))),INDEX(WP!$A$2:$F$23,MATCH(Results!$B58,WP!$E$2:$E$23,0),2)))),IF(RIGHT(IFERROR(IF(FIND("_",$B58)&gt;0,INDEX(WP!$A$2:$F$23,MATCH(LEFT($B58,FIND("_",$B58)-1),WP!$E$2:$E$23,0),2),IF(FIND("-",$B58)&gt;0,INDEX(WP!$A$2:$F$23,MATCH(LEFT($B58,FIND("_",$B58)-1),WP!$E$2:$E$23,0),2))),INDEX(WP!$A$2:$F$23,MATCH(Results!$B58,WP!$E$2:$E$23,0),2)),6)="Series",LEFT(IFERROR(IF(FIND("_",$B58)&gt;0,INDEX(WP!$A$2:$F$23,MATCH(LEFT($B58,FIND("_",$B58)-1),WP!$E$2:$E$23,0),2),IF(FIND("-",$B58)&gt;0,INDEX(WP!$A$2:$F$23,MATCH(LEFT($B58,FIND("_",$B58)-1),WP!$E$2:$E$23,0),2))),INDEX(WP!$A$2:$F$23,MATCH(Results!$B58,WP!$E$2:$E$23,0),2)),5),(IFERROR(IF(FIND("_",$B58)&gt;0,INDEX(WP!$A$2:$F$23,MATCH(LEFT($B58,FIND("_",$B58)-1),WP!$E$2:$E$23,0),2),IF(FIND("-",$B58)&gt;0,INDEX(WP!$A$2:$F$23,MATCH(LEFT($B58,FIND("_",$B58)-1),WP!$E$2:$E$23,0),2))),INDEX(WP!$A$2:$F$23,MATCH(Results!$B58,WP!$E$2:$E$23,0),2))))&amp;"-"&amp;$I58),"")</f>
        <v/>
      </c>
      <c r="G58" s="17" t="str">
        <f>IF(LEN(_xlfn.IFNA(IF(IFERROR(IF(FIND("_",$B58)&gt;0,MID($B58,FIND("_",$B58)+1,LEN($B58)),IF(FIND("-",$B58)&gt;0,MID($B58,FIND("-",$B58)+1,LEN($B58)))),"")="",IFERROR(VLOOKUP($F58,WP!$B$2:$C$23,2,0),VLOOKUP($C58,Series!$A$3:$F$11,6,0)),IFERROR(VLOOKUP($F58,WP!$B$2:$C$23,2,0),VLOOKUP($C58,Series!$A$3:$F$11,6,0))&amp;" - "&amp;(IFERROR(IF(FIND("_",$B58)&gt;0,MID($B58,FIND("_",$B58)+1,LEN($B58)),IF(FIND("-",$B58)&gt;0,MID($B58,FIND("-",$B58)+1,LEN($B58)))),""))),""))&lt;64,_xlfn.IFNA(IF(IFERROR(IF(FIND("_",$B58)&gt;0,MID($B58,FIND("_",$B58)+1,LEN($B58)),IF(FIND("-",$B58)&gt;0,MID($B58,FIND("-",$B58)+1,LEN($B58)))),"")="",IFERROR(VLOOKUP($F58,WP!$B$2:$C$23,2,0),VLOOKUP($C58,Series!$A$3:$F$11,6,0)),IFERROR(VLOOKUP($F58,WP!$B$2:$C$23,2,0),VLOOKUP($C58,Series!$A$3:$F$11,6,0))&amp;" - "&amp;(IFERROR(IF(FIND("_",$B58)&gt;0,MID($B58,FIND("_",$B58)+1,LEN($B58)),IF(FIND("-",$B58)&gt;0,MID($B58,FIND("-",$B58)+1,LEN($B58)))),""))),""),LEFT((_xlfn.IFNA(IF(IFERROR(IF(FIND("_",$B58)&gt;0,MID($B58,FIND("_",$B58)+1,LEN($B58)),IF(FIND("-",$B58)&gt;0,MID($B58,FIND("-",$B58)+1,LEN($B58)))),"")="",IFERROR(VLOOKUP($F58,WP!$B$2:$C$23,2,0),VLOOKUP($C58,Series!$A$3:$F$11,6,0)),IFERROR(VLOOKUP($F58,WP!$B$2:$C$23,2,0),VLOOKUP($C58,Series!$A$3:$F$11,6,0))&amp;" - "&amp;(IFERROR(IF(FIND("_",$B58)&gt;0,MID($B58,FIND("_",$B58)+1,LEN($B58)),IF(FIND("-",$B58)&gt;0,MID($B58,FIND("-",$B58)+1,LEN($B58)))),""))),"")),64))</f>
        <v/>
      </c>
      <c r="H58" s="12"/>
      <c r="I58" s="12" t="str">
        <f>IF($D58&lt;&gt;"",COUNTIF($D$7:$D58,"="&amp;$D58),"")</f>
        <v/>
      </c>
      <c r="J58"/>
      <c r="K58" s="8"/>
      <c r="L58"/>
    </row>
    <row r="59" spans="1:12" x14ac:dyDescent="0.3">
      <c r="A59" s="1"/>
      <c r="B59" s="26"/>
      <c r="C59" s="12" t="str">
        <f>_xlfn.IFNA(IFERROR(IF(FIND("_",$B59)&gt;0,INDEX(WP!$A$2:$F$23,MATCH(LEFT($B59,FIND("_",$B59)-1),WP!$E$2:$E$23,0),1),IF(FIND("-",$B59)&gt;0,INDEX(WP!$A$2:$F$23,MATCH(LEFT($B59,FIND("_",$B59)-1),WP!$E$2:$E$23,0),1))),INDEX(WP!$A$2:$F$23,MATCH(Results!$B59,WP!$E$2:$E$23,0),1)),"")</f>
        <v/>
      </c>
      <c r="D59" s="12" t="str">
        <f>IFERROR(IFERROR(IF(RIGHT(INDEX(WP!$A$2:$F$23,MATCH(IF(FIND("_",$B59)&gt;0,LEFT($B59,FIND("_",$B59)-1)),WP!$E$2:$E$23,0),2),6)="Series",LEFT(INDEX(WP!$A$2:$F$23,MATCH(IF(FIND("_",$B59)&gt;0,LEFT($B59,FIND("_",$B59)-1)),WP!$E$2:$E$23,0),2),5),""),IF(RIGHT(INDEX(WP!$A$2:$F$23,MATCH($B59,WP!$E$2:$E$23,0),2),6)="Series",LEFT(INDEX(WP!$A$2:$F$23,MATCH($B59,WP!$E$2:$E$23,0),2),5),"")),"")</f>
        <v/>
      </c>
      <c r="E59" s="17" t="str">
        <f>IFERROR(VLOOKUP(VALUE($D59),Series!$B$3:$F$11,2,0),"")</f>
        <v/>
      </c>
      <c r="F59" s="12" t="str">
        <f>_xlfn.IFNA(IF(IF($D59&lt;&gt;"",COUNTIF($E:$E,"="&amp;$D59),"")="",IF(RIGHT(IFERROR(IF(FIND("_",$B59)&gt;0,INDEX(WP!$A$2:$F$23,MATCH(LEFT($B59,FIND("_",$B59)-1),WP!$E$2:$E$23,0),2),IF(FIND("-",$B59)&gt;0,INDEX(WP!$A$2:$F$23,MATCH(LEFT($B59,FIND("_",$B59)-1),WP!$E$2:$E$23,0),2))),INDEX(WP!$A$2:$F$23,MATCH(Results!$B59,WP!$E$2:$E$23,0),2)),6)="Series",LEFT(IFERROR(IF(FIND("_",$B59)&gt;0,INDEX(WP!$A$2:$F$23,MATCH(LEFT($B59,FIND("_",$B59)-1),WP!$E$2:$E$23,0),2),IF(FIND("-",$B59)&gt;0,INDEX(WP!$A$2:$F$23,MATCH(LEFT($B59,FIND("_",$B59)-1),WP!$E$2:$E$23,0),2))),INDEX(WP!$A$2:$F$23,MATCH(Results!$B59,WP!$E$2:$E$23,0),2)),5),(IFERROR(IF(FIND("_",$B59)&gt;0,INDEX(WP!$A$2:$F$23,MATCH(LEFT($B59,FIND("_",$B59)-1),WP!$E$2:$E$23,0),2),IF(FIND("-",$B59)&gt;0,INDEX(WP!$A$2:$F$23,MATCH(LEFT($B59,FIND("_",$B59)-1),WP!$E$2:$E$23,0),2))),INDEX(WP!$A$2:$F$23,MATCH(Results!$B59,WP!$E$2:$E$23,0),2)))),IF(RIGHT(IFERROR(IF(FIND("_",$B59)&gt;0,INDEX(WP!$A$2:$F$23,MATCH(LEFT($B59,FIND("_",$B59)-1),WP!$E$2:$E$23,0),2),IF(FIND("-",$B59)&gt;0,INDEX(WP!$A$2:$F$23,MATCH(LEFT($B59,FIND("_",$B59)-1),WP!$E$2:$E$23,0),2))),INDEX(WP!$A$2:$F$23,MATCH(Results!$B59,WP!$E$2:$E$23,0),2)),6)="Series",LEFT(IFERROR(IF(FIND("_",$B59)&gt;0,INDEX(WP!$A$2:$F$23,MATCH(LEFT($B59,FIND("_",$B59)-1),WP!$E$2:$E$23,0),2),IF(FIND("-",$B59)&gt;0,INDEX(WP!$A$2:$F$23,MATCH(LEFT($B59,FIND("_",$B59)-1),WP!$E$2:$E$23,0),2))),INDEX(WP!$A$2:$F$23,MATCH(Results!$B59,WP!$E$2:$E$23,0),2)),5),(IFERROR(IF(FIND("_",$B59)&gt;0,INDEX(WP!$A$2:$F$23,MATCH(LEFT($B59,FIND("_",$B59)-1),WP!$E$2:$E$23,0),2),IF(FIND("-",$B59)&gt;0,INDEX(WP!$A$2:$F$23,MATCH(LEFT($B59,FIND("_",$B59)-1),WP!$E$2:$E$23,0),2))),INDEX(WP!$A$2:$F$23,MATCH(Results!$B59,WP!$E$2:$E$23,0),2))))&amp;"-"&amp;$I59),"")</f>
        <v/>
      </c>
      <c r="G59" s="17" t="str">
        <f>IF(LEN(_xlfn.IFNA(IF(IFERROR(IF(FIND("_",$B59)&gt;0,MID($B59,FIND("_",$B59)+1,LEN($B59)),IF(FIND("-",$B59)&gt;0,MID($B59,FIND("-",$B59)+1,LEN($B59)))),"")="",IFERROR(VLOOKUP($F59,WP!$B$2:$C$23,2,0),VLOOKUP($C59,Series!$A$3:$F$11,6,0)),IFERROR(VLOOKUP($F59,WP!$B$2:$C$23,2,0),VLOOKUP($C59,Series!$A$3:$F$11,6,0))&amp;" - "&amp;(IFERROR(IF(FIND("_",$B59)&gt;0,MID($B59,FIND("_",$B59)+1,LEN($B59)),IF(FIND("-",$B59)&gt;0,MID($B59,FIND("-",$B59)+1,LEN($B59)))),""))),""))&lt;64,_xlfn.IFNA(IF(IFERROR(IF(FIND("_",$B59)&gt;0,MID($B59,FIND("_",$B59)+1,LEN($B59)),IF(FIND("-",$B59)&gt;0,MID($B59,FIND("-",$B59)+1,LEN($B59)))),"")="",IFERROR(VLOOKUP($F59,WP!$B$2:$C$23,2,0),VLOOKUP($C59,Series!$A$3:$F$11,6,0)),IFERROR(VLOOKUP($F59,WP!$B$2:$C$23,2,0),VLOOKUP($C59,Series!$A$3:$F$11,6,0))&amp;" - "&amp;(IFERROR(IF(FIND("_",$B59)&gt;0,MID($B59,FIND("_",$B59)+1,LEN($B59)),IF(FIND("-",$B59)&gt;0,MID($B59,FIND("-",$B59)+1,LEN($B59)))),""))),""),LEFT((_xlfn.IFNA(IF(IFERROR(IF(FIND("_",$B59)&gt;0,MID($B59,FIND("_",$B59)+1,LEN($B59)),IF(FIND("-",$B59)&gt;0,MID($B59,FIND("-",$B59)+1,LEN($B59)))),"")="",IFERROR(VLOOKUP($F59,WP!$B$2:$C$23,2,0),VLOOKUP($C59,Series!$A$3:$F$11,6,0)),IFERROR(VLOOKUP($F59,WP!$B$2:$C$23,2,0),VLOOKUP($C59,Series!$A$3:$F$11,6,0))&amp;" - "&amp;(IFERROR(IF(FIND("_",$B59)&gt;0,MID($B59,FIND("_",$B59)+1,LEN($B59)),IF(FIND("-",$B59)&gt;0,MID($B59,FIND("-",$B59)+1,LEN($B59)))),""))),"")),64))</f>
        <v/>
      </c>
      <c r="H59" s="12"/>
      <c r="I59" s="12" t="str">
        <f>IF($D59&lt;&gt;"",COUNTIF($D$7:$D59,"="&amp;$D59),"")</f>
        <v/>
      </c>
      <c r="J59"/>
      <c r="K59" s="8"/>
      <c r="L59"/>
    </row>
    <row r="60" spans="1:12" x14ac:dyDescent="0.3">
      <c r="A60" s="1"/>
      <c r="B60" s="26"/>
      <c r="C60" s="12" t="str">
        <f>_xlfn.IFNA(IFERROR(IF(FIND("_",$B60)&gt;0,INDEX(WP!$A$2:$F$23,MATCH(LEFT($B60,FIND("_",$B60)-1),WP!$E$2:$E$23,0),1),IF(FIND("-",$B60)&gt;0,INDEX(WP!$A$2:$F$23,MATCH(LEFT($B60,FIND("_",$B60)-1),WP!$E$2:$E$23,0),1))),INDEX(WP!$A$2:$F$23,MATCH(Results!$B60,WP!$E$2:$E$23,0),1)),"")</f>
        <v/>
      </c>
      <c r="D60" s="12" t="str">
        <f>IFERROR(IFERROR(IF(RIGHT(INDEX(WP!$A$2:$F$23,MATCH(IF(FIND("_",$B60)&gt;0,LEFT($B60,FIND("_",$B60)-1)),WP!$E$2:$E$23,0),2),6)="Series",LEFT(INDEX(WP!$A$2:$F$23,MATCH(IF(FIND("_",$B60)&gt;0,LEFT($B60,FIND("_",$B60)-1)),WP!$E$2:$E$23,0),2),5),""),IF(RIGHT(INDEX(WP!$A$2:$F$23,MATCH($B60,WP!$E$2:$E$23,0),2),6)="Series",LEFT(INDEX(WP!$A$2:$F$23,MATCH($B60,WP!$E$2:$E$23,0),2),5),"")),"")</f>
        <v/>
      </c>
      <c r="E60" s="17" t="str">
        <f>IFERROR(VLOOKUP(VALUE($D60),Series!$B$3:$F$11,2,0),"")</f>
        <v/>
      </c>
      <c r="F60" s="12" t="str">
        <f>_xlfn.IFNA(IF(IF($D60&lt;&gt;"",COUNTIF($E:$E,"="&amp;$D60),"")="",IF(RIGHT(IFERROR(IF(FIND("_",$B60)&gt;0,INDEX(WP!$A$2:$F$23,MATCH(LEFT($B60,FIND("_",$B60)-1),WP!$E$2:$E$23,0),2),IF(FIND("-",$B60)&gt;0,INDEX(WP!$A$2:$F$23,MATCH(LEFT($B60,FIND("_",$B60)-1),WP!$E$2:$E$23,0),2))),INDEX(WP!$A$2:$F$23,MATCH(Results!$B60,WP!$E$2:$E$23,0),2)),6)="Series",LEFT(IFERROR(IF(FIND("_",$B60)&gt;0,INDEX(WP!$A$2:$F$23,MATCH(LEFT($B60,FIND("_",$B60)-1),WP!$E$2:$E$23,0),2),IF(FIND("-",$B60)&gt;0,INDEX(WP!$A$2:$F$23,MATCH(LEFT($B60,FIND("_",$B60)-1),WP!$E$2:$E$23,0),2))),INDEX(WP!$A$2:$F$23,MATCH(Results!$B60,WP!$E$2:$E$23,0),2)),5),(IFERROR(IF(FIND("_",$B60)&gt;0,INDEX(WP!$A$2:$F$23,MATCH(LEFT($B60,FIND("_",$B60)-1),WP!$E$2:$E$23,0),2),IF(FIND("-",$B60)&gt;0,INDEX(WP!$A$2:$F$23,MATCH(LEFT($B60,FIND("_",$B60)-1),WP!$E$2:$E$23,0),2))),INDEX(WP!$A$2:$F$23,MATCH(Results!$B60,WP!$E$2:$E$23,0),2)))),IF(RIGHT(IFERROR(IF(FIND("_",$B60)&gt;0,INDEX(WP!$A$2:$F$23,MATCH(LEFT($B60,FIND("_",$B60)-1),WP!$E$2:$E$23,0),2),IF(FIND("-",$B60)&gt;0,INDEX(WP!$A$2:$F$23,MATCH(LEFT($B60,FIND("_",$B60)-1),WP!$E$2:$E$23,0),2))),INDEX(WP!$A$2:$F$23,MATCH(Results!$B60,WP!$E$2:$E$23,0),2)),6)="Series",LEFT(IFERROR(IF(FIND("_",$B60)&gt;0,INDEX(WP!$A$2:$F$23,MATCH(LEFT($B60,FIND("_",$B60)-1),WP!$E$2:$E$23,0),2),IF(FIND("-",$B60)&gt;0,INDEX(WP!$A$2:$F$23,MATCH(LEFT($B60,FIND("_",$B60)-1),WP!$E$2:$E$23,0),2))),INDEX(WP!$A$2:$F$23,MATCH(Results!$B60,WP!$E$2:$E$23,0),2)),5),(IFERROR(IF(FIND("_",$B60)&gt;0,INDEX(WP!$A$2:$F$23,MATCH(LEFT($B60,FIND("_",$B60)-1),WP!$E$2:$E$23,0),2),IF(FIND("-",$B60)&gt;0,INDEX(WP!$A$2:$F$23,MATCH(LEFT($B60,FIND("_",$B60)-1),WP!$E$2:$E$23,0),2))),INDEX(WP!$A$2:$F$23,MATCH(Results!$B60,WP!$E$2:$E$23,0),2))))&amp;"-"&amp;$I60),"")</f>
        <v/>
      </c>
      <c r="G60" s="17" t="str">
        <f>IF(LEN(_xlfn.IFNA(IF(IFERROR(IF(FIND("_",$B60)&gt;0,MID($B60,FIND("_",$B60)+1,LEN($B60)),IF(FIND("-",$B60)&gt;0,MID($B60,FIND("-",$B60)+1,LEN($B60)))),"")="",IFERROR(VLOOKUP($F60,WP!$B$2:$C$23,2,0),VLOOKUP($C60,Series!$A$3:$F$11,6,0)),IFERROR(VLOOKUP($F60,WP!$B$2:$C$23,2,0),VLOOKUP($C60,Series!$A$3:$F$11,6,0))&amp;" - "&amp;(IFERROR(IF(FIND("_",$B60)&gt;0,MID($B60,FIND("_",$B60)+1,LEN($B60)),IF(FIND("-",$B60)&gt;0,MID($B60,FIND("-",$B60)+1,LEN($B60)))),""))),""))&lt;64,_xlfn.IFNA(IF(IFERROR(IF(FIND("_",$B60)&gt;0,MID($B60,FIND("_",$B60)+1,LEN($B60)),IF(FIND("-",$B60)&gt;0,MID($B60,FIND("-",$B60)+1,LEN($B60)))),"")="",IFERROR(VLOOKUP($F60,WP!$B$2:$C$23,2,0),VLOOKUP($C60,Series!$A$3:$F$11,6,0)),IFERROR(VLOOKUP($F60,WP!$B$2:$C$23,2,0),VLOOKUP($C60,Series!$A$3:$F$11,6,0))&amp;" - "&amp;(IFERROR(IF(FIND("_",$B60)&gt;0,MID($B60,FIND("_",$B60)+1,LEN($B60)),IF(FIND("-",$B60)&gt;0,MID($B60,FIND("-",$B60)+1,LEN($B60)))),""))),""),LEFT((_xlfn.IFNA(IF(IFERROR(IF(FIND("_",$B60)&gt;0,MID($B60,FIND("_",$B60)+1,LEN($B60)),IF(FIND("-",$B60)&gt;0,MID($B60,FIND("-",$B60)+1,LEN($B60)))),"")="",IFERROR(VLOOKUP($F60,WP!$B$2:$C$23,2,0),VLOOKUP($C60,Series!$A$3:$F$11,6,0)),IFERROR(VLOOKUP($F60,WP!$B$2:$C$23,2,0),VLOOKUP($C60,Series!$A$3:$F$11,6,0))&amp;" - "&amp;(IFERROR(IF(FIND("_",$B60)&gt;0,MID($B60,FIND("_",$B60)+1,LEN($B60)),IF(FIND("-",$B60)&gt;0,MID($B60,FIND("-",$B60)+1,LEN($B60)))),""))),"")),64))</f>
        <v/>
      </c>
      <c r="H60" s="12"/>
      <c r="I60" s="12" t="str">
        <f>IF($D60&lt;&gt;"",COUNTIF($D$7:$D60,"="&amp;$D60),"")</f>
        <v/>
      </c>
      <c r="J60"/>
      <c r="K60" s="8"/>
      <c r="L60"/>
    </row>
    <row r="61" spans="1:12" x14ac:dyDescent="0.3">
      <c r="A61" s="1"/>
      <c r="B61" s="26"/>
      <c r="C61" s="12" t="str">
        <f>_xlfn.IFNA(IFERROR(IF(FIND("_",$B61)&gt;0,INDEX(WP!$A$2:$F$23,MATCH(LEFT($B61,FIND("_",$B61)-1),WP!$E$2:$E$23,0),1),IF(FIND("-",$B61)&gt;0,INDEX(WP!$A$2:$F$23,MATCH(LEFT($B61,FIND("_",$B61)-1),WP!$E$2:$E$23,0),1))),INDEX(WP!$A$2:$F$23,MATCH(Results!$B61,WP!$E$2:$E$23,0),1)),"")</f>
        <v/>
      </c>
      <c r="D61" s="12" t="str">
        <f>IFERROR(IFERROR(IF(RIGHT(INDEX(WP!$A$2:$F$23,MATCH(IF(FIND("_",$B61)&gt;0,LEFT($B61,FIND("_",$B61)-1)),WP!$E$2:$E$23,0),2),6)="Series",LEFT(INDEX(WP!$A$2:$F$23,MATCH(IF(FIND("_",$B61)&gt;0,LEFT($B61,FIND("_",$B61)-1)),WP!$E$2:$E$23,0),2),5),""),IF(RIGHT(INDEX(WP!$A$2:$F$23,MATCH($B61,WP!$E$2:$E$23,0),2),6)="Series",LEFT(INDEX(WP!$A$2:$F$23,MATCH($B61,WP!$E$2:$E$23,0),2),5),"")),"")</f>
        <v/>
      </c>
      <c r="E61" s="17" t="str">
        <f>IFERROR(VLOOKUP(VALUE($D61),Series!$B$3:$F$11,2,0),"")</f>
        <v/>
      </c>
      <c r="F61" s="12" t="str">
        <f>_xlfn.IFNA(IF(IF($D61&lt;&gt;"",COUNTIF($E:$E,"="&amp;$D61),"")="",IF(RIGHT(IFERROR(IF(FIND("_",$B61)&gt;0,INDEX(WP!$A$2:$F$23,MATCH(LEFT($B61,FIND("_",$B61)-1),WP!$E$2:$E$23,0),2),IF(FIND("-",$B61)&gt;0,INDEX(WP!$A$2:$F$23,MATCH(LEFT($B61,FIND("_",$B61)-1),WP!$E$2:$E$23,0),2))),INDEX(WP!$A$2:$F$23,MATCH(Results!$B61,WP!$E$2:$E$23,0),2)),6)="Series",LEFT(IFERROR(IF(FIND("_",$B61)&gt;0,INDEX(WP!$A$2:$F$23,MATCH(LEFT($B61,FIND("_",$B61)-1),WP!$E$2:$E$23,0),2),IF(FIND("-",$B61)&gt;0,INDEX(WP!$A$2:$F$23,MATCH(LEFT($B61,FIND("_",$B61)-1),WP!$E$2:$E$23,0),2))),INDEX(WP!$A$2:$F$23,MATCH(Results!$B61,WP!$E$2:$E$23,0),2)),5),(IFERROR(IF(FIND("_",$B61)&gt;0,INDEX(WP!$A$2:$F$23,MATCH(LEFT($B61,FIND("_",$B61)-1),WP!$E$2:$E$23,0),2),IF(FIND("-",$B61)&gt;0,INDEX(WP!$A$2:$F$23,MATCH(LEFT($B61,FIND("_",$B61)-1),WP!$E$2:$E$23,0),2))),INDEX(WP!$A$2:$F$23,MATCH(Results!$B61,WP!$E$2:$E$23,0),2)))),IF(RIGHT(IFERROR(IF(FIND("_",$B61)&gt;0,INDEX(WP!$A$2:$F$23,MATCH(LEFT($B61,FIND("_",$B61)-1),WP!$E$2:$E$23,0),2),IF(FIND("-",$B61)&gt;0,INDEX(WP!$A$2:$F$23,MATCH(LEFT($B61,FIND("_",$B61)-1),WP!$E$2:$E$23,0),2))),INDEX(WP!$A$2:$F$23,MATCH(Results!$B61,WP!$E$2:$E$23,0),2)),6)="Series",LEFT(IFERROR(IF(FIND("_",$B61)&gt;0,INDEX(WP!$A$2:$F$23,MATCH(LEFT($B61,FIND("_",$B61)-1),WP!$E$2:$E$23,0),2),IF(FIND("-",$B61)&gt;0,INDEX(WP!$A$2:$F$23,MATCH(LEFT($B61,FIND("_",$B61)-1),WP!$E$2:$E$23,0),2))),INDEX(WP!$A$2:$F$23,MATCH(Results!$B61,WP!$E$2:$E$23,0),2)),5),(IFERROR(IF(FIND("_",$B61)&gt;0,INDEX(WP!$A$2:$F$23,MATCH(LEFT($B61,FIND("_",$B61)-1),WP!$E$2:$E$23,0),2),IF(FIND("-",$B61)&gt;0,INDEX(WP!$A$2:$F$23,MATCH(LEFT($B61,FIND("_",$B61)-1),WP!$E$2:$E$23,0),2))),INDEX(WP!$A$2:$F$23,MATCH(Results!$B61,WP!$E$2:$E$23,0),2))))&amp;"-"&amp;$I61),"")</f>
        <v/>
      </c>
      <c r="G61" s="17" t="str">
        <f>IF(LEN(_xlfn.IFNA(IF(IFERROR(IF(FIND("_",$B61)&gt;0,MID($B61,FIND("_",$B61)+1,LEN($B61)),IF(FIND("-",$B61)&gt;0,MID($B61,FIND("-",$B61)+1,LEN($B61)))),"")="",IFERROR(VLOOKUP($F61,WP!$B$2:$C$23,2,0),VLOOKUP($C61,Series!$A$3:$F$11,6,0)),IFERROR(VLOOKUP($F61,WP!$B$2:$C$23,2,0),VLOOKUP($C61,Series!$A$3:$F$11,6,0))&amp;" - "&amp;(IFERROR(IF(FIND("_",$B61)&gt;0,MID($B61,FIND("_",$B61)+1,LEN($B61)),IF(FIND("-",$B61)&gt;0,MID($B61,FIND("-",$B61)+1,LEN($B61)))),""))),""))&lt;64,_xlfn.IFNA(IF(IFERROR(IF(FIND("_",$B61)&gt;0,MID($B61,FIND("_",$B61)+1,LEN($B61)),IF(FIND("-",$B61)&gt;0,MID($B61,FIND("-",$B61)+1,LEN($B61)))),"")="",IFERROR(VLOOKUP($F61,WP!$B$2:$C$23,2,0),VLOOKUP($C61,Series!$A$3:$F$11,6,0)),IFERROR(VLOOKUP($F61,WP!$B$2:$C$23,2,0),VLOOKUP($C61,Series!$A$3:$F$11,6,0))&amp;" - "&amp;(IFERROR(IF(FIND("_",$B61)&gt;0,MID($B61,FIND("_",$B61)+1,LEN($B61)),IF(FIND("-",$B61)&gt;0,MID($B61,FIND("-",$B61)+1,LEN($B61)))),""))),""),LEFT((_xlfn.IFNA(IF(IFERROR(IF(FIND("_",$B61)&gt;0,MID($B61,FIND("_",$B61)+1,LEN($B61)),IF(FIND("-",$B61)&gt;0,MID($B61,FIND("-",$B61)+1,LEN($B61)))),"")="",IFERROR(VLOOKUP($F61,WP!$B$2:$C$23,2,0),VLOOKUP($C61,Series!$A$3:$F$11,6,0)),IFERROR(VLOOKUP($F61,WP!$B$2:$C$23,2,0),VLOOKUP($C61,Series!$A$3:$F$11,6,0))&amp;" - "&amp;(IFERROR(IF(FIND("_",$B61)&gt;0,MID($B61,FIND("_",$B61)+1,LEN($B61)),IF(FIND("-",$B61)&gt;0,MID($B61,FIND("-",$B61)+1,LEN($B61)))),""))),"")),64))</f>
        <v/>
      </c>
      <c r="H61" s="12"/>
      <c r="I61" s="12" t="str">
        <f>IF($D61&lt;&gt;"",COUNTIF($D$7:$D61,"="&amp;$D61),"")</f>
        <v/>
      </c>
      <c r="J61"/>
      <c r="K61" s="8"/>
      <c r="L61"/>
    </row>
    <row r="62" spans="1:12" x14ac:dyDescent="0.3">
      <c r="A62" s="1"/>
      <c r="B62" s="26"/>
      <c r="C62" s="12" t="str">
        <f>_xlfn.IFNA(IFERROR(IF(FIND("_",$B62)&gt;0,INDEX(WP!$A$2:$F$23,MATCH(LEFT($B62,FIND("_",$B62)-1),WP!$E$2:$E$23,0),1),IF(FIND("-",$B62)&gt;0,INDEX(WP!$A$2:$F$23,MATCH(LEFT($B62,FIND("_",$B62)-1),WP!$E$2:$E$23,0),1))),INDEX(WP!$A$2:$F$23,MATCH(Results!$B62,WP!$E$2:$E$23,0),1)),"")</f>
        <v/>
      </c>
      <c r="D62" s="12" t="str">
        <f>IFERROR(IFERROR(IF(RIGHT(INDEX(WP!$A$2:$F$23,MATCH(IF(FIND("_",$B62)&gt;0,LEFT($B62,FIND("_",$B62)-1)),WP!$E$2:$E$23,0),2),6)="Series",LEFT(INDEX(WP!$A$2:$F$23,MATCH(IF(FIND("_",$B62)&gt;0,LEFT($B62,FIND("_",$B62)-1)),WP!$E$2:$E$23,0),2),5),""),IF(RIGHT(INDEX(WP!$A$2:$F$23,MATCH($B62,WP!$E$2:$E$23,0),2),6)="Series",LEFT(INDEX(WP!$A$2:$F$23,MATCH($B62,WP!$E$2:$E$23,0),2),5),"")),"")</f>
        <v/>
      </c>
      <c r="E62" s="17" t="str">
        <f>IFERROR(VLOOKUP(VALUE($D62),Series!$B$3:$F$11,2,0),"")</f>
        <v/>
      </c>
      <c r="F62" s="12" t="str">
        <f>_xlfn.IFNA(IF(IF($D62&lt;&gt;"",COUNTIF($E:$E,"="&amp;$D62),"")="",IF(RIGHT(IFERROR(IF(FIND("_",$B62)&gt;0,INDEX(WP!$A$2:$F$23,MATCH(LEFT($B62,FIND("_",$B62)-1),WP!$E$2:$E$23,0),2),IF(FIND("-",$B62)&gt;0,INDEX(WP!$A$2:$F$23,MATCH(LEFT($B62,FIND("_",$B62)-1),WP!$E$2:$E$23,0),2))),INDEX(WP!$A$2:$F$23,MATCH(Results!$B62,WP!$E$2:$E$23,0),2)),6)="Series",LEFT(IFERROR(IF(FIND("_",$B62)&gt;0,INDEX(WP!$A$2:$F$23,MATCH(LEFT($B62,FIND("_",$B62)-1),WP!$E$2:$E$23,0),2),IF(FIND("-",$B62)&gt;0,INDEX(WP!$A$2:$F$23,MATCH(LEFT($B62,FIND("_",$B62)-1),WP!$E$2:$E$23,0),2))),INDEX(WP!$A$2:$F$23,MATCH(Results!$B62,WP!$E$2:$E$23,0),2)),5),(IFERROR(IF(FIND("_",$B62)&gt;0,INDEX(WP!$A$2:$F$23,MATCH(LEFT($B62,FIND("_",$B62)-1),WP!$E$2:$E$23,0),2),IF(FIND("-",$B62)&gt;0,INDEX(WP!$A$2:$F$23,MATCH(LEFT($B62,FIND("_",$B62)-1),WP!$E$2:$E$23,0),2))),INDEX(WP!$A$2:$F$23,MATCH(Results!$B62,WP!$E$2:$E$23,0),2)))),IF(RIGHT(IFERROR(IF(FIND("_",$B62)&gt;0,INDEX(WP!$A$2:$F$23,MATCH(LEFT($B62,FIND("_",$B62)-1),WP!$E$2:$E$23,0),2),IF(FIND("-",$B62)&gt;0,INDEX(WP!$A$2:$F$23,MATCH(LEFT($B62,FIND("_",$B62)-1),WP!$E$2:$E$23,0),2))),INDEX(WP!$A$2:$F$23,MATCH(Results!$B62,WP!$E$2:$E$23,0),2)),6)="Series",LEFT(IFERROR(IF(FIND("_",$B62)&gt;0,INDEX(WP!$A$2:$F$23,MATCH(LEFT($B62,FIND("_",$B62)-1),WP!$E$2:$E$23,0),2),IF(FIND("-",$B62)&gt;0,INDEX(WP!$A$2:$F$23,MATCH(LEFT($B62,FIND("_",$B62)-1),WP!$E$2:$E$23,0),2))),INDEX(WP!$A$2:$F$23,MATCH(Results!$B62,WP!$E$2:$E$23,0),2)),5),(IFERROR(IF(FIND("_",$B62)&gt;0,INDEX(WP!$A$2:$F$23,MATCH(LEFT($B62,FIND("_",$B62)-1),WP!$E$2:$E$23,0),2),IF(FIND("-",$B62)&gt;0,INDEX(WP!$A$2:$F$23,MATCH(LEFT($B62,FIND("_",$B62)-1),WP!$E$2:$E$23,0),2))),INDEX(WP!$A$2:$F$23,MATCH(Results!$B62,WP!$E$2:$E$23,0),2))))&amp;"-"&amp;$I62),"")</f>
        <v/>
      </c>
      <c r="G62" s="17" t="str">
        <f>IF(LEN(_xlfn.IFNA(IF(IFERROR(IF(FIND("_",$B62)&gt;0,MID($B62,FIND("_",$B62)+1,LEN($B62)),IF(FIND("-",$B62)&gt;0,MID($B62,FIND("-",$B62)+1,LEN($B62)))),"")="",IFERROR(VLOOKUP($F62,WP!$B$2:$C$23,2,0),VLOOKUP($C62,Series!$A$3:$F$11,6,0)),IFERROR(VLOOKUP($F62,WP!$B$2:$C$23,2,0),VLOOKUP($C62,Series!$A$3:$F$11,6,0))&amp;" - "&amp;(IFERROR(IF(FIND("_",$B62)&gt;0,MID($B62,FIND("_",$B62)+1,LEN($B62)),IF(FIND("-",$B62)&gt;0,MID($B62,FIND("-",$B62)+1,LEN($B62)))),""))),""))&lt;64,_xlfn.IFNA(IF(IFERROR(IF(FIND("_",$B62)&gt;0,MID($B62,FIND("_",$B62)+1,LEN($B62)),IF(FIND("-",$B62)&gt;0,MID($B62,FIND("-",$B62)+1,LEN($B62)))),"")="",IFERROR(VLOOKUP($F62,WP!$B$2:$C$23,2,0),VLOOKUP($C62,Series!$A$3:$F$11,6,0)),IFERROR(VLOOKUP($F62,WP!$B$2:$C$23,2,0),VLOOKUP($C62,Series!$A$3:$F$11,6,0))&amp;" - "&amp;(IFERROR(IF(FIND("_",$B62)&gt;0,MID($B62,FIND("_",$B62)+1,LEN($B62)),IF(FIND("-",$B62)&gt;0,MID($B62,FIND("-",$B62)+1,LEN($B62)))),""))),""),LEFT((_xlfn.IFNA(IF(IFERROR(IF(FIND("_",$B62)&gt;0,MID($B62,FIND("_",$B62)+1,LEN($B62)),IF(FIND("-",$B62)&gt;0,MID($B62,FIND("-",$B62)+1,LEN($B62)))),"")="",IFERROR(VLOOKUP($F62,WP!$B$2:$C$23,2,0),VLOOKUP($C62,Series!$A$3:$F$11,6,0)),IFERROR(VLOOKUP($F62,WP!$B$2:$C$23,2,0),VLOOKUP($C62,Series!$A$3:$F$11,6,0))&amp;" - "&amp;(IFERROR(IF(FIND("_",$B62)&gt;0,MID($B62,FIND("_",$B62)+1,LEN($B62)),IF(FIND("-",$B62)&gt;0,MID($B62,FIND("-",$B62)+1,LEN($B62)))),""))),"")),64))</f>
        <v/>
      </c>
      <c r="H62" s="12"/>
      <c r="I62" s="12" t="str">
        <f>IF($D62&lt;&gt;"",COUNTIF($D$7:$D62,"="&amp;$D62),"")</f>
        <v/>
      </c>
      <c r="J62"/>
      <c r="K62" s="8"/>
      <c r="L62"/>
    </row>
    <row r="63" spans="1:12" x14ac:dyDescent="0.3">
      <c r="A63" s="1"/>
      <c r="B63" s="26"/>
      <c r="C63" s="12" t="str">
        <f>_xlfn.IFNA(IFERROR(IF(FIND("_",$B63)&gt;0,INDEX(WP!$A$2:$F$23,MATCH(LEFT($B63,FIND("_",$B63)-1),WP!$E$2:$E$23,0),1),IF(FIND("-",$B63)&gt;0,INDEX(WP!$A$2:$F$23,MATCH(LEFT($B63,FIND("_",$B63)-1),WP!$E$2:$E$23,0),1))),INDEX(WP!$A$2:$F$23,MATCH(Results!$B63,WP!$E$2:$E$23,0),1)),"")</f>
        <v/>
      </c>
      <c r="D63" s="12" t="str">
        <f>IFERROR(IFERROR(IF(RIGHT(INDEX(WP!$A$2:$F$23,MATCH(IF(FIND("_",$B63)&gt;0,LEFT($B63,FIND("_",$B63)-1)),WP!$E$2:$E$23,0),2),6)="Series",LEFT(INDEX(WP!$A$2:$F$23,MATCH(IF(FIND("_",$B63)&gt;0,LEFT($B63,FIND("_",$B63)-1)),WP!$E$2:$E$23,0),2),5),""),IF(RIGHT(INDEX(WP!$A$2:$F$23,MATCH($B63,WP!$E$2:$E$23,0),2),6)="Series",LEFT(INDEX(WP!$A$2:$F$23,MATCH($B63,WP!$E$2:$E$23,0),2),5),"")),"")</f>
        <v/>
      </c>
      <c r="E63" s="17" t="str">
        <f>IFERROR(VLOOKUP(VALUE($D63),Series!$B$3:$F$11,2,0),"")</f>
        <v/>
      </c>
      <c r="F63" s="12" t="str">
        <f>_xlfn.IFNA(IF(IF($D63&lt;&gt;"",COUNTIF($E:$E,"="&amp;$D63),"")="",IF(RIGHT(IFERROR(IF(FIND("_",$B63)&gt;0,INDEX(WP!$A$2:$F$23,MATCH(LEFT($B63,FIND("_",$B63)-1),WP!$E$2:$E$23,0),2),IF(FIND("-",$B63)&gt;0,INDEX(WP!$A$2:$F$23,MATCH(LEFT($B63,FIND("_",$B63)-1),WP!$E$2:$E$23,0),2))),INDEX(WP!$A$2:$F$23,MATCH(Results!$B63,WP!$E$2:$E$23,0),2)),6)="Series",LEFT(IFERROR(IF(FIND("_",$B63)&gt;0,INDEX(WP!$A$2:$F$23,MATCH(LEFT($B63,FIND("_",$B63)-1),WP!$E$2:$E$23,0),2),IF(FIND("-",$B63)&gt;0,INDEX(WP!$A$2:$F$23,MATCH(LEFT($B63,FIND("_",$B63)-1),WP!$E$2:$E$23,0),2))),INDEX(WP!$A$2:$F$23,MATCH(Results!$B63,WP!$E$2:$E$23,0),2)),5),(IFERROR(IF(FIND("_",$B63)&gt;0,INDEX(WP!$A$2:$F$23,MATCH(LEFT($B63,FIND("_",$B63)-1),WP!$E$2:$E$23,0),2),IF(FIND("-",$B63)&gt;0,INDEX(WP!$A$2:$F$23,MATCH(LEFT($B63,FIND("_",$B63)-1),WP!$E$2:$E$23,0),2))),INDEX(WP!$A$2:$F$23,MATCH(Results!$B63,WP!$E$2:$E$23,0),2)))),IF(RIGHT(IFERROR(IF(FIND("_",$B63)&gt;0,INDEX(WP!$A$2:$F$23,MATCH(LEFT($B63,FIND("_",$B63)-1),WP!$E$2:$E$23,0),2),IF(FIND("-",$B63)&gt;0,INDEX(WP!$A$2:$F$23,MATCH(LEFT($B63,FIND("_",$B63)-1),WP!$E$2:$E$23,0),2))),INDEX(WP!$A$2:$F$23,MATCH(Results!$B63,WP!$E$2:$E$23,0),2)),6)="Series",LEFT(IFERROR(IF(FIND("_",$B63)&gt;0,INDEX(WP!$A$2:$F$23,MATCH(LEFT($B63,FIND("_",$B63)-1),WP!$E$2:$E$23,0),2),IF(FIND("-",$B63)&gt;0,INDEX(WP!$A$2:$F$23,MATCH(LEFT($B63,FIND("_",$B63)-1),WP!$E$2:$E$23,0),2))),INDEX(WP!$A$2:$F$23,MATCH(Results!$B63,WP!$E$2:$E$23,0),2)),5),(IFERROR(IF(FIND("_",$B63)&gt;0,INDEX(WP!$A$2:$F$23,MATCH(LEFT($B63,FIND("_",$B63)-1),WP!$E$2:$E$23,0),2),IF(FIND("-",$B63)&gt;0,INDEX(WP!$A$2:$F$23,MATCH(LEFT($B63,FIND("_",$B63)-1),WP!$E$2:$E$23,0),2))),INDEX(WP!$A$2:$F$23,MATCH(Results!$B63,WP!$E$2:$E$23,0),2))))&amp;"-"&amp;$I63),"")</f>
        <v/>
      </c>
      <c r="G63" s="17" t="str">
        <f>IF(LEN(_xlfn.IFNA(IF(IFERROR(IF(FIND("_",$B63)&gt;0,MID($B63,FIND("_",$B63)+1,LEN($B63)),IF(FIND("-",$B63)&gt;0,MID($B63,FIND("-",$B63)+1,LEN($B63)))),"")="",IFERROR(VLOOKUP($F63,WP!$B$2:$C$23,2,0),VLOOKUP($C63,Series!$A$3:$F$11,6,0)),IFERROR(VLOOKUP($F63,WP!$B$2:$C$23,2,0),VLOOKUP($C63,Series!$A$3:$F$11,6,0))&amp;" - "&amp;(IFERROR(IF(FIND("_",$B63)&gt;0,MID($B63,FIND("_",$B63)+1,LEN($B63)),IF(FIND("-",$B63)&gt;0,MID($B63,FIND("-",$B63)+1,LEN($B63)))),""))),""))&lt;64,_xlfn.IFNA(IF(IFERROR(IF(FIND("_",$B63)&gt;0,MID($B63,FIND("_",$B63)+1,LEN($B63)),IF(FIND("-",$B63)&gt;0,MID($B63,FIND("-",$B63)+1,LEN($B63)))),"")="",IFERROR(VLOOKUP($F63,WP!$B$2:$C$23,2,0),VLOOKUP($C63,Series!$A$3:$F$11,6,0)),IFERROR(VLOOKUP($F63,WP!$B$2:$C$23,2,0),VLOOKUP($C63,Series!$A$3:$F$11,6,0))&amp;" - "&amp;(IFERROR(IF(FIND("_",$B63)&gt;0,MID($B63,FIND("_",$B63)+1,LEN($B63)),IF(FIND("-",$B63)&gt;0,MID($B63,FIND("-",$B63)+1,LEN($B63)))),""))),""),LEFT((_xlfn.IFNA(IF(IFERROR(IF(FIND("_",$B63)&gt;0,MID($B63,FIND("_",$B63)+1,LEN($B63)),IF(FIND("-",$B63)&gt;0,MID($B63,FIND("-",$B63)+1,LEN($B63)))),"")="",IFERROR(VLOOKUP($F63,WP!$B$2:$C$23,2,0),VLOOKUP($C63,Series!$A$3:$F$11,6,0)),IFERROR(VLOOKUP($F63,WP!$B$2:$C$23,2,0),VLOOKUP($C63,Series!$A$3:$F$11,6,0))&amp;" - "&amp;(IFERROR(IF(FIND("_",$B63)&gt;0,MID($B63,FIND("_",$B63)+1,LEN($B63)),IF(FIND("-",$B63)&gt;0,MID($B63,FIND("-",$B63)+1,LEN($B63)))),""))),"")),64))</f>
        <v/>
      </c>
      <c r="H63" s="12"/>
      <c r="I63" s="12" t="str">
        <f>IF($D63&lt;&gt;"",COUNTIF($D$7:$D63,"="&amp;$D63),"")</f>
        <v/>
      </c>
      <c r="J63"/>
      <c r="K63" s="8"/>
      <c r="L63"/>
    </row>
    <row r="64" spans="1:12" x14ac:dyDescent="0.3">
      <c r="A64" s="1"/>
      <c r="B64" s="26"/>
      <c r="C64" s="12" t="str">
        <f>_xlfn.IFNA(IFERROR(IF(FIND("_",$B64)&gt;0,INDEX(WP!$A$2:$F$23,MATCH(LEFT($B64,FIND("_",$B64)-1),WP!$E$2:$E$23,0),1),IF(FIND("-",$B64)&gt;0,INDEX(WP!$A$2:$F$23,MATCH(LEFT($B64,FIND("_",$B64)-1),WP!$E$2:$E$23,0),1))),INDEX(WP!$A$2:$F$23,MATCH(Results!$B64,WP!$E$2:$E$23,0),1)),"")</f>
        <v/>
      </c>
      <c r="D64" s="12" t="str">
        <f>IFERROR(IFERROR(IF(RIGHT(INDEX(WP!$A$2:$F$23,MATCH(IF(FIND("_",$B64)&gt;0,LEFT($B64,FIND("_",$B64)-1)),WP!$E$2:$E$23,0),2),6)="Series",LEFT(INDEX(WP!$A$2:$F$23,MATCH(IF(FIND("_",$B64)&gt;0,LEFT($B64,FIND("_",$B64)-1)),WP!$E$2:$E$23,0),2),5),""),IF(RIGHT(INDEX(WP!$A$2:$F$23,MATCH($B64,WP!$E$2:$E$23,0),2),6)="Series",LEFT(INDEX(WP!$A$2:$F$23,MATCH($B64,WP!$E$2:$E$23,0),2),5),"")),"")</f>
        <v/>
      </c>
      <c r="E64" s="17" t="str">
        <f>IFERROR(VLOOKUP(VALUE($D64),Series!$B$3:$F$11,2,0),"")</f>
        <v/>
      </c>
      <c r="F64" s="12" t="str">
        <f>_xlfn.IFNA(IF(IF($D64&lt;&gt;"",COUNTIF($E:$E,"="&amp;$D64),"")="",IF(RIGHT(IFERROR(IF(FIND("_",$B64)&gt;0,INDEX(WP!$A$2:$F$23,MATCH(LEFT($B64,FIND("_",$B64)-1),WP!$E$2:$E$23,0),2),IF(FIND("-",$B64)&gt;0,INDEX(WP!$A$2:$F$23,MATCH(LEFT($B64,FIND("_",$B64)-1),WP!$E$2:$E$23,0),2))),INDEX(WP!$A$2:$F$23,MATCH(Results!$B64,WP!$E$2:$E$23,0),2)),6)="Series",LEFT(IFERROR(IF(FIND("_",$B64)&gt;0,INDEX(WP!$A$2:$F$23,MATCH(LEFT($B64,FIND("_",$B64)-1),WP!$E$2:$E$23,0),2),IF(FIND("-",$B64)&gt;0,INDEX(WP!$A$2:$F$23,MATCH(LEFT($B64,FIND("_",$B64)-1),WP!$E$2:$E$23,0),2))),INDEX(WP!$A$2:$F$23,MATCH(Results!$B64,WP!$E$2:$E$23,0),2)),5),(IFERROR(IF(FIND("_",$B64)&gt;0,INDEX(WP!$A$2:$F$23,MATCH(LEFT($B64,FIND("_",$B64)-1),WP!$E$2:$E$23,0),2),IF(FIND("-",$B64)&gt;0,INDEX(WP!$A$2:$F$23,MATCH(LEFT($B64,FIND("_",$B64)-1),WP!$E$2:$E$23,0),2))),INDEX(WP!$A$2:$F$23,MATCH(Results!$B64,WP!$E$2:$E$23,0),2)))),IF(RIGHT(IFERROR(IF(FIND("_",$B64)&gt;0,INDEX(WP!$A$2:$F$23,MATCH(LEFT($B64,FIND("_",$B64)-1),WP!$E$2:$E$23,0),2),IF(FIND("-",$B64)&gt;0,INDEX(WP!$A$2:$F$23,MATCH(LEFT($B64,FIND("_",$B64)-1),WP!$E$2:$E$23,0),2))),INDEX(WP!$A$2:$F$23,MATCH(Results!$B64,WP!$E$2:$E$23,0),2)),6)="Series",LEFT(IFERROR(IF(FIND("_",$B64)&gt;0,INDEX(WP!$A$2:$F$23,MATCH(LEFT($B64,FIND("_",$B64)-1),WP!$E$2:$E$23,0),2),IF(FIND("-",$B64)&gt;0,INDEX(WP!$A$2:$F$23,MATCH(LEFT($B64,FIND("_",$B64)-1),WP!$E$2:$E$23,0),2))),INDEX(WP!$A$2:$F$23,MATCH(Results!$B64,WP!$E$2:$E$23,0),2)),5),(IFERROR(IF(FIND("_",$B64)&gt;0,INDEX(WP!$A$2:$F$23,MATCH(LEFT($B64,FIND("_",$B64)-1),WP!$E$2:$E$23,0),2),IF(FIND("-",$B64)&gt;0,INDEX(WP!$A$2:$F$23,MATCH(LEFT($B64,FIND("_",$B64)-1),WP!$E$2:$E$23,0),2))),INDEX(WP!$A$2:$F$23,MATCH(Results!$B64,WP!$E$2:$E$23,0),2))))&amp;"-"&amp;$I64),"")</f>
        <v/>
      </c>
      <c r="G64" s="17" t="str">
        <f>IF(LEN(_xlfn.IFNA(IF(IFERROR(IF(FIND("_",$B64)&gt;0,MID($B64,FIND("_",$B64)+1,LEN($B64)),IF(FIND("-",$B64)&gt;0,MID($B64,FIND("-",$B64)+1,LEN($B64)))),"")="",IFERROR(VLOOKUP($F64,WP!$B$2:$C$23,2,0),VLOOKUP($C64,Series!$A$3:$F$11,6,0)),IFERROR(VLOOKUP($F64,WP!$B$2:$C$23,2,0),VLOOKUP($C64,Series!$A$3:$F$11,6,0))&amp;" - "&amp;(IFERROR(IF(FIND("_",$B64)&gt;0,MID($B64,FIND("_",$B64)+1,LEN($B64)),IF(FIND("-",$B64)&gt;0,MID($B64,FIND("-",$B64)+1,LEN($B64)))),""))),""))&lt;64,_xlfn.IFNA(IF(IFERROR(IF(FIND("_",$B64)&gt;0,MID($B64,FIND("_",$B64)+1,LEN($B64)),IF(FIND("-",$B64)&gt;0,MID($B64,FIND("-",$B64)+1,LEN($B64)))),"")="",IFERROR(VLOOKUP($F64,WP!$B$2:$C$23,2,0),VLOOKUP($C64,Series!$A$3:$F$11,6,0)),IFERROR(VLOOKUP($F64,WP!$B$2:$C$23,2,0),VLOOKUP($C64,Series!$A$3:$F$11,6,0))&amp;" - "&amp;(IFERROR(IF(FIND("_",$B64)&gt;0,MID($B64,FIND("_",$B64)+1,LEN($B64)),IF(FIND("-",$B64)&gt;0,MID($B64,FIND("-",$B64)+1,LEN($B64)))),""))),""),LEFT((_xlfn.IFNA(IF(IFERROR(IF(FIND("_",$B64)&gt;0,MID($B64,FIND("_",$B64)+1,LEN($B64)),IF(FIND("-",$B64)&gt;0,MID($B64,FIND("-",$B64)+1,LEN($B64)))),"")="",IFERROR(VLOOKUP($F64,WP!$B$2:$C$23,2,0),VLOOKUP($C64,Series!$A$3:$F$11,6,0)),IFERROR(VLOOKUP($F64,WP!$B$2:$C$23,2,0),VLOOKUP($C64,Series!$A$3:$F$11,6,0))&amp;" - "&amp;(IFERROR(IF(FIND("_",$B64)&gt;0,MID($B64,FIND("_",$B64)+1,LEN($B64)),IF(FIND("-",$B64)&gt;0,MID($B64,FIND("-",$B64)+1,LEN($B64)))),""))),"")),64))</f>
        <v/>
      </c>
      <c r="H64" s="12"/>
      <c r="I64" s="12" t="str">
        <f>IF($D64&lt;&gt;"",COUNTIF($D$7:$D64,"="&amp;$D64),"")</f>
        <v/>
      </c>
      <c r="J64"/>
      <c r="K64" s="8"/>
      <c r="L64"/>
    </row>
    <row r="65" spans="1:12" x14ac:dyDescent="0.3">
      <c r="A65" s="1"/>
      <c r="B65" s="26"/>
      <c r="C65" s="12" t="str">
        <f>_xlfn.IFNA(IFERROR(IF(FIND("_",$B65)&gt;0,INDEX(WP!$A$2:$F$23,MATCH(LEFT($B65,FIND("_",$B65)-1),WP!$E$2:$E$23,0),1),IF(FIND("-",$B65)&gt;0,INDEX(WP!$A$2:$F$23,MATCH(LEFT($B65,FIND("_",$B65)-1),WP!$E$2:$E$23,0),1))),INDEX(WP!$A$2:$F$23,MATCH(Results!$B65,WP!$E$2:$E$23,0),1)),"")</f>
        <v/>
      </c>
      <c r="D65" s="12" t="str">
        <f>IFERROR(IFERROR(IF(RIGHT(INDEX(WP!$A$2:$F$23,MATCH(IF(FIND("_",$B65)&gt;0,LEFT($B65,FIND("_",$B65)-1)),WP!$E$2:$E$23,0),2),6)="Series",LEFT(INDEX(WP!$A$2:$F$23,MATCH(IF(FIND("_",$B65)&gt;0,LEFT($B65,FIND("_",$B65)-1)),WP!$E$2:$E$23,0),2),5),""),IF(RIGHT(INDEX(WP!$A$2:$F$23,MATCH($B65,WP!$E$2:$E$23,0),2),6)="Series",LEFT(INDEX(WP!$A$2:$F$23,MATCH($B65,WP!$E$2:$E$23,0),2),5),"")),"")</f>
        <v/>
      </c>
      <c r="E65" s="17" t="str">
        <f>IFERROR(VLOOKUP(VALUE($D65),Series!$B$3:$F$11,2,0),"")</f>
        <v/>
      </c>
      <c r="F65" s="12" t="str">
        <f>_xlfn.IFNA(IF(IF($D65&lt;&gt;"",COUNTIF($E:$E,"="&amp;$D65),"")="",IF(RIGHT(IFERROR(IF(FIND("_",$B65)&gt;0,INDEX(WP!$A$2:$F$23,MATCH(LEFT($B65,FIND("_",$B65)-1),WP!$E$2:$E$23,0),2),IF(FIND("-",$B65)&gt;0,INDEX(WP!$A$2:$F$23,MATCH(LEFT($B65,FIND("_",$B65)-1),WP!$E$2:$E$23,0),2))),INDEX(WP!$A$2:$F$23,MATCH(Results!$B65,WP!$E$2:$E$23,0),2)),6)="Series",LEFT(IFERROR(IF(FIND("_",$B65)&gt;0,INDEX(WP!$A$2:$F$23,MATCH(LEFT($B65,FIND("_",$B65)-1),WP!$E$2:$E$23,0),2),IF(FIND("-",$B65)&gt;0,INDEX(WP!$A$2:$F$23,MATCH(LEFT($B65,FIND("_",$B65)-1),WP!$E$2:$E$23,0),2))),INDEX(WP!$A$2:$F$23,MATCH(Results!$B65,WP!$E$2:$E$23,0),2)),5),(IFERROR(IF(FIND("_",$B65)&gt;0,INDEX(WP!$A$2:$F$23,MATCH(LEFT($B65,FIND("_",$B65)-1),WP!$E$2:$E$23,0),2),IF(FIND("-",$B65)&gt;0,INDEX(WP!$A$2:$F$23,MATCH(LEFT($B65,FIND("_",$B65)-1),WP!$E$2:$E$23,0),2))),INDEX(WP!$A$2:$F$23,MATCH(Results!$B65,WP!$E$2:$E$23,0),2)))),IF(RIGHT(IFERROR(IF(FIND("_",$B65)&gt;0,INDEX(WP!$A$2:$F$23,MATCH(LEFT($B65,FIND("_",$B65)-1),WP!$E$2:$E$23,0),2),IF(FIND("-",$B65)&gt;0,INDEX(WP!$A$2:$F$23,MATCH(LEFT($B65,FIND("_",$B65)-1),WP!$E$2:$E$23,0),2))),INDEX(WP!$A$2:$F$23,MATCH(Results!$B65,WP!$E$2:$E$23,0),2)),6)="Series",LEFT(IFERROR(IF(FIND("_",$B65)&gt;0,INDEX(WP!$A$2:$F$23,MATCH(LEFT($B65,FIND("_",$B65)-1),WP!$E$2:$E$23,0),2),IF(FIND("-",$B65)&gt;0,INDEX(WP!$A$2:$F$23,MATCH(LEFT($B65,FIND("_",$B65)-1),WP!$E$2:$E$23,0),2))),INDEX(WP!$A$2:$F$23,MATCH(Results!$B65,WP!$E$2:$E$23,0),2)),5),(IFERROR(IF(FIND("_",$B65)&gt;0,INDEX(WP!$A$2:$F$23,MATCH(LEFT($B65,FIND("_",$B65)-1),WP!$E$2:$E$23,0),2),IF(FIND("-",$B65)&gt;0,INDEX(WP!$A$2:$F$23,MATCH(LEFT($B65,FIND("_",$B65)-1),WP!$E$2:$E$23,0),2))),INDEX(WP!$A$2:$F$23,MATCH(Results!$B65,WP!$E$2:$E$23,0),2))))&amp;"-"&amp;$I65),"")</f>
        <v/>
      </c>
      <c r="G65" s="17" t="str">
        <f>IF(LEN(_xlfn.IFNA(IF(IFERROR(IF(FIND("_",$B65)&gt;0,MID($B65,FIND("_",$B65)+1,LEN($B65)),IF(FIND("-",$B65)&gt;0,MID($B65,FIND("-",$B65)+1,LEN($B65)))),"")="",IFERROR(VLOOKUP($F65,WP!$B$2:$C$23,2,0),VLOOKUP($C65,Series!$A$3:$F$11,6,0)),IFERROR(VLOOKUP($F65,WP!$B$2:$C$23,2,0),VLOOKUP($C65,Series!$A$3:$F$11,6,0))&amp;" - "&amp;(IFERROR(IF(FIND("_",$B65)&gt;0,MID($B65,FIND("_",$B65)+1,LEN($B65)),IF(FIND("-",$B65)&gt;0,MID($B65,FIND("-",$B65)+1,LEN($B65)))),""))),""))&lt;64,_xlfn.IFNA(IF(IFERROR(IF(FIND("_",$B65)&gt;0,MID($B65,FIND("_",$B65)+1,LEN($B65)),IF(FIND("-",$B65)&gt;0,MID($B65,FIND("-",$B65)+1,LEN($B65)))),"")="",IFERROR(VLOOKUP($F65,WP!$B$2:$C$23,2,0),VLOOKUP($C65,Series!$A$3:$F$11,6,0)),IFERROR(VLOOKUP($F65,WP!$B$2:$C$23,2,0),VLOOKUP($C65,Series!$A$3:$F$11,6,0))&amp;" - "&amp;(IFERROR(IF(FIND("_",$B65)&gt;0,MID($B65,FIND("_",$B65)+1,LEN($B65)),IF(FIND("-",$B65)&gt;0,MID($B65,FIND("-",$B65)+1,LEN($B65)))),""))),""),LEFT((_xlfn.IFNA(IF(IFERROR(IF(FIND("_",$B65)&gt;0,MID($B65,FIND("_",$B65)+1,LEN($B65)),IF(FIND("-",$B65)&gt;0,MID($B65,FIND("-",$B65)+1,LEN($B65)))),"")="",IFERROR(VLOOKUP($F65,WP!$B$2:$C$23,2,0),VLOOKUP($C65,Series!$A$3:$F$11,6,0)),IFERROR(VLOOKUP($F65,WP!$B$2:$C$23,2,0),VLOOKUP($C65,Series!$A$3:$F$11,6,0))&amp;" - "&amp;(IFERROR(IF(FIND("_",$B65)&gt;0,MID($B65,FIND("_",$B65)+1,LEN($B65)),IF(FIND("-",$B65)&gt;0,MID($B65,FIND("-",$B65)+1,LEN($B65)))),""))),"")),64))</f>
        <v/>
      </c>
      <c r="H65" s="12"/>
      <c r="I65" s="12" t="str">
        <f>IF($D65&lt;&gt;"",COUNTIF($D$7:$D65,"="&amp;$D65),"")</f>
        <v/>
      </c>
      <c r="J65"/>
      <c r="K65" s="8"/>
      <c r="L65"/>
    </row>
    <row r="66" spans="1:12" x14ac:dyDescent="0.3">
      <c r="A66" s="1"/>
      <c r="B66" s="26"/>
      <c r="C66" s="12" t="str">
        <f>_xlfn.IFNA(IFERROR(IF(FIND("_",$B66)&gt;0,INDEX(WP!$A$2:$F$23,MATCH(LEFT($B66,FIND("_",$B66)-1),WP!$E$2:$E$23,0),1),IF(FIND("-",$B66)&gt;0,INDEX(WP!$A$2:$F$23,MATCH(LEFT($B66,FIND("_",$B66)-1),WP!$E$2:$E$23,0),1))),INDEX(WP!$A$2:$F$23,MATCH(Results!$B66,WP!$E$2:$E$23,0),1)),"")</f>
        <v/>
      </c>
      <c r="D66" s="12" t="str">
        <f>IFERROR(IFERROR(IF(RIGHT(INDEX(WP!$A$2:$F$23,MATCH(IF(FIND("_",$B66)&gt;0,LEFT($B66,FIND("_",$B66)-1)),WP!$E$2:$E$23,0),2),6)="Series",LEFT(INDEX(WP!$A$2:$F$23,MATCH(IF(FIND("_",$B66)&gt;0,LEFT($B66,FIND("_",$B66)-1)),WP!$E$2:$E$23,0),2),5),""),IF(RIGHT(INDEX(WP!$A$2:$F$23,MATCH($B66,WP!$E$2:$E$23,0),2),6)="Series",LEFT(INDEX(WP!$A$2:$F$23,MATCH($B66,WP!$E$2:$E$23,0),2),5),"")),"")</f>
        <v/>
      </c>
      <c r="E66" s="17" t="str">
        <f>IFERROR(VLOOKUP(VALUE($D66),Series!$B$3:$F$11,2,0),"")</f>
        <v/>
      </c>
      <c r="F66" s="12" t="str">
        <f>_xlfn.IFNA(IF(IF($D66&lt;&gt;"",COUNTIF($E:$E,"="&amp;$D66),"")="",IF(RIGHT(IFERROR(IF(FIND("_",$B66)&gt;0,INDEX(WP!$A$2:$F$23,MATCH(LEFT($B66,FIND("_",$B66)-1),WP!$E$2:$E$23,0),2),IF(FIND("-",$B66)&gt;0,INDEX(WP!$A$2:$F$23,MATCH(LEFT($B66,FIND("_",$B66)-1),WP!$E$2:$E$23,0),2))),INDEX(WP!$A$2:$F$23,MATCH(Results!$B66,WP!$E$2:$E$23,0),2)),6)="Series",LEFT(IFERROR(IF(FIND("_",$B66)&gt;0,INDEX(WP!$A$2:$F$23,MATCH(LEFT($B66,FIND("_",$B66)-1),WP!$E$2:$E$23,0),2),IF(FIND("-",$B66)&gt;0,INDEX(WP!$A$2:$F$23,MATCH(LEFT($B66,FIND("_",$B66)-1),WP!$E$2:$E$23,0),2))),INDEX(WP!$A$2:$F$23,MATCH(Results!$B66,WP!$E$2:$E$23,0),2)),5),(IFERROR(IF(FIND("_",$B66)&gt;0,INDEX(WP!$A$2:$F$23,MATCH(LEFT($B66,FIND("_",$B66)-1),WP!$E$2:$E$23,0),2),IF(FIND("-",$B66)&gt;0,INDEX(WP!$A$2:$F$23,MATCH(LEFT($B66,FIND("_",$B66)-1),WP!$E$2:$E$23,0),2))),INDEX(WP!$A$2:$F$23,MATCH(Results!$B66,WP!$E$2:$E$23,0),2)))),IF(RIGHT(IFERROR(IF(FIND("_",$B66)&gt;0,INDEX(WP!$A$2:$F$23,MATCH(LEFT($B66,FIND("_",$B66)-1),WP!$E$2:$E$23,0),2),IF(FIND("-",$B66)&gt;0,INDEX(WP!$A$2:$F$23,MATCH(LEFT($B66,FIND("_",$B66)-1),WP!$E$2:$E$23,0),2))),INDEX(WP!$A$2:$F$23,MATCH(Results!$B66,WP!$E$2:$E$23,0),2)),6)="Series",LEFT(IFERROR(IF(FIND("_",$B66)&gt;0,INDEX(WP!$A$2:$F$23,MATCH(LEFT($B66,FIND("_",$B66)-1),WP!$E$2:$E$23,0),2),IF(FIND("-",$B66)&gt;0,INDEX(WP!$A$2:$F$23,MATCH(LEFT($B66,FIND("_",$B66)-1),WP!$E$2:$E$23,0),2))),INDEX(WP!$A$2:$F$23,MATCH(Results!$B66,WP!$E$2:$E$23,0),2)),5),(IFERROR(IF(FIND("_",$B66)&gt;0,INDEX(WP!$A$2:$F$23,MATCH(LEFT($B66,FIND("_",$B66)-1),WP!$E$2:$E$23,0),2),IF(FIND("-",$B66)&gt;0,INDEX(WP!$A$2:$F$23,MATCH(LEFT($B66,FIND("_",$B66)-1),WP!$E$2:$E$23,0),2))),INDEX(WP!$A$2:$F$23,MATCH(Results!$B66,WP!$E$2:$E$23,0),2))))&amp;"-"&amp;$I66),"")</f>
        <v/>
      </c>
      <c r="G66" s="17" t="str">
        <f>IF(LEN(_xlfn.IFNA(IF(IFERROR(IF(FIND("_",$B66)&gt;0,MID($B66,FIND("_",$B66)+1,LEN($B66)),IF(FIND("-",$B66)&gt;0,MID($B66,FIND("-",$B66)+1,LEN($B66)))),"")="",IFERROR(VLOOKUP($F66,WP!$B$2:$C$23,2,0),VLOOKUP($C66,Series!$A$3:$F$11,6,0)),IFERROR(VLOOKUP($F66,WP!$B$2:$C$23,2,0),VLOOKUP($C66,Series!$A$3:$F$11,6,0))&amp;" - "&amp;(IFERROR(IF(FIND("_",$B66)&gt;0,MID($B66,FIND("_",$B66)+1,LEN($B66)),IF(FIND("-",$B66)&gt;0,MID($B66,FIND("-",$B66)+1,LEN($B66)))),""))),""))&lt;64,_xlfn.IFNA(IF(IFERROR(IF(FIND("_",$B66)&gt;0,MID($B66,FIND("_",$B66)+1,LEN($B66)),IF(FIND("-",$B66)&gt;0,MID($B66,FIND("-",$B66)+1,LEN($B66)))),"")="",IFERROR(VLOOKUP($F66,WP!$B$2:$C$23,2,0),VLOOKUP($C66,Series!$A$3:$F$11,6,0)),IFERROR(VLOOKUP($F66,WP!$B$2:$C$23,2,0),VLOOKUP($C66,Series!$A$3:$F$11,6,0))&amp;" - "&amp;(IFERROR(IF(FIND("_",$B66)&gt;0,MID($B66,FIND("_",$B66)+1,LEN($B66)),IF(FIND("-",$B66)&gt;0,MID($B66,FIND("-",$B66)+1,LEN($B66)))),""))),""),LEFT((_xlfn.IFNA(IF(IFERROR(IF(FIND("_",$B66)&gt;0,MID($B66,FIND("_",$B66)+1,LEN($B66)),IF(FIND("-",$B66)&gt;0,MID($B66,FIND("-",$B66)+1,LEN($B66)))),"")="",IFERROR(VLOOKUP($F66,WP!$B$2:$C$23,2,0),VLOOKUP($C66,Series!$A$3:$F$11,6,0)),IFERROR(VLOOKUP($F66,WP!$B$2:$C$23,2,0),VLOOKUP($C66,Series!$A$3:$F$11,6,0))&amp;" - "&amp;(IFERROR(IF(FIND("_",$B66)&gt;0,MID($B66,FIND("_",$B66)+1,LEN($B66)),IF(FIND("-",$B66)&gt;0,MID($B66,FIND("-",$B66)+1,LEN($B66)))),""))),"")),64))</f>
        <v/>
      </c>
      <c r="H66" s="12"/>
      <c r="I66" s="12" t="str">
        <f>IF($D66&lt;&gt;"",COUNTIF($D$7:$D66,"="&amp;$D66),"")</f>
        <v/>
      </c>
      <c r="J66"/>
      <c r="K66" s="8"/>
      <c r="L66"/>
    </row>
    <row r="67" spans="1:12" x14ac:dyDescent="0.3">
      <c r="A67" s="1"/>
      <c r="B67" s="26"/>
      <c r="C67" s="12" t="str">
        <f>_xlfn.IFNA(IFERROR(IF(FIND("_",$B67)&gt;0,INDEX(WP!$A$2:$F$23,MATCH(LEFT($B67,FIND("_",$B67)-1),WP!$E$2:$E$23,0),1),IF(FIND("-",$B67)&gt;0,INDEX(WP!$A$2:$F$23,MATCH(LEFT($B67,FIND("_",$B67)-1),WP!$E$2:$E$23,0),1))),INDEX(WP!$A$2:$F$23,MATCH(Results!$B67,WP!$E$2:$E$23,0),1)),"")</f>
        <v/>
      </c>
      <c r="D67" s="12" t="str">
        <f>IFERROR(IFERROR(IF(RIGHT(INDEX(WP!$A$2:$F$23,MATCH(IF(FIND("_",$B67)&gt;0,LEFT($B67,FIND("_",$B67)-1)),WP!$E$2:$E$23,0),2),6)="Series",LEFT(INDEX(WP!$A$2:$F$23,MATCH(IF(FIND("_",$B67)&gt;0,LEFT($B67,FIND("_",$B67)-1)),WP!$E$2:$E$23,0),2),5),""),IF(RIGHT(INDEX(WP!$A$2:$F$23,MATCH($B67,WP!$E$2:$E$23,0),2),6)="Series",LEFT(INDEX(WP!$A$2:$F$23,MATCH($B67,WP!$E$2:$E$23,0),2),5),"")),"")</f>
        <v/>
      </c>
      <c r="E67" s="17" t="str">
        <f>IFERROR(VLOOKUP(VALUE($D67),Series!$B$3:$F$11,2,0),"")</f>
        <v/>
      </c>
      <c r="F67" s="12" t="str">
        <f>_xlfn.IFNA(IF(IF($D67&lt;&gt;"",COUNTIF($E:$E,"="&amp;$D67),"")="",IF(RIGHT(IFERROR(IF(FIND("_",$B67)&gt;0,INDEX(WP!$A$2:$F$23,MATCH(LEFT($B67,FIND("_",$B67)-1),WP!$E$2:$E$23,0),2),IF(FIND("-",$B67)&gt;0,INDEX(WP!$A$2:$F$23,MATCH(LEFT($B67,FIND("_",$B67)-1),WP!$E$2:$E$23,0),2))),INDEX(WP!$A$2:$F$23,MATCH(Results!$B67,WP!$E$2:$E$23,0),2)),6)="Series",LEFT(IFERROR(IF(FIND("_",$B67)&gt;0,INDEX(WP!$A$2:$F$23,MATCH(LEFT($B67,FIND("_",$B67)-1),WP!$E$2:$E$23,0),2),IF(FIND("-",$B67)&gt;0,INDEX(WP!$A$2:$F$23,MATCH(LEFT($B67,FIND("_",$B67)-1),WP!$E$2:$E$23,0),2))),INDEX(WP!$A$2:$F$23,MATCH(Results!$B67,WP!$E$2:$E$23,0),2)),5),(IFERROR(IF(FIND("_",$B67)&gt;0,INDEX(WP!$A$2:$F$23,MATCH(LEFT($B67,FIND("_",$B67)-1),WP!$E$2:$E$23,0),2),IF(FIND("-",$B67)&gt;0,INDEX(WP!$A$2:$F$23,MATCH(LEFT($B67,FIND("_",$B67)-1),WP!$E$2:$E$23,0),2))),INDEX(WP!$A$2:$F$23,MATCH(Results!$B67,WP!$E$2:$E$23,0),2)))),IF(RIGHT(IFERROR(IF(FIND("_",$B67)&gt;0,INDEX(WP!$A$2:$F$23,MATCH(LEFT($B67,FIND("_",$B67)-1),WP!$E$2:$E$23,0),2),IF(FIND("-",$B67)&gt;0,INDEX(WP!$A$2:$F$23,MATCH(LEFT($B67,FIND("_",$B67)-1),WP!$E$2:$E$23,0),2))),INDEX(WP!$A$2:$F$23,MATCH(Results!$B67,WP!$E$2:$E$23,0),2)),6)="Series",LEFT(IFERROR(IF(FIND("_",$B67)&gt;0,INDEX(WP!$A$2:$F$23,MATCH(LEFT($B67,FIND("_",$B67)-1),WP!$E$2:$E$23,0),2),IF(FIND("-",$B67)&gt;0,INDEX(WP!$A$2:$F$23,MATCH(LEFT($B67,FIND("_",$B67)-1),WP!$E$2:$E$23,0),2))),INDEX(WP!$A$2:$F$23,MATCH(Results!$B67,WP!$E$2:$E$23,0),2)),5),(IFERROR(IF(FIND("_",$B67)&gt;0,INDEX(WP!$A$2:$F$23,MATCH(LEFT($B67,FIND("_",$B67)-1),WP!$E$2:$E$23,0),2),IF(FIND("-",$B67)&gt;0,INDEX(WP!$A$2:$F$23,MATCH(LEFT($B67,FIND("_",$B67)-1),WP!$E$2:$E$23,0),2))),INDEX(WP!$A$2:$F$23,MATCH(Results!$B67,WP!$E$2:$E$23,0),2))))&amp;"-"&amp;$I67),"")</f>
        <v/>
      </c>
      <c r="G67" s="17" t="str">
        <f>IF(LEN(_xlfn.IFNA(IF(IFERROR(IF(FIND("_",$B67)&gt;0,MID($B67,FIND("_",$B67)+1,LEN($B67)),IF(FIND("-",$B67)&gt;0,MID($B67,FIND("-",$B67)+1,LEN($B67)))),"")="",IFERROR(VLOOKUP($F67,WP!$B$2:$C$23,2,0),VLOOKUP($C67,Series!$A$3:$F$11,6,0)),IFERROR(VLOOKUP($F67,WP!$B$2:$C$23,2,0),VLOOKUP($C67,Series!$A$3:$F$11,6,0))&amp;" - "&amp;(IFERROR(IF(FIND("_",$B67)&gt;0,MID($B67,FIND("_",$B67)+1,LEN($B67)),IF(FIND("-",$B67)&gt;0,MID($B67,FIND("-",$B67)+1,LEN($B67)))),""))),""))&lt;64,_xlfn.IFNA(IF(IFERROR(IF(FIND("_",$B67)&gt;0,MID($B67,FIND("_",$B67)+1,LEN($B67)),IF(FIND("-",$B67)&gt;0,MID($B67,FIND("-",$B67)+1,LEN($B67)))),"")="",IFERROR(VLOOKUP($F67,WP!$B$2:$C$23,2,0),VLOOKUP($C67,Series!$A$3:$F$11,6,0)),IFERROR(VLOOKUP($F67,WP!$B$2:$C$23,2,0),VLOOKUP($C67,Series!$A$3:$F$11,6,0))&amp;" - "&amp;(IFERROR(IF(FIND("_",$B67)&gt;0,MID($B67,FIND("_",$B67)+1,LEN($B67)),IF(FIND("-",$B67)&gt;0,MID($B67,FIND("-",$B67)+1,LEN($B67)))),""))),""),LEFT((_xlfn.IFNA(IF(IFERROR(IF(FIND("_",$B67)&gt;0,MID($B67,FIND("_",$B67)+1,LEN($B67)),IF(FIND("-",$B67)&gt;0,MID($B67,FIND("-",$B67)+1,LEN($B67)))),"")="",IFERROR(VLOOKUP($F67,WP!$B$2:$C$23,2,0),VLOOKUP($C67,Series!$A$3:$F$11,6,0)),IFERROR(VLOOKUP($F67,WP!$B$2:$C$23,2,0),VLOOKUP($C67,Series!$A$3:$F$11,6,0))&amp;" - "&amp;(IFERROR(IF(FIND("_",$B67)&gt;0,MID($B67,FIND("_",$B67)+1,LEN($B67)),IF(FIND("-",$B67)&gt;0,MID($B67,FIND("-",$B67)+1,LEN($B67)))),""))),"")),64))</f>
        <v/>
      </c>
      <c r="H67" s="12"/>
      <c r="I67" s="12" t="str">
        <f>IF($D67&lt;&gt;"",COUNTIF($D$7:$D67,"="&amp;$D67),"")</f>
        <v/>
      </c>
      <c r="J67"/>
      <c r="K67" s="8"/>
      <c r="L67"/>
    </row>
    <row r="68" spans="1:12" x14ac:dyDescent="0.3">
      <c r="A68" s="1"/>
      <c r="B68" s="26"/>
      <c r="C68" s="12" t="str">
        <f>_xlfn.IFNA(IFERROR(IF(FIND("_",$B68)&gt;0,INDEX(WP!$A$2:$F$23,MATCH(LEFT($B68,FIND("_",$B68)-1),WP!$E$2:$E$23,0),1),IF(FIND("-",$B68)&gt;0,INDEX(WP!$A$2:$F$23,MATCH(LEFT($B68,FIND("_",$B68)-1),WP!$E$2:$E$23,0),1))),INDEX(WP!$A$2:$F$23,MATCH(Results!$B68,WP!$E$2:$E$23,0),1)),"")</f>
        <v/>
      </c>
      <c r="D68" s="12" t="str">
        <f>IFERROR(IFERROR(IF(RIGHT(INDEX(WP!$A$2:$F$23,MATCH(IF(FIND("_",$B68)&gt;0,LEFT($B68,FIND("_",$B68)-1)),WP!$E$2:$E$23,0),2),6)="Series",LEFT(INDEX(WP!$A$2:$F$23,MATCH(IF(FIND("_",$B68)&gt;0,LEFT($B68,FIND("_",$B68)-1)),WP!$E$2:$E$23,0),2),5),""),IF(RIGHT(INDEX(WP!$A$2:$F$23,MATCH($B68,WP!$E$2:$E$23,0),2),6)="Series",LEFT(INDEX(WP!$A$2:$F$23,MATCH($B68,WP!$E$2:$E$23,0),2),5),"")),"")</f>
        <v/>
      </c>
      <c r="E68" s="17" t="str">
        <f>IFERROR(VLOOKUP(VALUE($D68),Series!$B$3:$F$11,2,0),"")</f>
        <v/>
      </c>
      <c r="F68" s="12" t="str">
        <f>_xlfn.IFNA(IF(IF($D68&lt;&gt;"",COUNTIF($E:$E,"="&amp;$D68),"")="",IF(RIGHT(IFERROR(IF(FIND("_",$B68)&gt;0,INDEX(WP!$A$2:$F$23,MATCH(LEFT($B68,FIND("_",$B68)-1),WP!$E$2:$E$23,0),2),IF(FIND("-",$B68)&gt;0,INDEX(WP!$A$2:$F$23,MATCH(LEFT($B68,FIND("_",$B68)-1),WP!$E$2:$E$23,0),2))),INDEX(WP!$A$2:$F$23,MATCH(Results!$B68,WP!$E$2:$E$23,0),2)),6)="Series",LEFT(IFERROR(IF(FIND("_",$B68)&gt;0,INDEX(WP!$A$2:$F$23,MATCH(LEFT($B68,FIND("_",$B68)-1),WP!$E$2:$E$23,0),2),IF(FIND("-",$B68)&gt;0,INDEX(WP!$A$2:$F$23,MATCH(LEFT($B68,FIND("_",$B68)-1),WP!$E$2:$E$23,0),2))),INDEX(WP!$A$2:$F$23,MATCH(Results!$B68,WP!$E$2:$E$23,0),2)),5),(IFERROR(IF(FIND("_",$B68)&gt;0,INDEX(WP!$A$2:$F$23,MATCH(LEFT($B68,FIND("_",$B68)-1),WP!$E$2:$E$23,0),2),IF(FIND("-",$B68)&gt;0,INDEX(WP!$A$2:$F$23,MATCH(LEFT($B68,FIND("_",$B68)-1),WP!$E$2:$E$23,0),2))),INDEX(WP!$A$2:$F$23,MATCH(Results!$B68,WP!$E$2:$E$23,0),2)))),IF(RIGHT(IFERROR(IF(FIND("_",$B68)&gt;0,INDEX(WP!$A$2:$F$23,MATCH(LEFT($B68,FIND("_",$B68)-1),WP!$E$2:$E$23,0),2),IF(FIND("-",$B68)&gt;0,INDEX(WP!$A$2:$F$23,MATCH(LEFT($B68,FIND("_",$B68)-1),WP!$E$2:$E$23,0),2))),INDEX(WP!$A$2:$F$23,MATCH(Results!$B68,WP!$E$2:$E$23,0),2)),6)="Series",LEFT(IFERROR(IF(FIND("_",$B68)&gt;0,INDEX(WP!$A$2:$F$23,MATCH(LEFT($B68,FIND("_",$B68)-1),WP!$E$2:$E$23,0),2),IF(FIND("-",$B68)&gt;0,INDEX(WP!$A$2:$F$23,MATCH(LEFT($B68,FIND("_",$B68)-1),WP!$E$2:$E$23,0),2))),INDEX(WP!$A$2:$F$23,MATCH(Results!$B68,WP!$E$2:$E$23,0),2)),5),(IFERROR(IF(FIND("_",$B68)&gt;0,INDEX(WP!$A$2:$F$23,MATCH(LEFT($B68,FIND("_",$B68)-1),WP!$E$2:$E$23,0),2),IF(FIND("-",$B68)&gt;0,INDEX(WP!$A$2:$F$23,MATCH(LEFT($B68,FIND("_",$B68)-1),WP!$E$2:$E$23,0),2))),INDEX(WP!$A$2:$F$23,MATCH(Results!$B68,WP!$E$2:$E$23,0),2))))&amp;"-"&amp;$I68),"")</f>
        <v/>
      </c>
      <c r="G68" s="17" t="str">
        <f>IF(LEN(_xlfn.IFNA(IF(IFERROR(IF(FIND("_",$B68)&gt;0,MID($B68,FIND("_",$B68)+1,LEN($B68)),IF(FIND("-",$B68)&gt;0,MID($B68,FIND("-",$B68)+1,LEN($B68)))),"")="",IFERROR(VLOOKUP($F68,WP!$B$2:$C$23,2,0),VLOOKUP($C68,Series!$A$3:$F$11,6,0)),IFERROR(VLOOKUP($F68,WP!$B$2:$C$23,2,0),VLOOKUP($C68,Series!$A$3:$F$11,6,0))&amp;" - "&amp;(IFERROR(IF(FIND("_",$B68)&gt;0,MID($B68,FIND("_",$B68)+1,LEN($B68)),IF(FIND("-",$B68)&gt;0,MID($B68,FIND("-",$B68)+1,LEN($B68)))),""))),""))&lt;64,_xlfn.IFNA(IF(IFERROR(IF(FIND("_",$B68)&gt;0,MID($B68,FIND("_",$B68)+1,LEN($B68)),IF(FIND("-",$B68)&gt;0,MID($B68,FIND("-",$B68)+1,LEN($B68)))),"")="",IFERROR(VLOOKUP($F68,WP!$B$2:$C$23,2,0),VLOOKUP($C68,Series!$A$3:$F$11,6,0)),IFERROR(VLOOKUP($F68,WP!$B$2:$C$23,2,0),VLOOKUP($C68,Series!$A$3:$F$11,6,0))&amp;" - "&amp;(IFERROR(IF(FIND("_",$B68)&gt;0,MID($B68,FIND("_",$B68)+1,LEN($B68)),IF(FIND("-",$B68)&gt;0,MID($B68,FIND("-",$B68)+1,LEN($B68)))),""))),""),LEFT((_xlfn.IFNA(IF(IFERROR(IF(FIND("_",$B68)&gt;0,MID($B68,FIND("_",$B68)+1,LEN($B68)),IF(FIND("-",$B68)&gt;0,MID($B68,FIND("-",$B68)+1,LEN($B68)))),"")="",IFERROR(VLOOKUP($F68,WP!$B$2:$C$23,2,0),VLOOKUP($C68,Series!$A$3:$F$11,6,0)),IFERROR(VLOOKUP($F68,WP!$B$2:$C$23,2,0),VLOOKUP($C68,Series!$A$3:$F$11,6,0))&amp;" - "&amp;(IFERROR(IF(FIND("_",$B68)&gt;0,MID($B68,FIND("_",$B68)+1,LEN($B68)),IF(FIND("-",$B68)&gt;0,MID($B68,FIND("-",$B68)+1,LEN($B68)))),""))),"")),64))</f>
        <v/>
      </c>
      <c r="H68" s="12"/>
      <c r="I68" s="12" t="str">
        <f>IF($D68&lt;&gt;"",COUNTIF($D$7:$D68,"="&amp;$D68),"")</f>
        <v/>
      </c>
      <c r="J68"/>
      <c r="K68" s="8"/>
      <c r="L68"/>
    </row>
    <row r="69" spans="1:12" x14ac:dyDescent="0.3">
      <c r="A69" s="1"/>
      <c r="B69" s="26"/>
      <c r="C69" s="12" t="str">
        <f>_xlfn.IFNA(IFERROR(IF(FIND("_",$B69)&gt;0,INDEX(WP!$A$2:$F$23,MATCH(LEFT($B69,FIND("_",$B69)-1),WP!$E$2:$E$23,0),1),IF(FIND("-",$B69)&gt;0,INDEX(WP!$A$2:$F$23,MATCH(LEFT($B69,FIND("_",$B69)-1),WP!$E$2:$E$23,0),1))),INDEX(WP!$A$2:$F$23,MATCH(Results!$B69,WP!$E$2:$E$23,0),1)),"")</f>
        <v/>
      </c>
      <c r="D69" s="12" t="str">
        <f>IFERROR(IFERROR(IF(RIGHT(INDEX(WP!$A$2:$F$23,MATCH(IF(FIND("_",$B69)&gt;0,LEFT($B69,FIND("_",$B69)-1)),WP!$E$2:$E$23,0),2),6)="Series",LEFT(INDEX(WP!$A$2:$F$23,MATCH(IF(FIND("_",$B69)&gt;0,LEFT($B69,FIND("_",$B69)-1)),WP!$E$2:$E$23,0),2),5),""),IF(RIGHT(INDEX(WP!$A$2:$F$23,MATCH($B69,WP!$E$2:$E$23,0),2),6)="Series",LEFT(INDEX(WP!$A$2:$F$23,MATCH($B69,WP!$E$2:$E$23,0),2),5),"")),"")</f>
        <v/>
      </c>
      <c r="E69" s="17" t="str">
        <f>IFERROR(VLOOKUP(VALUE($D69),Series!$B$3:$F$11,2,0),"")</f>
        <v/>
      </c>
      <c r="F69" s="12" t="str">
        <f>_xlfn.IFNA(IF(IF($D69&lt;&gt;"",COUNTIF($E:$E,"="&amp;$D69),"")="",IF(RIGHT(IFERROR(IF(FIND("_",$B69)&gt;0,INDEX(WP!$A$2:$F$23,MATCH(LEFT($B69,FIND("_",$B69)-1),WP!$E$2:$E$23,0),2),IF(FIND("-",$B69)&gt;0,INDEX(WP!$A$2:$F$23,MATCH(LEFT($B69,FIND("_",$B69)-1),WP!$E$2:$E$23,0),2))),INDEX(WP!$A$2:$F$23,MATCH(Results!$B69,WP!$E$2:$E$23,0),2)),6)="Series",LEFT(IFERROR(IF(FIND("_",$B69)&gt;0,INDEX(WP!$A$2:$F$23,MATCH(LEFT($B69,FIND("_",$B69)-1),WP!$E$2:$E$23,0),2),IF(FIND("-",$B69)&gt;0,INDEX(WP!$A$2:$F$23,MATCH(LEFT($B69,FIND("_",$B69)-1),WP!$E$2:$E$23,0),2))),INDEX(WP!$A$2:$F$23,MATCH(Results!$B69,WP!$E$2:$E$23,0),2)),5),(IFERROR(IF(FIND("_",$B69)&gt;0,INDEX(WP!$A$2:$F$23,MATCH(LEFT($B69,FIND("_",$B69)-1),WP!$E$2:$E$23,0),2),IF(FIND("-",$B69)&gt;0,INDEX(WP!$A$2:$F$23,MATCH(LEFT($B69,FIND("_",$B69)-1),WP!$E$2:$E$23,0),2))),INDEX(WP!$A$2:$F$23,MATCH(Results!$B69,WP!$E$2:$E$23,0),2)))),IF(RIGHT(IFERROR(IF(FIND("_",$B69)&gt;0,INDEX(WP!$A$2:$F$23,MATCH(LEFT($B69,FIND("_",$B69)-1),WP!$E$2:$E$23,0),2),IF(FIND("-",$B69)&gt;0,INDEX(WP!$A$2:$F$23,MATCH(LEFT($B69,FIND("_",$B69)-1),WP!$E$2:$E$23,0),2))),INDEX(WP!$A$2:$F$23,MATCH(Results!$B69,WP!$E$2:$E$23,0),2)),6)="Series",LEFT(IFERROR(IF(FIND("_",$B69)&gt;0,INDEX(WP!$A$2:$F$23,MATCH(LEFT($B69,FIND("_",$B69)-1),WP!$E$2:$E$23,0),2),IF(FIND("-",$B69)&gt;0,INDEX(WP!$A$2:$F$23,MATCH(LEFT($B69,FIND("_",$B69)-1),WP!$E$2:$E$23,0),2))),INDEX(WP!$A$2:$F$23,MATCH(Results!$B69,WP!$E$2:$E$23,0),2)),5),(IFERROR(IF(FIND("_",$B69)&gt;0,INDEX(WP!$A$2:$F$23,MATCH(LEFT($B69,FIND("_",$B69)-1),WP!$E$2:$E$23,0),2),IF(FIND("-",$B69)&gt;0,INDEX(WP!$A$2:$F$23,MATCH(LEFT($B69,FIND("_",$B69)-1),WP!$E$2:$E$23,0),2))),INDEX(WP!$A$2:$F$23,MATCH(Results!$B69,WP!$E$2:$E$23,0),2))))&amp;"-"&amp;$I69),"")</f>
        <v/>
      </c>
      <c r="G69" s="17" t="str">
        <f>IF(LEN(_xlfn.IFNA(IF(IFERROR(IF(FIND("_",$B69)&gt;0,MID($B69,FIND("_",$B69)+1,LEN($B69)),IF(FIND("-",$B69)&gt;0,MID($B69,FIND("-",$B69)+1,LEN($B69)))),"")="",IFERROR(VLOOKUP($F69,WP!$B$2:$C$23,2,0),VLOOKUP($C69,Series!$A$3:$F$11,6,0)),IFERROR(VLOOKUP($F69,WP!$B$2:$C$23,2,0),VLOOKUP($C69,Series!$A$3:$F$11,6,0))&amp;" - "&amp;(IFERROR(IF(FIND("_",$B69)&gt;0,MID($B69,FIND("_",$B69)+1,LEN($B69)),IF(FIND("-",$B69)&gt;0,MID($B69,FIND("-",$B69)+1,LEN($B69)))),""))),""))&lt;64,_xlfn.IFNA(IF(IFERROR(IF(FIND("_",$B69)&gt;0,MID($B69,FIND("_",$B69)+1,LEN($B69)),IF(FIND("-",$B69)&gt;0,MID($B69,FIND("-",$B69)+1,LEN($B69)))),"")="",IFERROR(VLOOKUP($F69,WP!$B$2:$C$23,2,0),VLOOKUP($C69,Series!$A$3:$F$11,6,0)),IFERROR(VLOOKUP($F69,WP!$B$2:$C$23,2,0),VLOOKUP($C69,Series!$A$3:$F$11,6,0))&amp;" - "&amp;(IFERROR(IF(FIND("_",$B69)&gt;0,MID($B69,FIND("_",$B69)+1,LEN($B69)),IF(FIND("-",$B69)&gt;0,MID($B69,FIND("-",$B69)+1,LEN($B69)))),""))),""),LEFT((_xlfn.IFNA(IF(IFERROR(IF(FIND("_",$B69)&gt;0,MID($B69,FIND("_",$B69)+1,LEN($B69)),IF(FIND("-",$B69)&gt;0,MID($B69,FIND("-",$B69)+1,LEN($B69)))),"")="",IFERROR(VLOOKUP($F69,WP!$B$2:$C$23,2,0),VLOOKUP($C69,Series!$A$3:$F$11,6,0)),IFERROR(VLOOKUP($F69,WP!$B$2:$C$23,2,0),VLOOKUP($C69,Series!$A$3:$F$11,6,0))&amp;" - "&amp;(IFERROR(IF(FIND("_",$B69)&gt;0,MID($B69,FIND("_",$B69)+1,LEN($B69)),IF(FIND("-",$B69)&gt;0,MID($B69,FIND("-",$B69)+1,LEN($B69)))),""))),"")),64))</f>
        <v/>
      </c>
      <c r="H69" s="12"/>
      <c r="I69" s="12" t="str">
        <f>IF($D69&lt;&gt;"",COUNTIF($D$7:$D69,"="&amp;$D69),"")</f>
        <v/>
      </c>
      <c r="J69"/>
      <c r="K69" s="8"/>
      <c r="L69"/>
    </row>
    <row r="70" spans="1:12" x14ac:dyDescent="0.3">
      <c r="A70" s="1"/>
      <c r="B70" s="26"/>
      <c r="C70" s="12" t="str">
        <f>_xlfn.IFNA(IFERROR(IF(FIND("_",$B70)&gt;0,INDEX(WP!$A$2:$F$23,MATCH(LEFT($B70,FIND("_",$B70)-1),WP!$E$2:$E$23,0),1),IF(FIND("-",$B70)&gt;0,INDEX(WP!$A$2:$F$23,MATCH(LEFT($B70,FIND("_",$B70)-1),WP!$E$2:$E$23,0),1))),INDEX(WP!$A$2:$F$23,MATCH(Results!$B70,WP!$E$2:$E$23,0),1)),"")</f>
        <v/>
      </c>
      <c r="D70" s="12" t="str">
        <f>IFERROR(IFERROR(IF(RIGHT(INDEX(WP!$A$2:$F$23,MATCH(IF(FIND("_",$B70)&gt;0,LEFT($B70,FIND("_",$B70)-1)),WP!$E$2:$E$23,0),2),6)="Series",LEFT(INDEX(WP!$A$2:$F$23,MATCH(IF(FIND("_",$B70)&gt;0,LEFT($B70,FIND("_",$B70)-1)),WP!$E$2:$E$23,0),2),5),""),IF(RIGHT(INDEX(WP!$A$2:$F$23,MATCH($B70,WP!$E$2:$E$23,0),2),6)="Series",LEFT(INDEX(WP!$A$2:$F$23,MATCH($B70,WP!$E$2:$E$23,0),2),5),"")),"")</f>
        <v/>
      </c>
      <c r="E70" s="17" t="str">
        <f>IFERROR(VLOOKUP(VALUE($D70),Series!$B$3:$F$11,2,0),"")</f>
        <v/>
      </c>
      <c r="F70" s="12" t="str">
        <f>_xlfn.IFNA(IF(IF($D70&lt;&gt;"",COUNTIF($E:$E,"="&amp;$D70),"")="",IF(RIGHT(IFERROR(IF(FIND("_",$B70)&gt;0,INDEX(WP!$A$2:$F$23,MATCH(LEFT($B70,FIND("_",$B70)-1),WP!$E$2:$E$23,0),2),IF(FIND("-",$B70)&gt;0,INDEX(WP!$A$2:$F$23,MATCH(LEFT($B70,FIND("_",$B70)-1),WP!$E$2:$E$23,0),2))),INDEX(WP!$A$2:$F$23,MATCH(Results!$B70,WP!$E$2:$E$23,0),2)),6)="Series",LEFT(IFERROR(IF(FIND("_",$B70)&gt;0,INDEX(WP!$A$2:$F$23,MATCH(LEFT($B70,FIND("_",$B70)-1),WP!$E$2:$E$23,0),2),IF(FIND("-",$B70)&gt;0,INDEX(WP!$A$2:$F$23,MATCH(LEFT($B70,FIND("_",$B70)-1),WP!$E$2:$E$23,0),2))),INDEX(WP!$A$2:$F$23,MATCH(Results!$B70,WP!$E$2:$E$23,0),2)),5),(IFERROR(IF(FIND("_",$B70)&gt;0,INDEX(WP!$A$2:$F$23,MATCH(LEFT($B70,FIND("_",$B70)-1),WP!$E$2:$E$23,0),2),IF(FIND("-",$B70)&gt;0,INDEX(WP!$A$2:$F$23,MATCH(LEFT($B70,FIND("_",$B70)-1),WP!$E$2:$E$23,0),2))),INDEX(WP!$A$2:$F$23,MATCH(Results!$B70,WP!$E$2:$E$23,0),2)))),IF(RIGHT(IFERROR(IF(FIND("_",$B70)&gt;0,INDEX(WP!$A$2:$F$23,MATCH(LEFT($B70,FIND("_",$B70)-1),WP!$E$2:$E$23,0),2),IF(FIND("-",$B70)&gt;0,INDEX(WP!$A$2:$F$23,MATCH(LEFT($B70,FIND("_",$B70)-1),WP!$E$2:$E$23,0),2))),INDEX(WP!$A$2:$F$23,MATCH(Results!$B70,WP!$E$2:$E$23,0),2)),6)="Series",LEFT(IFERROR(IF(FIND("_",$B70)&gt;0,INDEX(WP!$A$2:$F$23,MATCH(LEFT($B70,FIND("_",$B70)-1),WP!$E$2:$E$23,0),2),IF(FIND("-",$B70)&gt;0,INDEX(WP!$A$2:$F$23,MATCH(LEFT($B70,FIND("_",$B70)-1),WP!$E$2:$E$23,0),2))),INDEX(WP!$A$2:$F$23,MATCH(Results!$B70,WP!$E$2:$E$23,0),2)),5),(IFERROR(IF(FIND("_",$B70)&gt;0,INDEX(WP!$A$2:$F$23,MATCH(LEFT($B70,FIND("_",$B70)-1),WP!$E$2:$E$23,0),2),IF(FIND("-",$B70)&gt;0,INDEX(WP!$A$2:$F$23,MATCH(LEFT($B70,FIND("_",$B70)-1),WP!$E$2:$E$23,0),2))),INDEX(WP!$A$2:$F$23,MATCH(Results!$B70,WP!$E$2:$E$23,0),2))))&amp;"-"&amp;$I70),"")</f>
        <v/>
      </c>
      <c r="G70" s="17" t="str">
        <f>IF(LEN(_xlfn.IFNA(IF(IFERROR(IF(FIND("_",$B70)&gt;0,MID($B70,FIND("_",$B70)+1,LEN($B70)),IF(FIND("-",$B70)&gt;0,MID($B70,FIND("-",$B70)+1,LEN($B70)))),"")="",IFERROR(VLOOKUP($F70,WP!$B$2:$C$23,2,0),VLOOKUP($C70,Series!$A$3:$F$11,6,0)),IFERROR(VLOOKUP($F70,WP!$B$2:$C$23,2,0),VLOOKUP($C70,Series!$A$3:$F$11,6,0))&amp;" - "&amp;(IFERROR(IF(FIND("_",$B70)&gt;0,MID($B70,FIND("_",$B70)+1,LEN($B70)),IF(FIND("-",$B70)&gt;0,MID($B70,FIND("-",$B70)+1,LEN($B70)))),""))),""))&lt;64,_xlfn.IFNA(IF(IFERROR(IF(FIND("_",$B70)&gt;0,MID($B70,FIND("_",$B70)+1,LEN($B70)),IF(FIND("-",$B70)&gt;0,MID($B70,FIND("-",$B70)+1,LEN($B70)))),"")="",IFERROR(VLOOKUP($F70,WP!$B$2:$C$23,2,0),VLOOKUP($C70,Series!$A$3:$F$11,6,0)),IFERROR(VLOOKUP($F70,WP!$B$2:$C$23,2,0),VLOOKUP($C70,Series!$A$3:$F$11,6,0))&amp;" - "&amp;(IFERROR(IF(FIND("_",$B70)&gt;0,MID($B70,FIND("_",$B70)+1,LEN($B70)),IF(FIND("-",$B70)&gt;0,MID($B70,FIND("-",$B70)+1,LEN($B70)))),""))),""),LEFT((_xlfn.IFNA(IF(IFERROR(IF(FIND("_",$B70)&gt;0,MID($B70,FIND("_",$B70)+1,LEN($B70)),IF(FIND("-",$B70)&gt;0,MID($B70,FIND("-",$B70)+1,LEN($B70)))),"")="",IFERROR(VLOOKUP($F70,WP!$B$2:$C$23,2,0),VLOOKUP($C70,Series!$A$3:$F$11,6,0)),IFERROR(VLOOKUP($F70,WP!$B$2:$C$23,2,0),VLOOKUP($C70,Series!$A$3:$F$11,6,0))&amp;" - "&amp;(IFERROR(IF(FIND("_",$B70)&gt;0,MID($B70,FIND("_",$B70)+1,LEN($B70)),IF(FIND("-",$B70)&gt;0,MID($B70,FIND("-",$B70)+1,LEN($B70)))),""))),"")),64))</f>
        <v/>
      </c>
      <c r="H70" s="12"/>
      <c r="I70" s="12" t="str">
        <f>IF($D70&lt;&gt;"",COUNTIF($D$7:$D70,"="&amp;$D70),"")</f>
        <v/>
      </c>
      <c r="J70"/>
      <c r="K70" s="8"/>
      <c r="L70"/>
    </row>
    <row r="71" spans="1:12" x14ac:dyDescent="0.3">
      <c r="A71" s="1"/>
      <c r="B71" s="26"/>
      <c r="C71" s="12" t="str">
        <f>_xlfn.IFNA(IFERROR(IF(FIND("_",$B71)&gt;0,INDEX(WP!$A$2:$F$23,MATCH(LEFT($B71,FIND("_",$B71)-1),WP!$E$2:$E$23,0),1),IF(FIND("-",$B71)&gt;0,INDEX(WP!$A$2:$F$23,MATCH(LEFT($B71,FIND("_",$B71)-1),WP!$E$2:$E$23,0),1))),INDEX(WP!$A$2:$F$23,MATCH(Results!$B71,WP!$E$2:$E$23,0),1)),"")</f>
        <v/>
      </c>
      <c r="D71" s="12" t="str">
        <f>IFERROR(IFERROR(IF(RIGHT(INDEX(WP!$A$2:$F$23,MATCH(IF(FIND("_",$B71)&gt;0,LEFT($B71,FIND("_",$B71)-1)),WP!$E$2:$E$23,0),2),6)="Series",LEFT(INDEX(WP!$A$2:$F$23,MATCH(IF(FIND("_",$B71)&gt;0,LEFT($B71,FIND("_",$B71)-1)),WP!$E$2:$E$23,0),2),5),""),IF(RIGHT(INDEX(WP!$A$2:$F$23,MATCH($B71,WP!$E$2:$E$23,0),2),6)="Series",LEFT(INDEX(WP!$A$2:$F$23,MATCH($B71,WP!$E$2:$E$23,0),2),5),"")),"")</f>
        <v/>
      </c>
      <c r="E71" s="17" t="str">
        <f>IFERROR(VLOOKUP(VALUE($D71),Series!$B$3:$F$11,2,0),"")</f>
        <v/>
      </c>
      <c r="F71" s="12" t="str">
        <f>_xlfn.IFNA(IF(IF($D71&lt;&gt;"",COUNTIF($E:$E,"="&amp;$D71),"")="",IF(RIGHT(IFERROR(IF(FIND("_",$B71)&gt;0,INDEX(WP!$A$2:$F$23,MATCH(LEFT($B71,FIND("_",$B71)-1),WP!$E$2:$E$23,0),2),IF(FIND("-",$B71)&gt;0,INDEX(WP!$A$2:$F$23,MATCH(LEFT($B71,FIND("_",$B71)-1),WP!$E$2:$E$23,0),2))),INDEX(WP!$A$2:$F$23,MATCH(Results!$B71,WP!$E$2:$E$23,0),2)),6)="Series",LEFT(IFERROR(IF(FIND("_",$B71)&gt;0,INDEX(WP!$A$2:$F$23,MATCH(LEFT($B71,FIND("_",$B71)-1),WP!$E$2:$E$23,0),2),IF(FIND("-",$B71)&gt;0,INDEX(WP!$A$2:$F$23,MATCH(LEFT($B71,FIND("_",$B71)-1),WP!$E$2:$E$23,0),2))),INDEX(WP!$A$2:$F$23,MATCH(Results!$B71,WP!$E$2:$E$23,0),2)),5),(IFERROR(IF(FIND("_",$B71)&gt;0,INDEX(WP!$A$2:$F$23,MATCH(LEFT($B71,FIND("_",$B71)-1),WP!$E$2:$E$23,0),2),IF(FIND("-",$B71)&gt;0,INDEX(WP!$A$2:$F$23,MATCH(LEFT($B71,FIND("_",$B71)-1),WP!$E$2:$E$23,0),2))),INDEX(WP!$A$2:$F$23,MATCH(Results!$B71,WP!$E$2:$E$23,0),2)))),IF(RIGHT(IFERROR(IF(FIND("_",$B71)&gt;0,INDEX(WP!$A$2:$F$23,MATCH(LEFT($B71,FIND("_",$B71)-1),WP!$E$2:$E$23,0),2),IF(FIND("-",$B71)&gt;0,INDEX(WP!$A$2:$F$23,MATCH(LEFT($B71,FIND("_",$B71)-1),WP!$E$2:$E$23,0),2))),INDEX(WP!$A$2:$F$23,MATCH(Results!$B71,WP!$E$2:$E$23,0),2)),6)="Series",LEFT(IFERROR(IF(FIND("_",$B71)&gt;0,INDEX(WP!$A$2:$F$23,MATCH(LEFT($B71,FIND("_",$B71)-1),WP!$E$2:$E$23,0),2),IF(FIND("-",$B71)&gt;0,INDEX(WP!$A$2:$F$23,MATCH(LEFT($B71,FIND("_",$B71)-1),WP!$E$2:$E$23,0),2))),INDEX(WP!$A$2:$F$23,MATCH(Results!$B71,WP!$E$2:$E$23,0),2)),5),(IFERROR(IF(FIND("_",$B71)&gt;0,INDEX(WP!$A$2:$F$23,MATCH(LEFT($B71,FIND("_",$B71)-1),WP!$E$2:$E$23,0),2),IF(FIND("-",$B71)&gt;0,INDEX(WP!$A$2:$F$23,MATCH(LEFT($B71,FIND("_",$B71)-1),WP!$E$2:$E$23,0),2))),INDEX(WP!$A$2:$F$23,MATCH(Results!$B71,WP!$E$2:$E$23,0),2))))&amp;"-"&amp;$I71),"")</f>
        <v/>
      </c>
      <c r="G71" s="17" t="str">
        <f>IF(LEN(_xlfn.IFNA(IF(IFERROR(IF(FIND("_",$B71)&gt;0,MID($B71,FIND("_",$B71)+1,LEN($B71)),IF(FIND("-",$B71)&gt;0,MID($B71,FIND("-",$B71)+1,LEN($B71)))),"")="",IFERROR(VLOOKUP($F71,WP!$B$2:$C$23,2,0),VLOOKUP($C71,Series!$A$3:$F$11,6,0)),IFERROR(VLOOKUP($F71,WP!$B$2:$C$23,2,0),VLOOKUP($C71,Series!$A$3:$F$11,6,0))&amp;" - "&amp;(IFERROR(IF(FIND("_",$B71)&gt;0,MID($B71,FIND("_",$B71)+1,LEN($B71)),IF(FIND("-",$B71)&gt;0,MID($B71,FIND("-",$B71)+1,LEN($B71)))),""))),""))&lt;64,_xlfn.IFNA(IF(IFERROR(IF(FIND("_",$B71)&gt;0,MID($B71,FIND("_",$B71)+1,LEN($B71)),IF(FIND("-",$B71)&gt;0,MID($B71,FIND("-",$B71)+1,LEN($B71)))),"")="",IFERROR(VLOOKUP($F71,WP!$B$2:$C$23,2,0),VLOOKUP($C71,Series!$A$3:$F$11,6,0)),IFERROR(VLOOKUP($F71,WP!$B$2:$C$23,2,0),VLOOKUP($C71,Series!$A$3:$F$11,6,0))&amp;" - "&amp;(IFERROR(IF(FIND("_",$B71)&gt;0,MID($B71,FIND("_",$B71)+1,LEN($B71)),IF(FIND("-",$B71)&gt;0,MID($B71,FIND("-",$B71)+1,LEN($B71)))),""))),""),LEFT((_xlfn.IFNA(IF(IFERROR(IF(FIND("_",$B71)&gt;0,MID($B71,FIND("_",$B71)+1,LEN($B71)),IF(FIND("-",$B71)&gt;0,MID($B71,FIND("-",$B71)+1,LEN($B71)))),"")="",IFERROR(VLOOKUP($F71,WP!$B$2:$C$23,2,0),VLOOKUP($C71,Series!$A$3:$F$11,6,0)),IFERROR(VLOOKUP($F71,WP!$B$2:$C$23,2,0),VLOOKUP($C71,Series!$A$3:$F$11,6,0))&amp;" - "&amp;(IFERROR(IF(FIND("_",$B71)&gt;0,MID($B71,FIND("_",$B71)+1,LEN($B71)),IF(FIND("-",$B71)&gt;0,MID($B71,FIND("-",$B71)+1,LEN($B71)))),""))),"")),64))</f>
        <v/>
      </c>
      <c r="H71" s="12"/>
      <c r="I71" s="12" t="str">
        <f>IF($D71&lt;&gt;"",COUNTIF($D$7:$D71,"="&amp;$D71),"")</f>
        <v/>
      </c>
      <c r="J71"/>
      <c r="K71" s="8"/>
      <c r="L71"/>
    </row>
    <row r="72" spans="1:12" x14ac:dyDescent="0.3">
      <c r="A72" s="1"/>
      <c r="B72" s="26"/>
      <c r="C72" s="12" t="str">
        <f>_xlfn.IFNA(IFERROR(IF(FIND("_",$B72)&gt;0,INDEX(WP!$A$2:$F$23,MATCH(LEFT($B72,FIND("_",$B72)-1),WP!$E$2:$E$23,0),1),IF(FIND("-",$B72)&gt;0,INDEX(WP!$A$2:$F$23,MATCH(LEFT($B72,FIND("_",$B72)-1),WP!$E$2:$E$23,0),1))),INDEX(WP!$A$2:$F$23,MATCH(Results!$B72,WP!$E$2:$E$23,0),1)),"")</f>
        <v/>
      </c>
      <c r="D72" s="12" t="str">
        <f>IFERROR(IFERROR(IF(RIGHT(INDEX(WP!$A$2:$F$23,MATCH(IF(FIND("_",$B72)&gt;0,LEFT($B72,FIND("_",$B72)-1)),WP!$E$2:$E$23,0),2),6)="Series",LEFT(INDEX(WP!$A$2:$F$23,MATCH(IF(FIND("_",$B72)&gt;0,LEFT($B72,FIND("_",$B72)-1)),WP!$E$2:$E$23,0),2),5),""),IF(RIGHT(INDEX(WP!$A$2:$F$23,MATCH($B72,WP!$E$2:$E$23,0),2),6)="Series",LEFT(INDEX(WP!$A$2:$F$23,MATCH($B72,WP!$E$2:$E$23,0),2),5),"")),"")</f>
        <v/>
      </c>
      <c r="E72" s="17" t="str">
        <f>IFERROR(VLOOKUP(VALUE($D72),Series!$B$3:$F$11,2,0),"")</f>
        <v/>
      </c>
      <c r="F72" s="12" t="str">
        <f>_xlfn.IFNA(IF(IF($D72&lt;&gt;"",COUNTIF($E:$E,"="&amp;$D72),"")="",IF(RIGHT(IFERROR(IF(FIND("_",$B72)&gt;0,INDEX(WP!$A$2:$F$23,MATCH(LEFT($B72,FIND("_",$B72)-1),WP!$E$2:$E$23,0),2),IF(FIND("-",$B72)&gt;0,INDEX(WP!$A$2:$F$23,MATCH(LEFT($B72,FIND("_",$B72)-1),WP!$E$2:$E$23,0),2))),INDEX(WP!$A$2:$F$23,MATCH(Results!$B72,WP!$E$2:$E$23,0),2)),6)="Series",LEFT(IFERROR(IF(FIND("_",$B72)&gt;0,INDEX(WP!$A$2:$F$23,MATCH(LEFT($B72,FIND("_",$B72)-1),WP!$E$2:$E$23,0),2),IF(FIND("-",$B72)&gt;0,INDEX(WP!$A$2:$F$23,MATCH(LEFT($B72,FIND("_",$B72)-1),WP!$E$2:$E$23,0),2))),INDEX(WP!$A$2:$F$23,MATCH(Results!$B72,WP!$E$2:$E$23,0),2)),5),(IFERROR(IF(FIND("_",$B72)&gt;0,INDEX(WP!$A$2:$F$23,MATCH(LEFT($B72,FIND("_",$B72)-1),WP!$E$2:$E$23,0),2),IF(FIND("-",$B72)&gt;0,INDEX(WP!$A$2:$F$23,MATCH(LEFT($B72,FIND("_",$B72)-1),WP!$E$2:$E$23,0),2))),INDEX(WP!$A$2:$F$23,MATCH(Results!$B72,WP!$E$2:$E$23,0),2)))),IF(RIGHT(IFERROR(IF(FIND("_",$B72)&gt;0,INDEX(WP!$A$2:$F$23,MATCH(LEFT($B72,FIND("_",$B72)-1),WP!$E$2:$E$23,0),2),IF(FIND("-",$B72)&gt;0,INDEX(WP!$A$2:$F$23,MATCH(LEFT($B72,FIND("_",$B72)-1),WP!$E$2:$E$23,0),2))),INDEX(WP!$A$2:$F$23,MATCH(Results!$B72,WP!$E$2:$E$23,0),2)),6)="Series",LEFT(IFERROR(IF(FIND("_",$B72)&gt;0,INDEX(WP!$A$2:$F$23,MATCH(LEFT($B72,FIND("_",$B72)-1),WP!$E$2:$E$23,0),2),IF(FIND("-",$B72)&gt;0,INDEX(WP!$A$2:$F$23,MATCH(LEFT($B72,FIND("_",$B72)-1),WP!$E$2:$E$23,0),2))),INDEX(WP!$A$2:$F$23,MATCH(Results!$B72,WP!$E$2:$E$23,0),2)),5),(IFERROR(IF(FIND("_",$B72)&gt;0,INDEX(WP!$A$2:$F$23,MATCH(LEFT($B72,FIND("_",$B72)-1),WP!$E$2:$E$23,0),2),IF(FIND("-",$B72)&gt;0,INDEX(WP!$A$2:$F$23,MATCH(LEFT($B72,FIND("_",$B72)-1),WP!$E$2:$E$23,0),2))),INDEX(WP!$A$2:$F$23,MATCH(Results!$B72,WP!$E$2:$E$23,0),2))))&amp;"-"&amp;$I72),"")</f>
        <v/>
      </c>
      <c r="G72" s="17" t="str">
        <f>IF(LEN(_xlfn.IFNA(IF(IFERROR(IF(FIND("_",$B72)&gt;0,MID($B72,FIND("_",$B72)+1,LEN($B72)),IF(FIND("-",$B72)&gt;0,MID($B72,FIND("-",$B72)+1,LEN($B72)))),"")="",IFERROR(VLOOKUP($F72,WP!$B$2:$C$23,2,0),VLOOKUP($C72,Series!$A$3:$F$11,6,0)),IFERROR(VLOOKUP($F72,WP!$B$2:$C$23,2,0),VLOOKUP($C72,Series!$A$3:$F$11,6,0))&amp;" - "&amp;(IFERROR(IF(FIND("_",$B72)&gt;0,MID($B72,FIND("_",$B72)+1,LEN($B72)),IF(FIND("-",$B72)&gt;0,MID($B72,FIND("-",$B72)+1,LEN($B72)))),""))),""))&lt;64,_xlfn.IFNA(IF(IFERROR(IF(FIND("_",$B72)&gt;0,MID($B72,FIND("_",$B72)+1,LEN($B72)),IF(FIND("-",$B72)&gt;0,MID($B72,FIND("-",$B72)+1,LEN($B72)))),"")="",IFERROR(VLOOKUP($F72,WP!$B$2:$C$23,2,0),VLOOKUP($C72,Series!$A$3:$F$11,6,0)),IFERROR(VLOOKUP($F72,WP!$B$2:$C$23,2,0),VLOOKUP($C72,Series!$A$3:$F$11,6,0))&amp;" - "&amp;(IFERROR(IF(FIND("_",$B72)&gt;0,MID($B72,FIND("_",$B72)+1,LEN($B72)),IF(FIND("-",$B72)&gt;0,MID($B72,FIND("-",$B72)+1,LEN($B72)))),""))),""),LEFT((_xlfn.IFNA(IF(IFERROR(IF(FIND("_",$B72)&gt;0,MID($B72,FIND("_",$B72)+1,LEN($B72)),IF(FIND("-",$B72)&gt;0,MID($B72,FIND("-",$B72)+1,LEN($B72)))),"")="",IFERROR(VLOOKUP($F72,WP!$B$2:$C$23,2,0),VLOOKUP($C72,Series!$A$3:$F$11,6,0)),IFERROR(VLOOKUP($F72,WP!$B$2:$C$23,2,0),VLOOKUP($C72,Series!$A$3:$F$11,6,0))&amp;" - "&amp;(IFERROR(IF(FIND("_",$B72)&gt;0,MID($B72,FIND("_",$B72)+1,LEN($B72)),IF(FIND("-",$B72)&gt;0,MID($B72,FIND("-",$B72)+1,LEN($B72)))),""))),"")),64))</f>
        <v/>
      </c>
      <c r="H72" s="12"/>
      <c r="I72" s="12" t="str">
        <f>IF($D72&lt;&gt;"",COUNTIF($D$7:$D72,"="&amp;$D72),"")</f>
        <v/>
      </c>
      <c r="J72"/>
      <c r="K72" s="8"/>
      <c r="L72"/>
    </row>
    <row r="73" spans="1:12" x14ac:dyDescent="0.3">
      <c r="A73" s="1"/>
      <c r="B73" s="26"/>
      <c r="C73" s="12" t="str">
        <f>_xlfn.IFNA(IFERROR(IF(FIND("_",$B73)&gt;0,INDEX(WP!$A$2:$F$23,MATCH(LEFT($B73,FIND("_",$B73)-1),WP!$E$2:$E$23,0),1),IF(FIND("-",$B73)&gt;0,INDEX(WP!$A$2:$F$23,MATCH(LEFT($B73,FIND("_",$B73)-1),WP!$E$2:$E$23,0),1))),INDEX(WP!$A$2:$F$23,MATCH(Results!$B73,WP!$E$2:$E$23,0),1)),"")</f>
        <v/>
      </c>
      <c r="D73" s="12" t="str">
        <f>IFERROR(IFERROR(IF(RIGHT(INDEX(WP!$A$2:$F$23,MATCH(IF(FIND("_",$B73)&gt;0,LEFT($B73,FIND("_",$B73)-1)),WP!$E$2:$E$23,0),2),6)="Series",LEFT(INDEX(WP!$A$2:$F$23,MATCH(IF(FIND("_",$B73)&gt;0,LEFT($B73,FIND("_",$B73)-1)),WP!$E$2:$E$23,0),2),5),""),IF(RIGHT(INDEX(WP!$A$2:$F$23,MATCH($B73,WP!$E$2:$E$23,0),2),6)="Series",LEFT(INDEX(WP!$A$2:$F$23,MATCH($B73,WP!$E$2:$E$23,0),2),5),"")),"")</f>
        <v/>
      </c>
      <c r="E73" s="17" t="str">
        <f>IFERROR(VLOOKUP(VALUE($D73),Series!$B$3:$F$11,2,0),"")</f>
        <v/>
      </c>
      <c r="F73" s="12" t="str">
        <f>_xlfn.IFNA(IF(IF($D73&lt;&gt;"",COUNTIF($E:$E,"="&amp;$D73),"")="",IF(RIGHT(IFERROR(IF(FIND("_",$B73)&gt;0,INDEX(WP!$A$2:$F$23,MATCH(LEFT($B73,FIND("_",$B73)-1),WP!$E$2:$E$23,0),2),IF(FIND("-",$B73)&gt;0,INDEX(WP!$A$2:$F$23,MATCH(LEFT($B73,FIND("_",$B73)-1),WP!$E$2:$E$23,0),2))),INDEX(WP!$A$2:$F$23,MATCH(Results!$B73,WP!$E$2:$E$23,0),2)),6)="Series",LEFT(IFERROR(IF(FIND("_",$B73)&gt;0,INDEX(WP!$A$2:$F$23,MATCH(LEFT($B73,FIND("_",$B73)-1),WP!$E$2:$E$23,0),2),IF(FIND("-",$B73)&gt;0,INDEX(WP!$A$2:$F$23,MATCH(LEFT($B73,FIND("_",$B73)-1),WP!$E$2:$E$23,0),2))),INDEX(WP!$A$2:$F$23,MATCH(Results!$B73,WP!$E$2:$E$23,0),2)),5),(IFERROR(IF(FIND("_",$B73)&gt;0,INDEX(WP!$A$2:$F$23,MATCH(LEFT($B73,FIND("_",$B73)-1),WP!$E$2:$E$23,0),2),IF(FIND("-",$B73)&gt;0,INDEX(WP!$A$2:$F$23,MATCH(LEFT($B73,FIND("_",$B73)-1),WP!$E$2:$E$23,0),2))),INDEX(WP!$A$2:$F$23,MATCH(Results!$B73,WP!$E$2:$E$23,0),2)))),IF(RIGHT(IFERROR(IF(FIND("_",$B73)&gt;0,INDEX(WP!$A$2:$F$23,MATCH(LEFT($B73,FIND("_",$B73)-1),WP!$E$2:$E$23,0),2),IF(FIND("-",$B73)&gt;0,INDEX(WP!$A$2:$F$23,MATCH(LEFT($B73,FIND("_",$B73)-1),WP!$E$2:$E$23,0),2))),INDEX(WP!$A$2:$F$23,MATCH(Results!$B73,WP!$E$2:$E$23,0),2)),6)="Series",LEFT(IFERROR(IF(FIND("_",$B73)&gt;0,INDEX(WP!$A$2:$F$23,MATCH(LEFT($B73,FIND("_",$B73)-1),WP!$E$2:$E$23,0),2),IF(FIND("-",$B73)&gt;0,INDEX(WP!$A$2:$F$23,MATCH(LEFT($B73,FIND("_",$B73)-1),WP!$E$2:$E$23,0),2))),INDEX(WP!$A$2:$F$23,MATCH(Results!$B73,WP!$E$2:$E$23,0),2)),5),(IFERROR(IF(FIND("_",$B73)&gt;0,INDEX(WP!$A$2:$F$23,MATCH(LEFT($B73,FIND("_",$B73)-1),WP!$E$2:$E$23,0),2),IF(FIND("-",$B73)&gt;0,INDEX(WP!$A$2:$F$23,MATCH(LEFT($B73,FIND("_",$B73)-1),WP!$E$2:$E$23,0),2))),INDEX(WP!$A$2:$F$23,MATCH(Results!$B73,WP!$E$2:$E$23,0),2))))&amp;"-"&amp;$I73),"")</f>
        <v/>
      </c>
      <c r="G73" s="17" t="str">
        <f>IF(LEN(_xlfn.IFNA(IF(IFERROR(IF(FIND("_",$B73)&gt;0,MID($B73,FIND("_",$B73)+1,LEN($B73)),IF(FIND("-",$B73)&gt;0,MID($B73,FIND("-",$B73)+1,LEN($B73)))),"")="",IFERROR(VLOOKUP($F73,WP!$B$2:$C$23,2,0),VLOOKUP($C73,Series!$A$3:$F$11,6,0)),IFERROR(VLOOKUP($F73,WP!$B$2:$C$23,2,0),VLOOKUP($C73,Series!$A$3:$F$11,6,0))&amp;" - "&amp;(IFERROR(IF(FIND("_",$B73)&gt;0,MID($B73,FIND("_",$B73)+1,LEN($B73)),IF(FIND("-",$B73)&gt;0,MID($B73,FIND("-",$B73)+1,LEN($B73)))),""))),""))&lt;64,_xlfn.IFNA(IF(IFERROR(IF(FIND("_",$B73)&gt;0,MID($B73,FIND("_",$B73)+1,LEN($B73)),IF(FIND("-",$B73)&gt;0,MID($B73,FIND("-",$B73)+1,LEN($B73)))),"")="",IFERROR(VLOOKUP($F73,WP!$B$2:$C$23,2,0),VLOOKUP($C73,Series!$A$3:$F$11,6,0)),IFERROR(VLOOKUP($F73,WP!$B$2:$C$23,2,0),VLOOKUP($C73,Series!$A$3:$F$11,6,0))&amp;" - "&amp;(IFERROR(IF(FIND("_",$B73)&gt;0,MID($B73,FIND("_",$B73)+1,LEN($B73)),IF(FIND("-",$B73)&gt;0,MID($B73,FIND("-",$B73)+1,LEN($B73)))),""))),""),LEFT((_xlfn.IFNA(IF(IFERROR(IF(FIND("_",$B73)&gt;0,MID($B73,FIND("_",$B73)+1,LEN($B73)),IF(FIND("-",$B73)&gt;0,MID($B73,FIND("-",$B73)+1,LEN($B73)))),"")="",IFERROR(VLOOKUP($F73,WP!$B$2:$C$23,2,0),VLOOKUP($C73,Series!$A$3:$F$11,6,0)),IFERROR(VLOOKUP($F73,WP!$B$2:$C$23,2,0),VLOOKUP($C73,Series!$A$3:$F$11,6,0))&amp;" - "&amp;(IFERROR(IF(FIND("_",$B73)&gt;0,MID($B73,FIND("_",$B73)+1,LEN($B73)),IF(FIND("-",$B73)&gt;0,MID($B73,FIND("-",$B73)+1,LEN($B73)))),""))),"")),64))</f>
        <v/>
      </c>
      <c r="H73" s="12"/>
      <c r="I73" s="12" t="str">
        <f>IF($D73&lt;&gt;"",COUNTIF($D$7:$D73,"="&amp;$D73),"")</f>
        <v/>
      </c>
      <c r="J73"/>
      <c r="K73" s="8"/>
      <c r="L73"/>
    </row>
    <row r="74" spans="1:12" x14ac:dyDescent="0.3">
      <c r="A74" s="1"/>
      <c r="B74" s="26"/>
      <c r="C74" s="12" t="str">
        <f>_xlfn.IFNA(IFERROR(IF(FIND("_",$B74)&gt;0,INDEX(WP!$A$2:$F$23,MATCH(LEFT($B74,FIND("_",$B74)-1),WP!$E$2:$E$23,0),1),IF(FIND("-",$B74)&gt;0,INDEX(WP!$A$2:$F$23,MATCH(LEFT($B74,FIND("_",$B74)-1),WP!$E$2:$E$23,0),1))),INDEX(WP!$A$2:$F$23,MATCH(Results!$B74,WP!$E$2:$E$23,0),1)),"")</f>
        <v/>
      </c>
      <c r="D74" s="12" t="str">
        <f>IFERROR(IFERROR(IF(RIGHT(INDEX(WP!$A$2:$F$23,MATCH(IF(FIND("_",$B74)&gt;0,LEFT($B74,FIND("_",$B74)-1)),WP!$E$2:$E$23,0),2),6)="Series",LEFT(INDEX(WP!$A$2:$F$23,MATCH(IF(FIND("_",$B74)&gt;0,LEFT($B74,FIND("_",$B74)-1)),WP!$E$2:$E$23,0),2),5),""),IF(RIGHT(INDEX(WP!$A$2:$F$23,MATCH($B74,WP!$E$2:$E$23,0),2),6)="Series",LEFT(INDEX(WP!$A$2:$F$23,MATCH($B74,WP!$E$2:$E$23,0),2),5),"")),"")</f>
        <v/>
      </c>
      <c r="E74" s="17" t="str">
        <f>IFERROR(VLOOKUP(VALUE($D74),Series!$B$3:$F$11,2,0),"")</f>
        <v/>
      </c>
      <c r="F74" s="12" t="str">
        <f>_xlfn.IFNA(IF(IF($D74&lt;&gt;"",COUNTIF($E:$E,"="&amp;$D74),"")="",IF(RIGHT(IFERROR(IF(FIND("_",$B74)&gt;0,INDEX(WP!$A$2:$F$23,MATCH(LEFT($B74,FIND("_",$B74)-1),WP!$E$2:$E$23,0),2),IF(FIND("-",$B74)&gt;0,INDEX(WP!$A$2:$F$23,MATCH(LEFT($B74,FIND("_",$B74)-1),WP!$E$2:$E$23,0),2))),INDEX(WP!$A$2:$F$23,MATCH(Results!$B74,WP!$E$2:$E$23,0),2)),6)="Series",LEFT(IFERROR(IF(FIND("_",$B74)&gt;0,INDEX(WP!$A$2:$F$23,MATCH(LEFT($B74,FIND("_",$B74)-1),WP!$E$2:$E$23,0),2),IF(FIND("-",$B74)&gt;0,INDEX(WP!$A$2:$F$23,MATCH(LEFT($B74,FIND("_",$B74)-1),WP!$E$2:$E$23,0),2))),INDEX(WP!$A$2:$F$23,MATCH(Results!$B74,WP!$E$2:$E$23,0),2)),5),(IFERROR(IF(FIND("_",$B74)&gt;0,INDEX(WP!$A$2:$F$23,MATCH(LEFT($B74,FIND("_",$B74)-1),WP!$E$2:$E$23,0),2),IF(FIND("-",$B74)&gt;0,INDEX(WP!$A$2:$F$23,MATCH(LEFT($B74,FIND("_",$B74)-1),WP!$E$2:$E$23,0),2))),INDEX(WP!$A$2:$F$23,MATCH(Results!$B74,WP!$E$2:$E$23,0),2)))),IF(RIGHT(IFERROR(IF(FIND("_",$B74)&gt;0,INDEX(WP!$A$2:$F$23,MATCH(LEFT($B74,FIND("_",$B74)-1),WP!$E$2:$E$23,0),2),IF(FIND("-",$B74)&gt;0,INDEX(WP!$A$2:$F$23,MATCH(LEFT($B74,FIND("_",$B74)-1),WP!$E$2:$E$23,0),2))),INDEX(WP!$A$2:$F$23,MATCH(Results!$B74,WP!$E$2:$E$23,0),2)),6)="Series",LEFT(IFERROR(IF(FIND("_",$B74)&gt;0,INDEX(WP!$A$2:$F$23,MATCH(LEFT($B74,FIND("_",$B74)-1),WP!$E$2:$E$23,0),2),IF(FIND("-",$B74)&gt;0,INDEX(WP!$A$2:$F$23,MATCH(LEFT($B74,FIND("_",$B74)-1),WP!$E$2:$E$23,0),2))),INDEX(WP!$A$2:$F$23,MATCH(Results!$B74,WP!$E$2:$E$23,0),2)),5),(IFERROR(IF(FIND("_",$B74)&gt;0,INDEX(WP!$A$2:$F$23,MATCH(LEFT($B74,FIND("_",$B74)-1),WP!$E$2:$E$23,0),2),IF(FIND("-",$B74)&gt;0,INDEX(WP!$A$2:$F$23,MATCH(LEFT($B74,FIND("_",$B74)-1),WP!$E$2:$E$23,0),2))),INDEX(WP!$A$2:$F$23,MATCH(Results!$B74,WP!$E$2:$E$23,0),2))))&amp;"-"&amp;$I74),"")</f>
        <v/>
      </c>
      <c r="G74" s="17" t="str">
        <f>IF(LEN(_xlfn.IFNA(IF(IFERROR(IF(FIND("_",$B74)&gt;0,MID($B74,FIND("_",$B74)+1,LEN($B74)),IF(FIND("-",$B74)&gt;0,MID($B74,FIND("-",$B74)+1,LEN($B74)))),"")="",IFERROR(VLOOKUP($F74,WP!$B$2:$C$23,2,0),VLOOKUP($C74,Series!$A$3:$F$11,6,0)),IFERROR(VLOOKUP($F74,WP!$B$2:$C$23,2,0),VLOOKUP($C74,Series!$A$3:$F$11,6,0))&amp;" - "&amp;(IFERROR(IF(FIND("_",$B74)&gt;0,MID($B74,FIND("_",$B74)+1,LEN($B74)),IF(FIND("-",$B74)&gt;0,MID($B74,FIND("-",$B74)+1,LEN($B74)))),""))),""))&lt;64,_xlfn.IFNA(IF(IFERROR(IF(FIND("_",$B74)&gt;0,MID($B74,FIND("_",$B74)+1,LEN($B74)),IF(FIND("-",$B74)&gt;0,MID($B74,FIND("-",$B74)+1,LEN($B74)))),"")="",IFERROR(VLOOKUP($F74,WP!$B$2:$C$23,2,0),VLOOKUP($C74,Series!$A$3:$F$11,6,0)),IFERROR(VLOOKUP($F74,WP!$B$2:$C$23,2,0),VLOOKUP($C74,Series!$A$3:$F$11,6,0))&amp;" - "&amp;(IFERROR(IF(FIND("_",$B74)&gt;0,MID($B74,FIND("_",$B74)+1,LEN($B74)),IF(FIND("-",$B74)&gt;0,MID($B74,FIND("-",$B74)+1,LEN($B74)))),""))),""),LEFT((_xlfn.IFNA(IF(IFERROR(IF(FIND("_",$B74)&gt;0,MID($B74,FIND("_",$B74)+1,LEN($B74)),IF(FIND("-",$B74)&gt;0,MID($B74,FIND("-",$B74)+1,LEN($B74)))),"")="",IFERROR(VLOOKUP($F74,WP!$B$2:$C$23,2,0),VLOOKUP($C74,Series!$A$3:$F$11,6,0)),IFERROR(VLOOKUP($F74,WP!$B$2:$C$23,2,0),VLOOKUP($C74,Series!$A$3:$F$11,6,0))&amp;" - "&amp;(IFERROR(IF(FIND("_",$B74)&gt;0,MID($B74,FIND("_",$B74)+1,LEN($B74)),IF(FIND("-",$B74)&gt;0,MID($B74,FIND("-",$B74)+1,LEN($B74)))),""))),"")),64))</f>
        <v/>
      </c>
      <c r="H74" s="12"/>
      <c r="I74" s="12" t="str">
        <f>IF($D74&lt;&gt;"",COUNTIF($D$7:$D74,"="&amp;$D74),"")</f>
        <v/>
      </c>
      <c r="J74"/>
      <c r="K74" s="8"/>
      <c r="L74"/>
    </row>
    <row r="75" spans="1:12" x14ac:dyDescent="0.3">
      <c r="A75" s="1"/>
      <c r="B75" s="26"/>
      <c r="C75" s="12" t="str">
        <f>_xlfn.IFNA(IFERROR(IF(FIND("_",$B75)&gt;0,INDEX(WP!$A$2:$F$23,MATCH(LEFT($B75,FIND("_",$B75)-1),WP!$E$2:$E$23,0),1),IF(FIND("-",$B75)&gt;0,INDEX(WP!$A$2:$F$23,MATCH(LEFT($B75,FIND("_",$B75)-1),WP!$E$2:$E$23,0),1))),INDEX(WP!$A$2:$F$23,MATCH(Results!$B75,WP!$E$2:$E$23,0),1)),"")</f>
        <v/>
      </c>
      <c r="D75" s="12" t="str">
        <f>IFERROR(IFERROR(IF(RIGHT(INDEX(WP!$A$2:$F$23,MATCH(IF(FIND("_",$B75)&gt;0,LEFT($B75,FIND("_",$B75)-1)),WP!$E$2:$E$23,0),2),6)="Series",LEFT(INDEX(WP!$A$2:$F$23,MATCH(IF(FIND("_",$B75)&gt;0,LEFT($B75,FIND("_",$B75)-1)),WP!$E$2:$E$23,0),2),5),""),IF(RIGHT(INDEX(WP!$A$2:$F$23,MATCH($B75,WP!$E$2:$E$23,0),2),6)="Series",LEFT(INDEX(WP!$A$2:$F$23,MATCH($B75,WP!$E$2:$E$23,0),2),5),"")),"")</f>
        <v/>
      </c>
      <c r="E75" s="17" t="str">
        <f>IFERROR(VLOOKUP(VALUE($D75),Series!$B$3:$F$11,2,0),"")</f>
        <v/>
      </c>
      <c r="F75" s="12" t="str">
        <f>_xlfn.IFNA(IF(IF($D75&lt;&gt;"",COUNTIF($E:$E,"="&amp;$D75),"")="",IF(RIGHT(IFERROR(IF(FIND("_",$B75)&gt;0,INDEX(WP!$A$2:$F$23,MATCH(LEFT($B75,FIND("_",$B75)-1),WP!$E$2:$E$23,0),2),IF(FIND("-",$B75)&gt;0,INDEX(WP!$A$2:$F$23,MATCH(LEFT($B75,FIND("_",$B75)-1),WP!$E$2:$E$23,0),2))),INDEX(WP!$A$2:$F$23,MATCH(Results!$B75,WP!$E$2:$E$23,0),2)),6)="Series",LEFT(IFERROR(IF(FIND("_",$B75)&gt;0,INDEX(WP!$A$2:$F$23,MATCH(LEFT($B75,FIND("_",$B75)-1),WP!$E$2:$E$23,0),2),IF(FIND("-",$B75)&gt;0,INDEX(WP!$A$2:$F$23,MATCH(LEFT($B75,FIND("_",$B75)-1),WP!$E$2:$E$23,0),2))),INDEX(WP!$A$2:$F$23,MATCH(Results!$B75,WP!$E$2:$E$23,0),2)),5),(IFERROR(IF(FIND("_",$B75)&gt;0,INDEX(WP!$A$2:$F$23,MATCH(LEFT($B75,FIND("_",$B75)-1),WP!$E$2:$E$23,0),2),IF(FIND("-",$B75)&gt;0,INDEX(WP!$A$2:$F$23,MATCH(LEFT($B75,FIND("_",$B75)-1),WP!$E$2:$E$23,0),2))),INDEX(WP!$A$2:$F$23,MATCH(Results!$B75,WP!$E$2:$E$23,0),2)))),IF(RIGHT(IFERROR(IF(FIND("_",$B75)&gt;0,INDEX(WP!$A$2:$F$23,MATCH(LEFT($B75,FIND("_",$B75)-1),WP!$E$2:$E$23,0),2),IF(FIND("-",$B75)&gt;0,INDEX(WP!$A$2:$F$23,MATCH(LEFT($B75,FIND("_",$B75)-1),WP!$E$2:$E$23,0),2))),INDEX(WP!$A$2:$F$23,MATCH(Results!$B75,WP!$E$2:$E$23,0),2)),6)="Series",LEFT(IFERROR(IF(FIND("_",$B75)&gt;0,INDEX(WP!$A$2:$F$23,MATCH(LEFT($B75,FIND("_",$B75)-1),WP!$E$2:$E$23,0),2),IF(FIND("-",$B75)&gt;0,INDEX(WP!$A$2:$F$23,MATCH(LEFT($B75,FIND("_",$B75)-1),WP!$E$2:$E$23,0),2))),INDEX(WP!$A$2:$F$23,MATCH(Results!$B75,WP!$E$2:$E$23,0),2)),5),(IFERROR(IF(FIND("_",$B75)&gt;0,INDEX(WP!$A$2:$F$23,MATCH(LEFT($B75,FIND("_",$B75)-1),WP!$E$2:$E$23,0),2),IF(FIND("-",$B75)&gt;0,INDEX(WP!$A$2:$F$23,MATCH(LEFT($B75,FIND("_",$B75)-1),WP!$E$2:$E$23,0),2))),INDEX(WP!$A$2:$F$23,MATCH(Results!$B75,WP!$E$2:$E$23,0),2))))&amp;"-"&amp;$I75),"")</f>
        <v/>
      </c>
      <c r="G75" s="17" t="str">
        <f>IF(LEN(_xlfn.IFNA(IF(IFERROR(IF(FIND("_",$B75)&gt;0,MID($B75,FIND("_",$B75)+1,LEN($B75)),IF(FIND("-",$B75)&gt;0,MID($B75,FIND("-",$B75)+1,LEN($B75)))),"")="",IFERROR(VLOOKUP($F75,WP!$B$2:$C$23,2,0),VLOOKUP($C75,Series!$A$3:$F$11,6,0)),IFERROR(VLOOKUP($F75,WP!$B$2:$C$23,2,0),VLOOKUP($C75,Series!$A$3:$F$11,6,0))&amp;" - "&amp;(IFERROR(IF(FIND("_",$B75)&gt;0,MID($B75,FIND("_",$B75)+1,LEN($B75)),IF(FIND("-",$B75)&gt;0,MID($B75,FIND("-",$B75)+1,LEN($B75)))),""))),""))&lt;64,_xlfn.IFNA(IF(IFERROR(IF(FIND("_",$B75)&gt;0,MID($B75,FIND("_",$B75)+1,LEN($B75)),IF(FIND("-",$B75)&gt;0,MID($B75,FIND("-",$B75)+1,LEN($B75)))),"")="",IFERROR(VLOOKUP($F75,WP!$B$2:$C$23,2,0),VLOOKUP($C75,Series!$A$3:$F$11,6,0)),IFERROR(VLOOKUP($F75,WP!$B$2:$C$23,2,0),VLOOKUP($C75,Series!$A$3:$F$11,6,0))&amp;" - "&amp;(IFERROR(IF(FIND("_",$B75)&gt;0,MID($B75,FIND("_",$B75)+1,LEN($B75)),IF(FIND("-",$B75)&gt;0,MID($B75,FIND("-",$B75)+1,LEN($B75)))),""))),""),LEFT((_xlfn.IFNA(IF(IFERROR(IF(FIND("_",$B75)&gt;0,MID($B75,FIND("_",$B75)+1,LEN($B75)),IF(FIND("-",$B75)&gt;0,MID($B75,FIND("-",$B75)+1,LEN($B75)))),"")="",IFERROR(VLOOKUP($F75,WP!$B$2:$C$23,2,0),VLOOKUP($C75,Series!$A$3:$F$11,6,0)),IFERROR(VLOOKUP($F75,WP!$B$2:$C$23,2,0),VLOOKUP($C75,Series!$A$3:$F$11,6,0))&amp;" - "&amp;(IFERROR(IF(FIND("_",$B75)&gt;0,MID($B75,FIND("_",$B75)+1,LEN($B75)),IF(FIND("-",$B75)&gt;0,MID($B75,FIND("-",$B75)+1,LEN($B75)))),""))),"")),64))</f>
        <v/>
      </c>
      <c r="H75" s="12"/>
      <c r="I75" s="12" t="str">
        <f>IF($D75&lt;&gt;"",COUNTIF($D$7:$D75,"="&amp;$D75),"")</f>
        <v/>
      </c>
      <c r="J75"/>
      <c r="K75" s="8"/>
      <c r="L75"/>
    </row>
    <row r="76" spans="1:12" x14ac:dyDescent="0.3">
      <c r="A76" s="1"/>
      <c r="B76" s="26"/>
      <c r="C76" s="12" t="str">
        <f>_xlfn.IFNA(IFERROR(IF(FIND("_",$B76)&gt;0,INDEX(WP!$A$2:$F$23,MATCH(LEFT($B76,FIND("_",$B76)-1),WP!$E$2:$E$23,0),1),IF(FIND("-",$B76)&gt;0,INDEX(WP!$A$2:$F$23,MATCH(LEFT($B76,FIND("_",$B76)-1),WP!$E$2:$E$23,0),1))),INDEX(WP!$A$2:$F$23,MATCH(Results!$B76,WP!$E$2:$E$23,0),1)),"")</f>
        <v/>
      </c>
      <c r="D76" s="12" t="str">
        <f>IFERROR(IFERROR(IF(RIGHT(INDEX(WP!$A$2:$F$23,MATCH(IF(FIND("_",$B76)&gt;0,LEFT($B76,FIND("_",$B76)-1)),WP!$E$2:$E$23,0),2),6)="Series",LEFT(INDEX(WP!$A$2:$F$23,MATCH(IF(FIND("_",$B76)&gt;0,LEFT($B76,FIND("_",$B76)-1)),WP!$E$2:$E$23,0),2),5),""),IF(RIGHT(INDEX(WP!$A$2:$F$23,MATCH($B76,WP!$E$2:$E$23,0),2),6)="Series",LEFT(INDEX(WP!$A$2:$F$23,MATCH($B76,WP!$E$2:$E$23,0),2),5),"")),"")</f>
        <v/>
      </c>
      <c r="E76" s="17" t="str">
        <f>IFERROR(VLOOKUP(VALUE($D76),Series!$B$3:$F$11,2,0),"")</f>
        <v/>
      </c>
      <c r="F76" s="12" t="str">
        <f>_xlfn.IFNA(IF(IF($D76&lt;&gt;"",COUNTIF($E:$E,"="&amp;$D76),"")="",IF(RIGHT(IFERROR(IF(FIND("_",$B76)&gt;0,INDEX(WP!$A$2:$F$23,MATCH(LEFT($B76,FIND("_",$B76)-1),WP!$E$2:$E$23,0),2),IF(FIND("-",$B76)&gt;0,INDEX(WP!$A$2:$F$23,MATCH(LEFT($B76,FIND("_",$B76)-1),WP!$E$2:$E$23,0),2))),INDEX(WP!$A$2:$F$23,MATCH(Results!$B76,WP!$E$2:$E$23,0),2)),6)="Series",LEFT(IFERROR(IF(FIND("_",$B76)&gt;0,INDEX(WP!$A$2:$F$23,MATCH(LEFT($B76,FIND("_",$B76)-1),WP!$E$2:$E$23,0),2),IF(FIND("-",$B76)&gt;0,INDEX(WP!$A$2:$F$23,MATCH(LEFT($B76,FIND("_",$B76)-1),WP!$E$2:$E$23,0),2))),INDEX(WP!$A$2:$F$23,MATCH(Results!$B76,WP!$E$2:$E$23,0),2)),5),(IFERROR(IF(FIND("_",$B76)&gt;0,INDEX(WP!$A$2:$F$23,MATCH(LEFT($B76,FIND("_",$B76)-1),WP!$E$2:$E$23,0),2),IF(FIND("-",$B76)&gt;0,INDEX(WP!$A$2:$F$23,MATCH(LEFT($B76,FIND("_",$B76)-1),WP!$E$2:$E$23,0),2))),INDEX(WP!$A$2:$F$23,MATCH(Results!$B76,WP!$E$2:$E$23,0),2)))),IF(RIGHT(IFERROR(IF(FIND("_",$B76)&gt;0,INDEX(WP!$A$2:$F$23,MATCH(LEFT($B76,FIND("_",$B76)-1),WP!$E$2:$E$23,0),2),IF(FIND("-",$B76)&gt;0,INDEX(WP!$A$2:$F$23,MATCH(LEFT($B76,FIND("_",$B76)-1),WP!$E$2:$E$23,0),2))),INDEX(WP!$A$2:$F$23,MATCH(Results!$B76,WP!$E$2:$E$23,0),2)),6)="Series",LEFT(IFERROR(IF(FIND("_",$B76)&gt;0,INDEX(WP!$A$2:$F$23,MATCH(LEFT($B76,FIND("_",$B76)-1),WP!$E$2:$E$23,0),2),IF(FIND("-",$B76)&gt;0,INDEX(WP!$A$2:$F$23,MATCH(LEFT($B76,FIND("_",$B76)-1),WP!$E$2:$E$23,0),2))),INDEX(WP!$A$2:$F$23,MATCH(Results!$B76,WP!$E$2:$E$23,0),2)),5),(IFERROR(IF(FIND("_",$B76)&gt;0,INDEX(WP!$A$2:$F$23,MATCH(LEFT($B76,FIND("_",$B76)-1),WP!$E$2:$E$23,0),2),IF(FIND("-",$B76)&gt;0,INDEX(WP!$A$2:$F$23,MATCH(LEFT($B76,FIND("_",$B76)-1),WP!$E$2:$E$23,0),2))),INDEX(WP!$A$2:$F$23,MATCH(Results!$B76,WP!$E$2:$E$23,0),2))))&amp;"-"&amp;$I76),"")</f>
        <v/>
      </c>
      <c r="G76" s="17" t="str">
        <f>IF(LEN(_xlfn.IFNA(IF(IFERROR(IF(FIND("_",$B76)&gt;0,MID($B76,FIND("_",$B76)+1,LEN($B76)),IF(FIND("-",$B76)&gt;0,MID($B76,FIND("-",$B76)+1,LEN($B76)))),"")="",IFERROR(VLOOKUP($F76,WP!$B$2:$C$23,2,0),VLOOKUP($C76,Series!$A$3:$F$11,6,0)),IFERROR(VLOOKUP($F76,WP!$B$2:$C$23,2,0),VLOOKUP($C76,Series!$A$3:$F$11,6,0))&amp;" - "&amp;(IFERROR(IF(FIND("_",$B76)&gt;0,MID($B76,FIND("_",$B76)+1,LEN($B76)),IF(FIND("-",$B76)&gt;0,MID($B76,FIND("-",$B76)+1,LEN($B76)))),""))),""))&lt;64,_xlfn.IFNA(IF(IFERROR(IF(FIND("_",$B76)&gt;0,MID($B76,FIND("_",$B76)+1,LEN($B76)),IF(FIND("-",$B76)&gt;0,MID($B76,FIND("-",$B76)+1,LEN($B76)))),"")="",IFERROR(VLOOKUP($F76,WP!$B$2:$C$23,2,0),VLOOKUP($C76,Series!$A$3:$F$11,6,0)),IFERROR(VLOOKUP($F76,WP!$B$2:$C$23,2,0),VLOOKUP($C76,Series!$A$3:$F$11,6,0))&amp;" - "&amp;(IFERROR(IF(FIND("_",$B76)&gt;0,MID($B76,FIND("_",$B76)+1,LEN($B76)),IF(FIND("-",$B76)&gt;0,MID($B76,FIND("-",$B76)+1,LEN($B76)))),""))),""),LEFT((_xlfn.IFNA(IF(IFERROR(IF(FIND("_",$B76)&gt;0,MID($B76,FIND("_",$B76)+1,LEN($B76)),IF(FIND("-",$B76)&gt;0,MID($B76,FIND("-",$B76)+1,LEN($B76)))),"")="",IFERROR(VLOOKUP($F76,WP!$B$2:$C$23,2,0),VLOOKUP($C76,Series!$A$3:$F$11,6,0)),IFERROR(VLOOKUP($F76,WP!$B$2:$C$23,2,0),VLOOKUP($C76,Series!$A$3:$F$11,6,0))&amp;" - "&amp;(IFERROR(IF(FIND("_",$B76)&gt;0,MID($B76,FIND("_",$B76)+1,LEN($B76)),IF(FIND("-",$B76)&gt;0,MID($B76,FIND("-",$B76)+1,LEN($B76)))),""))),"")),64))</f>
        <v/>
      </c>
      <c r="H76" s="12"/>
      <c r="I76" s="12" t="str">
        <f>IF($D76&lt;&gt;"",COUNTIF($D$7:$D76,"="&amp;$D76),"")</f>
        <v/>
      </c>
      <c r="J76"/>
      <c r="K76" s="8"/>
      <c r="L76"/>
    </row>
    <row r="77" spans="1:12" x14ac:dyDescent="0.3">
      <c r="A77" s="1"/>
      <c r="B77" s="26"/>
      <c r="C77" s="12" t="str">
        <f>_xlfn.IFNA(IFERROR(IF(FIND("_",$B77)&gt;0,INDEX(WP!$A$2:$F$23,MATCH(LEFT($B77,FIND("_",$B77)-1),WP!$E$2:$E$23,0),1),IF(FIND("-",$B77)&gt;0,INDEX(WP!$A$2:$F$23,MATCH(LEFT($B77,FIND("_",$B77)-1),WP!$E$2:$E$23,0),1))),INDEX(WP!$A$2:$F$23,MATCH(Results!$B77,WP!$E$2:$E$23,0),1)),"")</f>
        <v/>
      </c>
      <c r="D77" s="12" t="str">
        <f>IFERROR(IFERROR(IF(RIGHT(INDEX(WP!$A$2:$F$23,MATCH(IF(FIND("_",$B77)&gt;0,LEFT($B77,FIND("_",$B77)-1)),WP!$E$2:$E$23,0),2),6)="Series",LEFT(INDEX(WP!$A$2:$F$23,MATCH(IF(FIND("_",$B77)&gt;0,LEFT($B77,FIND("_",$B77)-1)),WP!$E$2:$E$23,0),2),5),""),IF(RIGHT(INDEX(WP!$A$2:$F$23,MATCH($B77,WP!$E$2:$E$23,0),2),6)="Series",LEFT(INDEX(WP!$A$2:$F$23,MATCH($B77,WP!$E$2:$E$23,0),2),5),"")),"")</f>
        <v/>
      </c>
      <c r="E77" s="17" t="str">
        <f>IFERROR(VLOOKUP(VALUE($D77),Series!$B$3:$F$11,2,0),"")</f>
        <v/>
      </c>
      <c r="F77" s="12" t="str">
        <f>_xlfn.IFNA(IF(IF($D77&lt;&gt;"",COUNTIF($E:$E,"="&amp;$D77),"")="",IF(RIGHT(IFERROR(IF(FIND("_",$B77)&gt;0,INDEX(WP!$A$2:$F$23,MATCH(LEFT($B77,FIND("_",$B77)-1),WP!$E$2:$E$23,0),2),IF(FIND("-",$B77)&gt;0,INDEX(WP!$A$2:$F$23,MATCH(LEFT($B77,FIND("_",$B77)-1),WP!$E$2:$E$23,0),2))),INDEX(WP!$A$2:$F$23,MATCH(Results!$B77,WP!$E$2:$E$23,0),2)),6)="Series",LEFT(IFERROR(IF(FIND("_",$B77)&gt;0,INDEX(WP!$A$2:$F$23,MATCH(LEFT($B77,FIND("_",$B77)-1),WP!$E$2:$E$23,0),2),IF(FIND("-",$B77)&gt;0,INDEX(WP!$A$2:$F$23,MATCH(LEFT($B77,FIND("_",$B77)-1),WP!$E$2:$E$23,0),2))),INDEX(WP!$A$2:$F$23,MATCH(Results!$B77,WP!$E$2:$E$23,0),2)),5),(IFERROR(IF(FIND("_",$B77)&gt;0,INDEX(WP!$A$2:$F$23,MATCH(LEFT($B77,FIND("_",$B77)-1),WP!$E$2:$E$23,0),2),IF(FIND("-",$B77)&gt;0,INDEX(WP!$A$2:$F$23,MATCH(LEFT($B77,FIND("_",$B77)-1),WP!$E$2:$E$23,0),2))),INDEX(WP!$A$2:$F$23,MATCH(Results!$B77,WP!$E$2:$E$23,0),2)))),IF(RIGHT(IFERROR(IF(FIND("_",$B77)&gt;0,INDEX(WP!$A$2:$F$23,MATCH(LEFT($B77,FIND("_",$B77)-1),WP!$E$2:$E$23,0),2),IF(FIND("-",$B77)&gt;0,INDEX(WP!$A$2:$F$23,MATCH(LEFT($B77,FIND("_",$B77)-1),WP!$E$2:$E$23,0),2))),INDEX(WP!$A$2:$F$23,MATCH(Results!$B77,WP!$E$2:$E$23,0),2)),6)="Series",LEFT(IFERROR(IF(FIND("_",$B77)&gt;0,INDEX(WP!$A$2:$F$23,MATCH(LEFT($B77,FIND("_",$B77)-1),WP!$E$2:$E$23,0),2),IF(FIND("-",$B77)&gt;0,INDEX(WP!$A$2:$F$23,MATCH(LEFT($B77,FIND("_",$B77)-1),WP!$E$2:$E$23,0),2))),INDEX(WP!$A$2:$F$23,MATCH(Results!$B77,WP!$E$2:$E$23,0),2)),5),(IFERROR(IF(FIND("_",$B77)&gt;0,INDEX(WP!$A$2:$F$23,MATCH(LEFT($B77,FIND("_",$B77)-1),WP!$E$2:$E$23,0),2),IF(FIND("-",$B77)&gt;0,INDEX(WP!$A$2:$F$23,MATCH(LEFT($B77,FIND("_",$B77)-1),WP!$E$2:$E$23,0),2))),INDEX(WP!$A$2:$F$23,MATCH(Results!$B77,WP!$E$2:$E$23,0),2))))&amp;"-"&amp;$I77),"")</f>
        <v/>
      </c>
      <c r="G77" s="17" t="str">
        <f>IF(LEN(_xlfn.IFNA(IF(IFERROR(IF(FIND("_",$B77)&gt;0,MID($B77,FIND("_",$B77)+1,LEN($B77)),IF(FIND("-",$B77)&gt;0,MID($B77,FIND("-",$B77)+1,LEN($B77)))),"")="",IFERROR(VLOOKUP($F77,WP!$B$2:$C$23,2,0),VLOOKUP($C77,Series!$A$3:$F$11,6,0)),IFERROR(VLOOKUP($F77,WP!$B$2:$C$23,2,0),VLOOKUP($C77,Series!$A$3:$F$11,6,0))&amp;" - "&amp;(IFERROR(IF(FIND("_",$B77)&gt;0,MID($B77,FIND("_",$B77)+1,LEN($B77)),IF(FIND("-",$B77)&gt;0,MID($B77,FIND("-",$B77)+1,LEN($B77)))),""))),""))&lt;64,_xlfn.IFNA(IF(IFERROR(IF(FIND("_",$B77)&gt;0,MID($B77,FIND("_",$B77)+1,LEN($B77)),IF(FIND("-",$B77)&gt;0,MID($B77,FIND("-",$B77)+1,LEN($B77)))),"")="",IFERROR(VLOOKUP($F77,WP!$B$2:$C$23,2,0),VLOOKUP($C77,Series!$A$3:$F$11,6,0)),IFERROR(VLOOKUP($F77,WP!$B$2:$C$23,2,0),VLOOKUP($C77,Series!$A$3:$F$11,6,0))&amp;" - "&amp;(IFERROR(IF(FIND("_",$B77)&gt;0,MID($B77,FIND("_",$B77)+1,LEN($B77)),IF(FIND("-",$B77)&gt;0,MID($B77,FIND("-",$B77)+1,LEN($B77)))),""))),""),LEFT((_xlfn.IFNA(IF(IFERROR(IF(FIND("_",$B77)&gt;0,MID($B77,FIND("_",$B77)+1,LEN($B77)),IF(FIND("-",$B77)&gt;0,MID($B77,FIND("-",$B77)+1,LEN($B77)))),"")="",IFERROR(VLOOKUP($F77,WP!$B$2:$C$23,2,0),VLOOKUP($C77,Series!$A$3:$F$11,6,0)),IFERROR(VLOOKUP($F77,WP!$B$2:$C$23,2,0),VLOOKUP($C77,Series!$A$3:$F$11,6,0))&amp;" - "&amp;(IFERROR(IF(FIND("_",$B77)&gt;0,MID($B77,FIND("_",$B77)+1,LEN($B77)),IF(FIND("-",$B77)&gt;0,MID($B77,FIND("-",$B77)+1,LEN($B77)))),""))),"")),64))</f>
        <v/>
      </c>
      <c r="H77" s="12"/>
      <c r="I77" s="12" t="str">
        <f>IF($D77&lt;&gt;"",COUNTIF($D$7:$D77,"="&amp;$D77),"")</f>
        <v/>
      </c>
      <c r="J77"/>
      <c r="K77" s="8"/>
      <c r="L77"/>
    </row>
    <row r="78" spans="1:12" x14ac:dyDescent="0.3">
      <c r="A78" s="1"/>
      <c r="B78" s="26"/>
      <c r="C78" s="12" t="str">
        <f>_xlfn.IFNA(IFERROR(IF(FIND("_",$B78)&gt;0,INDEX(WP!$A$2:$F$23,MATCH(LEFT($B78,FIND("_",$B78)-1),WP!$E$2:$E$23,0),1),IF(FIND("-",$B78)&gt;0,INDEX(WP!$A$2:$F$23,MATCH(LEFT($B78,FIND("_",$B78)-1),WP!$E$2:$E$23,0),1))),INDEX(WP!$A$2:$F$23,MATCH(Results!$B78,WP!$E$2:$E$23,0),1)),"")</f>
        <v/>
      </c>
      <c r="D78" s="12" t="str">
        <f>IFERROR(IFERROR(IF(RIGHT(INDEX(WP!$A$2:$F$23,MATCH(IF(FIND("_",$B78)&gt;0,LEFT($B78,FIND("_",$B78)-1)),WP!$E$2:$E$23,0),2),6)="Series",LEFT(INDEX(WP!$A$2:$F$23,MATCH(IF(FIND("_",$B78)&gt;0,LEFT($B78,FIND("_",$B78)-1)),WP!$E$2:$E$23,0),2),5),""),IF(RIGHT(INDEX(WP!$A$2:$F$23,MATCH($B78,WP!$E$2:$E$23,0),2),6)="Series",LEFT(INDEX(WP!$A$2:$F$23,MATCH($B78,WP!$E$2:$E$23,0),2),5),"")),"")</f>
        <v/>
      </c>
      <c r="E78" s="17" t="str">
        <f>IFERROR(VLOOKUP(VALUE($D78),Series!$B$3:$F$11,2,0),"")</f>
        <v/>
      </c>
      <c r="F78" s="12" t="str">
        <f>_xlfn.IFNA(IF(IF($D78&lt;&gt;"",COUNTIF($E:$E,"="&amp;$D78),"")="",IF(RIGHT(IFERROR(IF(FIND("_",$B78)&gt;0,INDEX(WP!$A$2:$F$23,MATCH(LEFT($B78,FIND("_",$B78)-1),WP!$E$2:$E$23,0),2),IF(FIND("-",$B78)&gt;0,INDEX(WP!$A$2:$F$23,MATCH(LEFT($B78,FIND("_",$B78)-1),WP!$E$2:$E$23,0),2))),INDEX(WP!$A$2:$F$23,MATCH(Results!$B78,WP!$E$2:$E$23,0),2)),6)="Series",LEFT(IFERROR(IF(FIND("_",$B78)&gt;0,INDEX(WP!$A$2:$F$23,MATCH(LEFT($B78,FIND("_",$B78)-1),WP!$E$2:$E$23,0),2),IF(FIND("-",$B78)&gt;0,INDEX(WP!$A$2:$F$23,MATCH(LEFT($B78,FIND("_",$B78)-1),WP!$E$2:$E$23,0),2))),INDEX(WP!$A$2:$F$23,MATCH(Results!$B78,WP!$E$2:$E$23,0),2)),5),(IFERROR(IF(FIND("_",$B78)&gt;0,INDEX(WP!$A$2:$F$23,MATCH(LEFT($B78,FIND("_",$B78)-1),WP!$E$2:$E$23,0),2),IF(FIND("-",$B78)&gt;0,INDEX(WP!$A$2:$F$23,MATCH(LEFT($B78,FIND("_",$B78)-1),WP!$E$2:$E$23,0),2))),INDEX(WP!$A$2:$F$23,MATCH(Results!$B78,WP!$E$2:$E$23,0),2)))),IF(RIGHT(IFERROR(IF(FIND("_",$B78)&gt;0,INDEX(WP!$A$2:$F$23,MATCH(LEFT($B78,FIND("_",$B78)-1),WP!$E$2:$E$23,0),2),IF(FIND("-",$B78)&gt;0,INDEX(WP!$A$2:$F$23,MATCH(LEFT($B78,FIND("_",$B78)-1),WP!$E$2:$E$23,0),2))),INDEX(WP!$A$2:$F$23,MATCH(Results!$B78,WP!$E$2:$E$23,0),2)),6)="Series",LEFT(IFERROR(IF(FIND("_",$B78)&gt;0,INDEX(WP!$A$2:$F$23,MATCH(LEFT($B78,FIND("_",$B78)-1),WP!$E$2:$E$23,0),2),IF(FIND("-",$B78)&gt;0,INDEX(WP!$A$2:$F$23,MATCH(LEFT($B78,FIND("_",$B78)-1),WP!$E$2:$E$23,0),2))),INDEX(WP!$A$2:$F$23,MATCH(Results!$B78,WP!$E$2:$E$23,0),2)),5),(IFERROR(IF(FIND("_",$B78)&gt;0,INDEX(WP!$A$2:$F$23,MATCH(LEFT($B78,FIND("_",$B78)-1),WP!$E$2:$E$23,0),2),IF(FIND("-",$B78)&gt;0,INDEX(WP!$A$2:$F$23,MATCH(LEFT($B78,FIND("_",$B78)-1),WP!$E$2:$E$23,0),2))),INDEX(WP!$A$2:$F$23,MATCH(Results!$B78,WP!$E$2:$E$23,0),2))))&amp;"-"&amp;$I78),"")</f>
        <v/>
      </c>
      <c r="G78" s="17" t="str">
        <f>IF(LEN(_xlfn.IFNA(IF(IFERROR(IF(FIND("_",$B78)&gt;0,MID($B78,FIND("_",$B78)+1,LEN($B78)),IF(FIND("-",$B78)&gt;0,MID($B78,FIND("-",$B78)+1,LEN($B78)))),"")="",IFERROR(VLOOKUP($F78,WP!$B$2:$C$23,2,0),VLOOKUP($C78,Series!$A$3:$F$11,6,0)),IFERROR(VLOOKUP($F78,WP!$B$2:$C$23,2,0),VLOOKUP($C78,Series!$A$3:$F$11,6,0))&amp;" - "&amp;(IFERROR(IF(FIND("_",$B78)&gt;0,MID($B78,FIND("_",$B78)+1,LEN($B78)),IF(FIND("-",$B78)&gt;0,MID($B78,FIND("-",$B78)+1,LEN($B78)))),""))),""))&lt;64,_xlfn.IFNA(IF(IFERROR(IF(FIND("_",$B78)&gt;0,MID($B78,FIND("_",$B78)+1,LEN($B78)),IF(FIND("-",$B78)&gt;0,MID($B78,FIND("-",$B78)+1,LEN($B78)))),"")="",IFERROR(VLOOKUP($F78,WP!$B$2:$C$23,2,0),VLOOKUP($C78,Series!$A$3:$F$11,6,0)),IFERROR(VLOOKUP($F78,WP!$B$2:$C$23,2,0),VLOOKUP($C78,Series!$A$3:$F$11,6,0))&amp;" - "&amp;(IFERROR(IF(FIND("_",$B78)&gt;0,MID($B78,FIND("_",$B78)+1,LEN($B78)),IF(FIND("-",$B78)&gt;0,MID($B78,FIND("-",$B78)+1,LEN($B78)))),""))),""),LEFT((_xlfn.IFNA(IF(IFERROR(IF(FIND("_",$B78)&gt;0,MID($B78,FIND("_",$B78)+1,LEN($B78)),IF(FIND("-",$B78)&gt;0,MID($B78,FIND("-",$B78)+1,LEN($B78)))),"")="",IFERROR(VLOOKUP($F78,WP!$B$2:$C$23,2,0),VLOOKUP($C78,Series!$A$3:$F$11,6,0)),IFERROR(VLOOKUP($F78,WP!$B$2:$C$23,2,0),VLOOKUP($C78,Series!$A$3:$F$11,6,0))&amp;" - "&amp;(IFERROR(IF(FIND("_",$B78)&gt;0,MID($B78,FIND("_",$B78)+1,LEN($B78)),IF(FIND("-",$B78)&gt;0,MID($B78,FIND("-",$B78)+1,LEN($B78)))),""))),"")),64))</f>
        <v/>
      </c>
      <c r="H78" s="12"/>
      <c r="I78" s="12" t="str">
        <f>IF($D78&lt;&gt;"",COUNTIF($D$7:$D78,"="&amp;$D78),"")</f>
        <v/>
      </c>
      <c r="J78"/>
      <c r="K78" s="8"/>
      <c r="L78"/>
    </row>
    <row r="79" spans="1:12" x14ac:dyDescent="0.3">
      <c r="A79" s="1"/>
      <c r="B79" s="26"/>
      <c r="C79" s="12" t="str">
        <f>_xlfn.IFNA(IFERROR(IF(FIND("_",$B79)&gt;0,INDEX(WP!$A$2:$F$23,MATCH(LEFT($B79,FIND("_",$B79)-1),WP!$E$2:$E$23,0),1),IF(FIND("-",$B79)&gt;0,INDEX(WP!$A$2:$F$23,MATCH(LEFT($B79,FIND("_",$B79)-1),WP!$E$2:$E$23,0),1))),INDEX(WP!$A$2:$F$23,MATCH(Results!$B79,WP!$E$2:$E$23,0),1)),"")</f>
        <v/>
      </c>
      <c r="D79" s="12" t="str">
        <f>IFERROR(IFERROR(IF(RIGHT(INDEX(WP!$A$2:$F$23,MATCH(IF(FIND("_",$B79)&gt;0,LEFT($B79,FIND("_",$B79)-1)),WP!$E$2:$E$23,0),2),6)="Series",LEFT(INDEX(WP!$A$2:$F$23,MATCH(IF(FIND("_",$B79)&gt;0,LEFT($B79,FIND("_",$B79)-1)),WP!$E$2:$E$23,0),2),5),""),IF(RIGHT(INDEX(WP!$A$2:$F$23,MATCH($B79,WP!$E$2:$E$23,0),2),6)="Series",LEFT(INDEX(WP!$A$2:$F$23,MATCH($B79,WP!$E$2:$E$23,0),2),5),"")),"")</f>
        <v/>
      </c>
      <c r="E79" s="17" t="str">
        <f>IFERROR(VLOOKUP(VALUE($D79),Series!$B$3:$F$11,2,0),"")</f>
        <v/>
      </c>
      <c r="F79" s="12" t="str">
        <f>_xlfn.IFNA(IF(IF($D79&lt;&gt;"",COUNTIF($E:$E,"="&amp;$D79),"")="",IF(RIGHT(IFERROR(IF(FIND("_",$B79)&gt;0,INDEX(WP!$A$2:$F$23,MATCH(LEFT($B79,FIND("_",$B79)-1),WP!$E$2:$E$23,0),2),IF(FIND("-",$B79)&gt;0,INDEX(WP!$A$2:$F$23,MATCH(LEFT($B79,FIND("_",$B79)-1),WP!$E$2:$E$23,0),2))),INDEX(WP!$A$2:$F$23,MATCH(Results!$B79,WP!$E$2:$E$23,0),2)),6)="Series",LEFT(IFERROR(IF(FIND("_",$B79)&gt;0,INDEX(WP!$A$2:$F$23,MATCH(LEFT($B79,FIND("_",$B79)-1),WP!$E$2:$E$23,0),2),IF(FIND("-",$B79)&gt;0,INDEX(WP!$A$2:$F$23,MATCH(LEFT($B79,FIND("_",$B79)-1),WP!$E$2:$E$23,0),2))),INDEX(WP!$A$2:$F$23,MATCH(Results!$B79,WP!$E$2:$E$23,0),2)),5),(IFERROR(IF(FIND("_",$B79)&gt;0,INDEX(WP!$A$2:$F$23,MATCH(LEFT($B79,FIND("_",$B79)-1),WP!$E$2:$E$23,0),2),IF(FIND("-",$B79)&gt;0,INDEX(WP!$A$2:$F$23,MATCH(LEFT($B79,FIND("_",$B79)-1),WP!$E$2:$E$23,0),2))),INDEX(WP!$A$2:$F$23,MATCH(Results!$B79,WP!$E$2:$E$23,0),2)))),IF(RIGHT(IFERROR(IF(FIND("_",$B79)&gt;0,INDEX(WP!$A$2:$F$23,MATCH(LEFT($B79,FIND("_",$B79)-1),WP!$E$2:$E$23,0),2),IF(FIND("-",$B79)&gt;0,INDEX(WP!$A$2:$F$23,MATCH(LEFT($B79,FIND("_",$B79)-1),WP!$E$2:$E$23,0),2))),INDEX(WP!$A$2:$F$23,MATCH(Results!$B79,WP!$E$2:$E$23,0),2)),6)="Series",LEFT(IFERROR(IF(FIND("_",$B79)&gt;0,INDEX(WP!$A$2:$F$23,MATCH(LEFT($B79,FIND("_",$B79)-1),WP!$E$2:$E$23,0),2),IF(FIND("-",$B79)&gt;0,INDEX(WP!$A$2:$F$23,MATCH(LEFT($B79,FIND("_",$B79)-1),WP!$E$2:$E$23,0),2))),INDEX(WP!$A$2:$F$23,MATCH(Results!$B79,WP!$E$2:$E$23,0),2)),5),(IFERROR(IF(FIND("_",$B79)&gt;0,INDEX(WP!$A$2:$F$23,MATCH(LEFT($B79,FIND("_",$B79)-1),WP!$E$2:$E$23,0),2),IF(FIND("-",$B79)&gt;0,INDEX(WP!$A$2:$F$23,MATCH(LEFT($B79,FIND("_",$B79)-1),WP!$E$2:$E$23,0),2))),INDEX(WP!$A$2:$F$23,MATCH(Results!$B79,WP!$E$2:$E$23,0),2))))&amp;"-"&amp;$I79),"")</f>
        <v/>
      </c>
      <c r="G79" s="17" t="str">
        <f>IF(LEN(_xlfn.IFNA(IF(IFERROR(IF(FIND("_",$B79)&gt;0,MID($B79,FIND("_",$B79)+1,LEN($B79)),IF(FIND("-",$B79)&gt;0,MID($B79,FIND("-",$B79)+1,LEN($B79)))),"")="",IFERROR(VLOOKUP($F79,WP!$B$2:$C$23,2,0),VLOOKUP($C79,Series!$A$3:$F$11,6,0)),IFERROR(VLOOKUP($F79,WP!$B$2:$C$23,2,0),VLOOKUP($C79,Series!$A$3:$F$11,6,0))&amp;" - "&amp;(IFERROR(IF(FIND("_",$B79)&gt;0,MID($B79,FIND("_",$B79)+1,LEN($B79)),IF(FIND("-",$B79)&gt;0,MID($B79,FIND("-",$B79)+1,LEN($B79)))),""))),""))&lt;64,_xlfn.IFNA(IF(IFERROR(IF(FIND("_",$B79)&gt;0,MID($B79,FIND("_",$B79)+1,LEN($B79)),IF(FIND("-",$B79)&gt;0,MID($B79,FIND("-",$B79)+1,LEN($B79)))),"")="",IFERROR(VLOOKUP($F79,WP!$B$2:$C$23,2,0),VLOOKUP($C79,Series!$A$3:$F$11,6,0)),IFERROR(VLOOKUP($F79,WP!$B$2:$C$23,2,0),VLOOKUP($C79,Series!$A$3:$F$11,6,0))&amp;" - "&amp;(IFERROR(IF(FIND("_",$B79)&gt;0,MID($B79,FIND("_",$B79)+1,LEN($B79)),IF(FIND("-",$B79)&gt;0,MID($B79,FIND("-",$B79)+1,LEN($B79)))),""))),""),LEFT((_xlfn.IFNA(IF(IFERROR(IF(FIND("_",$B79)&gt;0,MID($B79,FIND("_",$B79)+1,LEN($B79)),IF(FIND("-",$B79)&gt;0,MID($B79,FIND("-",$B79)+1,LEN($B79)))),"")="",IFERROR(VLOOKUP($F79,WP!$B$2:$C$23,2,0),VLOOKUP($C79,Series!$A$3:$F$11,6,0)),IFERROR(VLOOKUP($F79,WP!$B$2:$C$23,2,0),VLOOKUP($C79,Series!$A$3:$F$11,6,0))&amp;" - "&amp;(IFERROR(IF(FIND("_",$B79)&gt;0,MID($B79,FIND("_",$B79)+1,LEN($B79)),IF(FIND("-",$B79)&gt;0,MID($B79,FIND("-",$B79)+1,LEN($B79)))),""))),"")),64))</f>
        <v/>
      </c>
      <c r="H79" s="12"/>
      <c r="I79" s="12" t="str">
        <f>IF($D79&lt;&gt;"",COUNTIF($D$7:$D79,"="&amp;$D79),"")</f>
        <v/>
      </c>
      <c r="J79"/>
      <c r="K79" s="8"/>
      <c r="L79"/>
    </row>
    <row r="80" spans="1:12" x14ac:dyDescent="0.3">
      <c r="A80" s="1"/>
      <c r="B80" s="26"/>
      <c r="C80" s="12" t="str">
        <f>_xlfn.IFNA(IFERROR(IF(FIND("_",$B80)&gt;0,INDEX(WP!$A$2:$F$23,MATCH(LEFT($B80,FIND("_",$B80)-1),WP!$E$2:$E$23,0),1),IF(FIND("-",$B80)&gt;0,INDEX(WP!$A$2:$F$23,MATCH(LEFT($B80,FIND("_",$B80)-1),WP!$E$2:$E$23,0),1))),INDEX(WP!$A$2:$F$23,MATCH(Results!$B80,WP!$E$2:$E$23,0),1)),"")</f>
        <v/>
      </c>
      <c r="D80" s="12" t="str">
        <f>IFERROR(IFERROR(IF(RIGHT(INDEX(WP!$A$2:$F$23,MATCH(IF(FIND("_",$B80)&gt;0,LEFT($B80,FIND("_",$B80)-1)),WP!$E$2:$E$23,0),2),6)="Series",LEFT(INDEX(WP!$A$2:$F$23,MATCH(IF(FIND("_",$B80)&gt;0,LEFT($B80,FIND("_",$B80)-1)),WP!$E$2:$E$23,0),2),5),""),IF(RIGHT(INDEX(WP!$A$2:$F$23,MATCH($B80,WP!$E$2:$E$23,0),2),6)="Series",LEFT(INDEX(WP!$A$2:$F$23,MATCH($B80,WP!$E$2:$E$23,0),2),5),"")),"")</f>
        <v/>
      </c>
      <c r="E80" s="17" t="str">
        <f>IFERROR(VLOOKUP(VALUE($D80),Series!$B$3:$F$11,2,0),"")</f>
        <v/>
      </c>
      <c r="F80" s="12" t="str">
        <f>_xlfn.IFNA(IF(IF($D80&lt;&gt;"",COUNTIF($E:$E,"="&amp;$D80),"")="",IF(RIGHT(IFERROR(IF(FIND("_",$B80)&gt;0,INDEX(WP!$A$2:$F$23,MATCH(LEFT($B80,FIND("_",$B80)-1),WP!$E$2:$E$23,0),2),IF(FIND("-",$B80)&gt;0,INDEX(WP!$A$2:$F$23,MATCH(LEFT($B80,FIND("_",$B80)-1),WP!$E$2:$E$23,0),2))),INDEX(WP!$A$2:$F$23,MATCH(Results!$B80,WP!$E$2:$E$23,0),2)),6)="Series",LEFT(IFERROR(IF(FIND("_",$B80)&gt;0,INDEX(WP!$A$2:$F$23,MATCH(LEFT($B80,FIND("_",$B80)-1),WP!$E$2:$E$23,0),2),IF(FIND("-",$B80)&gt;0,INDEX(WP!$A$2:$F$23,MATCH(LEFT($B80,FIND("_",$B80)-1),WP!$E$2:$E$23,0),2))),INDEX(WP!$A$2:$F$23,MATCH(Results!$B80,WP!$E$2:$E$23,0),2)),5),(IFERROR(IF(FIND("_",$B80)&gt;0,INDEX(WP!$A$2:$F$23,MATCH(LEFT($B80,FIND("_",$B80)-1),WP!$E$2:$E$23,0),2),IF(FIND("-",$B80)&gt;0,INDEX(WP!$A$2:$F$23,MATCH(LEFT($B80,FIND("_",$B80)-1),WP!$E$2:$E$23,0),2))),INDEX(WP!$A$2:$F$23,MATCH(Results!$B80,WP!$E$2:$E$23,0),2)))),IF(RIGHT(IFERROR(IF(FIND("_",$B80)&gt;0,INDEX(WP!$A$2:$F$23,MATCH(LEFT($B80,FIND("_",$B80)-1),WP!$E$2:$E$23,0),2),IF(FIND("-",$B80)&gt;0,INDEX(WP!$A$2:$F$23,MATCH(LEFT($B80,FIND("_",$B80)-1),WP!$E$2:$E$23,0),2))),INDEX(WP!$A$2:$F$23,MATCH(Results!$B80,WP!$E$2:$E$23,0),2)),6)="Series",LEFT(IFERROR(IF(FIND("_",$B80)&gt;0,INDEX(WP!$A$2:$F$23,MATCH(LEFT($B80,FIND("_",$B80)-1),WP!$E$2:$E$23,0),2),IF(FIND("-",$B80)&gt;0,INDEX(WP!$A$2:$F$23,MATCH(LEFT($B80,FIND("_",$B80)-1),WP!$E$2:$E$23,0),2))),INDEX(WP!$A$2:$F$23,MATCH(Results!$B80,WP!$E$2:$E$23,0),2)),5),(IFERROR(IF(FIND("_",$B80)&gt;0,INDEX(WP!$A$2:$F$23,MATCH(LEFT($B80,FIND("_",$B80)-1),WP!$E$2:$E$23,0),2),IF(FIND("-",$B80)&gt;0,INDEX(WP!$A$2:$F$23,MATCH(LEFT($B80,FIND("_",$B80)-1),WP!$E$2:$E$23,0),2))),INDEX(WP!$A$2:$F$23,MATCH(Results!$B80,WP!$E$2:$E$23,0),2))))&amp;"-"&amp;$I80),"")</f>
        <v/>
      </c>
      <c r="G80" s="17" t="str">
        <f>IF(LEN(_xlfn.IFNA(IF(IFERROR(IF(FIND("_",$B80)&gt;0,MID($B80,FIND("_",$B80)+1,LEN($B80)),IF(FIND("-",$B80)&gt;0,MID($B80,FIND("-",$B80)+1,LEN($B80)))),"")="",IFERROR(VLOOKUP($F80,WP!$B$2:$C$23,2,0),VLOOKUP($C80,Series!$A$3:$F$11,6,0)),IFERROR(VLOOKUP($F80,WP!$B$2:$C$23,2,0),VLOOKUP($C80,Series!$A$3:$F$11,6,0))&amp;" - "&amp;(IFERROR(IF(FIND("_",$B80)&gt;0,MID($B80,FIND("_",$B80)+1,LEN($B80)),IF(FIND("-",$B80)&gt;0,MID($B80,FIND("-",$B80)+1,LEN($B80)))),""))),""))&lt;64,_xlfn.IFNA(IF(IFERROR(IF(FIND("_",$B80)&gt;0,MID($B80,FIND("_",$B80)+1,LEN($B80)),IF(FIND("-",$B80)&gt;0,MID($B80,FIND("-",$B80)+1,LEN($B80)))),"")="",IFERROR(VLOOKUP($F80,WP!$B$2:$C$23,2,0),VLOOKUP($C80,Series!$A$3:$F$11,6,0)),IFERROR(VLOOKUP($F80,WP!$B$2:$C$23,2,0),VLOOKUP($C80,Series!$A$3:$F$11,6,0))&amp;" - "&amp;(IFERROR(IF(FIND("_",$B80)&gt;0,MID($B80,FIND("_",$B80)+1,LEN($B80)),IF(FIND("-",$B80)&gt;0,MID($B80,FIND("-",$B80)+1,LEN($B80)))),""))),""),LEFT((_xlfn.IFNA(IF(IFERROR(IF(FIND("_",$B80)&gt;0,MID($B80,FIND("_",$B80)+1,LEN($B80)),IF(FIND("-",$B80)&gt;0,MID($B80,FIND("-",$B80)+1,LEN($B80)))),"")="",IFERROR(VLOOKUP($F80,WP!$B$2:$C$23,2,0),VLOOKUP($C80,Series!$A$3:$F$11,6,0)),IFERROR(VLOOKUP($F80,WP!$B$2:$C$23,2,0),VLOOKUP($C80,Series!$A$3:$F$11,6,0))&amp;" - "&amp;(IFERROR(IF(FIND("_",$B80)&gt;0,MID($B80,FIND("_",$B80)+1,LEN($B80)),IF(FIND("-",$B80)&gt;0,MID($B80,FIND("-",$B80)+1,LEN($B80)))),""))),"")),64))</f>
        <v/>
      </c>
      <c r="H80" s="12"/>
      <c r="I80" s="12" t="str">
        <f>IF($D80&lt;&gt;"",COUNTIF($D$7:$D80,"="&amp;$D80),"")</f>
        <v/>
      </c>
      <c r="J80"/>
      <c r="K80" s="8"/>
      <c r="L80"/>
    </row>
    <row r="81" spans="1:12" x14ac:dyDescent="0.3">
      <c r="A81" s="1"/>
      <c r="B81" s="26"/>
      <c r="C81" s="12" t="str">
        <f>_xlfn.IFNA(IFERROR(IF(FIND("_",$B81)&gt;0,INDEX(WP!$A$2:$F$23,MATCH(LEFT($B81,FIND("_",$B81)-1),WP!$E$2:$E$23,0),1),IF(FIND("-",$B81)&gt;0,INDEX(WP!$A$2:$F$23,MATCH(LEFT($B81,FIND("_",$B81)-1),WP!$E$2:$E$23,0),1))),INDEX(WP!$A$2:$F$23,MATCH(Results!$B81,WP!$E$2:$E$23,0),1)),"")</f>
        <v/>
      </c>
      <c r="D81" s="12" t="str">
        <f>IFERROR(IFERROR(IF(RIGHT(INDEX(WP!$A$2:$F$23,MATCH(IF(FIND("_",$B81)&gt;0,LEFT($B81,FIND("_",$B81)-1)),WP!$E$2:$E$23,0),2),6)="Series",LEFT(INDEX(WP!$A$2:$F$23,MATCH(IF(FIND("_",$B81)&gt;0,LEFT($B81,FIND("_",$B81)-1)),WP!$E$2:$E$23,0),2),5),""),IF(RIGHT(INDEX(WP!$A$2:$F$23,MATCH($B81,WP!$E$2:$E$23,0),2),6)="Series",LEFT(INDEX(WP!$A$2:$F$23,MATCH($B81,WP!$E$2:$E$23,0),2),5),"")),"")</f>
        <v/>
      </c>
      <c r="E81" s="17" t="str">
        <f>IFERROR(VLOOKUP(VALUE($D81),Series!$B$3:$F$11,2,0),"")</f>
        <v/>
      </c>
      <c r="F81" s="12" t="str">
        <f>_xlfn.IFNA(IF(IF($D81&lt;&gt;"",COUNTIF($E:$E,"="&amp;$D81),"")="",IF(RIGHT(IFERROR(IF(FIND("_",$B81)&gt;0,INDEX(WP!$A$2:$F$23,MATCH(LEFT($B81,FIND("_",$B81)-1),WP!$E$2:$E$23,0),2),IF(FIND("-",$B81)&gt;0,INDEX(WP!$A$2:$F$23,MATCH(LEFT($B81,FIND("_",$B81)-1),WP!$E$2:$E$23,0),2))),INDEX(WP!$A$2:$F$23,MATCH(Results!$B81,WP!$E$2:$E$23,0),2)),6)="Series",LEFT(IFERROR(IF(FIND("_",$B81)&gt;0,INDEX(WP!$A$2:$F$23,MATCH(LEFT($B81,FIND("_",$B81)-1),WP!$E$2:$E$23,0),2),IF(FIND("-",$B81)&gt;0,INDEX(WP!$A$2:$F$23,MATCH(LEFT($B81,FIND("_",$B81)-1),WP!$E$2:$E$23,0),2))),INDEX(WP!$A$2:$F$23,MATCH(Results!$B81,WP!$E$2:$E$23,0),2)),5),(IFERROR(IF(FIND("_",$B81)&gt;0,INDEX(WP!$A$2:$F$23,MATCH(LEFT($B81,FIND("_",$B81)-1),WP!$E$2:$E$23,0),2),IF(FIND("-",$B81)&gt;0,INDEX(WP!$A$2:$F$23,MATCH(LEFT($B81,FIND("_",$B81)-1),WP!$E$2:$E$23,0),2))),INDEX(WP!$A$2:$F$23,MATCH(Results!$B81,WP!$E$2:$E$23,0),2)))),IF(RIGHT(IFERROR(IF(FIND("_",$B81)&gt;0,INDEX(WP!$A$2:$F$23,MATCH(LEFT($B81,FIND("_",$B81)-1),WP!$E$2:$E$23,0),2),IF(FIND("-",$B81)&gt;0,INDEX(WP!$A$2:$F$23,MATCH(LEFT($B81,FIND("_",$B81)-1),WP!$E$2:$E$23,0),2))),INDEX(WP!$A$2:$F$23,MATCH(Results!$B81,WP!$E$2:$E$23,0),2)),6)="Series",LEFT(IFERROR(IF(FIND("_",$B81)&gt;0,INDEX(WP!$A$2:$F$23,MATCH(LEFT($B81,FIND("_",$B81)-1),WP!$E$2:$E$23,0),2),IF(FIND("-",$B81)&gt;0,INDEX(WP!$A$2:$F$23,MATCH(LEFT($B81,FIND("_",$B81)-1),WP!$E$2:$E$23,0),2))),INDEX(WP!$A$2:$F$23,MATCH(Results!$B81,WP!$E$2:$E$23,0),2)),5),(IFERROR(IF(FIND("_",$B81)&gt;0,INDEX(WP!$A$2:$F$23,MATCH(LEFT($B81,FIND("_",$B81)-1),WP!$E$2:$E$23,0),2),IF(FIND("-",$B81)&gt;0,INDEX(WP!$A$2:$F$23,MATCH(LEFT($B81,FIND("_",$B81)-1),WP!$E$2:$E$23,0),2))),INDEX(WP!$A$2:$F$23,MATCH(Results!$B81,WP!$E$2:$E$23,0),2))))&amp;"-"&amp;$I81),"")</f>
        <v/>
      </c>
      <c r="G81" s="17" t="str">
        <f>IF(LEN(_xlfn.IFNA(IF(IFERROR(IF(FIND("_",$B81)&gt;0,MID($B81,FIND("_",$B81)+1,LEN($B81)),IF(FIND("-",$B81)&gt;0,MID($B81,FIND("-",$B81)+1,LEN($B81)))),"")="",IFERROR(VLOOKUP($F81,WP!$B$2:$C$23,2,0),VLOOKUP($C81,Series!$A$3:$F$11,6,0)),IFERROR(VLOOKUP($F81,WP!$B$2:$C$23,2,0),VLOOKUP($C81,Series!$A$3:$F$11,6,0))&amp;" - "&amp;(IFERROR(IF(FIND("_",$B81)&gt;0,MID($B81,FIND("_",$B81)+1,LEN($B81)),IF(FIND("-",$B81)&gt;0,MID($B81,FIND("-",$B81)+1,LEN($B81)))),""))),""))&lt;64,_xlfn.IFNA(IF(IFERROR(IF(FIND("_",$B81)&gt;0,MID($B81,FIND("_",$B81)+1,LEN($B81)),IF(FIND("-",$B81)&gt;0,MID($B81,FIND("-",$B81)+1,LEN($B81)))),"")="",IFERROR(VLOOKUP($F81,WP!$B$2:$C$23,2,0),VLOOKUP($C81,Series!$A$3:$F$11,6,0)),IFERROR(VLOOKUP($F81,WP!$B$2:$C$23,2,0),VLOOKUP($C81,Series!$A$3:$F$11,6,0))&amp;" - "&amp;(IFERROR(IF(FIND("_",$B81)&gt;0,MID($B81,FIND("_",$B81)+1,LEN($B81)),IF(FIND("-",$B81)&gt;0,MID($B81,FIND("-",$B81)+1,LEN($B81)))),""))),""),LEFT((_xlfn.IFNA(IF(IFERROR(IF(FIND("_",$B81)&gt;0,MID($B81,FIND("_",$B81)+1,LEN($B81)),IF(FIND("-",$B81)&gt;0,MID($B81,FIND("-",$B81)+1,LEN($B81)))),"")="",IFERROR(VLOOKUP($F81,WP!$B$2:$C$23,2,0),VLOOKUP($C81,Series!$A$3:$F$11,6,0)),IFERROR(VLOOKUP($F81,WP!$B$2:$C$23,2,0),VLOOKUP($C81,Series!$A$3:$F$11,6,0))&amp;" - "&amp;(IFERROR(IF(FIND("_",$B81)&gt;0,MID($B81,FIND("_",$B81)+1,LEN($B81)),IF(FIND("-",$B81)&gt;0,MID($B81,FIND("-",$B81)+1,LEN($B81)))),""))),"")),64))</f>
        <v/>
      </c>
      <c r="H81" s="12"/>
      <c r="I81" s="12" t="str">
        <f>IF($D81&lt;&gt;"",COUNTIF($D$7:$D81,"="&amp;$D81),"")</f>
        <v/>
      </c>
      <c r="J81"/>
      <c r="K81" s="8"/>
      <c r="L81"/>
    </row>
    <row r="82" spans="1:12" x14ac:dyDescent="0.3">
      <c r="A82" s="1"/>
      <c r="B82" s="26"/>
      <c r="C82" s="12" t="str">
        <f>_xlfn.IFNA(IFERROR(IF(FIND("_",$B82)&gt;0,INDEX(WP!$A$2:$F$23,MATCH(LEFT($B82,FIND("_",$B82)-1),WP!$E$2:$E$23,0),1),IF(FIND("-",$B82)&gt;0,INDEX(WP!$A$2:$F$23,MATCH(LEFT($B82,FIND("_",$B82)-1),WP!$E$2:$E$23,0),1))),INDEX(WP!$A$2:$F$23,MATCH(Results!$B82,WP!$E$2:$E$23,0),1)),"")</f>
        <v/>
      </c>
      <c r="D82" s="12" t="str">
        <f>IFERROR(IFERROR(IF(RIGHT(INDEX(WP!$A$2:$F$23,MATCH(IF(FIND("_",$B82)&gt;0,LEFT($B82,FIND("_",$B82)-1)),WP!$E$2:$E$23,0),2),6)="Series",LEFT(INDEX(WP!$A$2:$F$23,MATCH(IF(FIND("_",$B82)&gt;0,LEFT($B82,FIND("_",$B82)-1)),WP!$E$2:$E$23,0),2),5),""),IF(RIGHT(INDEX(WP!$A$2:$F$23,MATCH($B82,WP!$E$2:$E$23,0),2),6)="Series",LEFT(INDEX(WP!$A$2:$F$23,MATCH($B82,WP!$E$2:$E$23,0),2),5),"")),"")</f>
        <v/>
      </c>
      <c r="E82" s="17" t="str">
        <f>IFERROR(VLOOKUP(VALUE($D82),Series!$B$3:$F$11,2,0),"")</f>
        <v/>
      </c>
      <c r="F82" s="12" t="str">
        <f>_xlfn.IFNA(IF(IF($D82&lt;&gt;"",COUNTIF($E:$E,"="&amp;$D82),"")="",IF(RIGHT(IFERROR(IF(FIND("_",$B82)&gt;0,INDEX(WP!$A$2:$F$23,MATCH(LEFT($B82,FIND("_",$B82)-1),WP!$E$2:$E$23,0),2),IF(FIND("-",$B82)&gt;0,INDEX(WP!$A$2:$F$23,MATCH(LEFT($B82,FIND("_",$B82)-1),WP!$E$2:$E$23,0),2))),INDEX(WP!$A$2:$F$23,MATCH(Results!$B82,WP!$E$2:$E$23,0),2)),6)="Series",LEFT(IFERROR(IF(FIND("_",$B82)&gt;0,INDEX(WP!$A$2:$F$23,MATCH(LEFT($B82,FIND("_",$B82)-1),WP!$E$2:$E$23,0),2),IF(FIND("-",$B82)&gt;0,INDEX(WP!$A$2:$F$23,MATCH(LEFT($B82,FIND("_",$B82)-1),WP!$E$2:$E$23,0),2))),INDEX(WP!$A$2:$F$23,MATCH(Results!$B82,WP!$E$2:$E$23,0),2)),5),(IFERROR(IF(FIND("_",$B82)&gt;0,INDEX(WP!$A$2:$F$23,MATCH(LEFT($B82,FIND("_",$B82)-1),WP!$E$2:$E$23,0),2),IF(FIND("-",$B82)&gt;0,INDEX(WP!$A$2:$F$23,MATCH(LEFT($B82,FIND("_",$B82)-1),WP!$E$2:$E$23,0),2))),INDEX(WP!$A$2:$F$23,MATCH(Results!$B82,WP!$E$2:$E$23,0),2)))),IF(RIGHT(IFERROR(IF(FIND("_",$B82)&gt;0,INDEX(WP!$A$2:$F$23,MATCH(LEFT($B82,FIND("_",$B82)-1),WP!$E$2:$E$23,0),2),IF(FIND("-",$B82)&gt;0,INDEX(WP!$A$2:$F$23,MATCH(LEFT($B82,FIND("_",$B82)-1),WP!$E$2:$E$23,0),2))),INDEX(WP!$A$2:$F$23,MATCH(Results!$B82,WP!$E$2:$E$23,0),2)),6)="Series",LEFT(IFERROR(IF(FIND("_",$B82)&gt;0,INDEX(WP!$A$2:$F$23,MATCH(LEFT($B82,FIND("_",$B82)-1),WP!$E$2:$E$23,0),2),IF(FIND("-",$B82)&gt;0,INDEX(WP!$A$2:$F$23,MATCH(LEFT($B82,FIND("_",$B82)-1),WP!$E$2:$E$23,0),2))),INDEX(WP!$A$2:$F$23,MATCH(Results!$B82,WP!$E$2:$E$23,0),2)),5),(IFERROR(IF(FIND("_",$B82)&gt;0,INDEX(WP!$A$2:$F$23,MATCH(LEFT($B82,FIND("_",$B82)-1),WP!$E$2:$E$23,0),2),IF(FIND("-",$B82)&gt;0,INDEX(WP!$A$2:$F$23,MATCH(LEFT($B82,FIND("_",$B82)-1),WP!$E$2:$E$23,0),2))),INDEX(WP!$A$2:$F$23,MATCH(Results!$B82,WP!$E$2:$E$23,0),2))))&amp;"-"&amp;$I82),"")</f>
        <v/>
      </c>
      <c r="G82" s="17" t="str">
        <f>IF(LEN(_xlfn.IFNA(IF(IFERROR(IF(FIND("_",$B82)&gt;0,MID($B82,FIND("_",$B82)+1,LEN($B82)),IF(FIND("-",$B82)&gt;0,MID($B82,FIND("-",$B82)+1,LEN($B82)))),"")="",IFERROR(VLOOKUP($F82,WP!$B$2:$C$23,2,0),VLOOKUP($C82,Series!$A$3:$F$11,6,0)),IFERROR(VLOOKUP($F82,WP!$B$2:$C$23,2,0),VLOOKUP($C82,Series!$A$3:$F$11,6,0))&amp;" - "&amp;(IFERROR(IF(FIND("_",$B82)&gt;0,MID($B82,FIND("_",$B82)+1,LEN($B82)),IF(FIND("-",$B82)&gt;0,MID($B82,FIND("-",$B82)+1,LEN($B82)))),""))),""))&lt;64,_xlfn.IFNA(IF(IFERROR(IF(FIND("_",$B82)&gt;0,MID($B82,FIND("_",$B82)+1,LEN($B82)),IF(FIND("-",$B82)&gt;0,MID($B82,FIND("-",$B82)+1,LEN($B82)))),"")="",IFERROR(VLOOKUP($F82,WP!$B$2:$C$23,2,0),VLOOKUP($C82,Series!$A$3:$F$11,6,0)),IFERROR(VLOOKUP($F82,WP!$B$2:$C$23,2,0),VLOOKUP($C82,Series!$A$3:$F$11,6,0))&amp;" - "&amp;(IFERROR(IF(FIND("_",$B82)&gt;0,MID($B82,FIND("_",$B82)+1,LEN($B82)),IF(FIND("-",$B82)&gt;0,MID($B82,FIND("-",$B82)+1,LEN($B82)))),""))),""),LEFT((_xlfn.IFNA(IF(IFERROR(IF(FIND("_",$B82)&gt;0,MID($B82,FIND("_",$B82)+1,LEN($B82)),IF(FIND("-",$B82)&gt;0,MID($B82,FIND("-",$B82)+1,LEN($B82)))),"")="",IFERROR(VLOOKUP($F82,WP!$B$2:$C$23,2,0),VLOOKUP($C82,Series!$A$3:$F$11,6,0)),IFERROR(VLOOKUP($F82,WP!$B$2:$C$23,2,0),VLOOKUP($C82,Series!$A$3:$F$11,6,0))&amp;" - "&amp;(IFERROR(IF(FIND("_",$B82)&gt;0,MID($B82,FIND("_",$B82)+1,LEN($B82)),IF(FIND("-",$B82)&gt;0,MID($B82,FIND("-",$B82)+1,LEN($B82)))),""))),"")),64))</f>
        <v/>
      </c>
      <c r="H82" s="12"/>
      <c r="I82" s="12" t="str">
        <f>IF($D82&lt;&gt;"",COUNTIF($D$7:$D82,"="&amp;$D82),"")</f>
        <v/>
      </c>
      <c r="J82"/>
      <c r="K82" s="8"/>
      <c r="L82"/>
    </row>
    <row r="83" spans="1:12" x14ac:dyDescent="0.3">
      <c r="A83" s="1"/>
      <c r="B83" s="26"/>
      <c r="C83" s="12" t="str">
        <f>_xlfn.IFNA(IFERROR(IF(FIND("_",$B83)&gt;0,INDEX(WP!$A$2:$F$23,MATCH(LEFT($B83,FIND("_",$B83)-1),WP!$E$2:$E$23,0),1),IF(FIND("-",$B83)&gt;0,INDEX(WP!$A$2:$F$23,MATCH(LEFT($B83,FIND("_",$B83)-1),WP!$E$2:$E$23,0),1))),INDEX(WP!$A$2:$F$23,MATCH(Results!$B83,WP!$E$2:$E$23,0),1)),"")</f>
        <v/>
      </c>
      <c r="D83" s="12" t="str">
        <f>IFERROR(IFERROR(IF(RIGHT(INDEX(WP!$A$2:$F$23,MATCH(IF(FIND("_",$B83)&gt;0,LEFT($B83,FIND("_",$B83)-1)),WP!$E$2:$E$23,0),2),6)="Series",LEFT(INDEX(WP!$A$2:$F$23,MATCH(IF(FIND("_",$B83)&gt;0,LEFT($B83,FIND("_",$B83)-1)),WP!$E$2:$E$23,0),2),5),""),IF(RIGHT(INDEX(WP!$A$2:$F$23,MATCH($B83,WP!$E$2:$E$23,0),2),6)="Series",LEFT(INDEX(WP!$A$2:$F$23,MATCH($B83,WP!$E$2:$E$23,0),2),5),"")),"")</f>
        <v/>
      </c>
      <c r="E83" s="17" t="str">
        <f>IFERROR(VLOOKUP(VALUE($D83),Series!$B$3:$F$11,2,0),"")</f>
        <v/>
      </c>
      <c r="F83" s="12" t="str">
        <f>_xlfn.IFNA(IF(IF($D83&lt;&gt;"",COUNTIF($E:$E,"="&amp;$D83),"")="",IF(RIGHT(IFERROR(IF(FIND("_",$B83)&gt;0,INDEX(WP!$A$2:$F$23,MATCH(LEFT($B83,FIND("_",$B83)-1),WP!$E$2:$E$23,0),2),IF(FIND("-",$B83)&gt;0,INDEX(WP!$A$2:$F$23,MATCH(LEFT($B83,FIND("_",$B83)-1),WP!$E$2:$E$23,0),2))),INDEX(WP!$A$2:$F$23,MATCH(Results!$B83,WP!$E$2:$E$23,0),2)),6)="Series",LEFT(IFERROR(IF(FIND("_",$B83)&gt;0,INDEX(WP!$A$2:$F$23,MATCH(LEFT($B83,FIND("_",$B83)-1),WP!$E$2:$E$23,0),2),IF(FIND("-",$B83)&gt;0,INDEX(WP!$A$2:$F$23,MATCH(LEFT($B83,FIND("_",$B83)-1),WP!$E$2:$E$23,0),2))),INDEX(WP!$A$2:$F$23,MATCH(Results!$B83,WP!$E$2:$E$23,0),2)),5),(IFERROR(IF(FIND("_",$B83)&gt;0,INDEX(WP!$A$2:$F$23,MATCH(LEFT($B83,FIND("_",$B83)-1),WP!$E$2:$E$23,0),2),IF(FIND("-",$B83)&gt;0,INDEX(WP!$A$2:$F$23,MATCH(LEFT($B83,FIND("_",$B83)-1),WP!$E$2:$E$23,0),2))),INDEX(WP!$A$2:$F$23,MATCH(Results!$B83,WP!$E$2:$E$23,0),2)))),IF(RIGHT(IFERROR(IF(FIND("_",$B83)&gt;0,INDEX(WP!$A$2:$F$23,MATCH(LEFT($B83,FIND("_",$B83)-1),WP!$E$2:$E$23,0),2),IF(FIND("-",$B83)&gt;0,INDEX(WP!$A$2:$F$23,MATCH(LEFT($B83,FIND("_",$B83)-1),WP!$E$2:$E$23,0),2))),INDEX(WP!$A$2:$F$23,MATCH(Results!$B83,WP!$E$2:$E$23,0),2)),6)="Series",LEFT(IFERROR(IF(FIND("_",$B83)&gt;0,INDEX(WP!$A$2:$F$23,MATCH(LEFT($B83,FIND("_",$B83)-1),WP!$E$2:$E$23,0),2),IF(FIND("-",$B83)&gt;0,INDEX(WP!$A$2:$F$23,MATCH(LEFT($B83,FIND("_",$B83)-1),WP!$E$2:$E$23,0),2))),INDEX(WP!$A$2:$F$23,MATCH(Results!$B83,WP!$E$2:$E$23,0),2)),5),(IFERROR(IF(FIND("_",$B83)&gt;0,INDEX(WP!$A$2:$F$23,MATCH(LEFT($B83,FIND("_",$B83)-1),WP!$E$2:$E$23,0),2),IF(FIND("-",$B83)&gt;0,INDEX(WP!$A$2:$F$23,MATCH(LEFT($B83,FIND("_",$B83)-1),WP!$E$2:$E$23,0),2))),INDEX(WP!$A$2:$F$23,MATCH(Results!$B83,WP!$E$2:$E$23,0),2))))&amp;"-"&amp;$I83),"")</f>
        <v/>
      </c>
      <c r="G83" s="17" t="str">
        <f>IF(LEN(_xlfn.IFNA(IF(IFERROR(IF(FIND("_",$B83)&gt;0,MID($B83,FIND("_",$B83)+1,LEN($B83)),IF(FIND("-",$B83)&gt;0,MID($B83,FIND("-",$B83)+1,LEN($B83)))),"")="",IFERROR(VLOOKUP($F83,WP!$B$2:$C$23,2,0),VLOOKUP($C83,Series!$A$3:$F$11,6,0)),IFERROR(VLOOKUP($F83,WP!$B$2:$C$23,2,0),VLOOKUP($C83,Series!$A$3:$F$11,6,0))&amp;" - "&amp;(IFERROR(IF(FIND("_",$B83)&gt;0,MID($B83,FIND("_",$B83)+1,LEN($B83)),IF(FIND("-",$B83)&gt;0,MID($B83,FIND("-",$B83)+1,LEN($B83)))),""))),""))&lt;64,_xlfn.IFNA(IF(IFERROR(IF(FIND("_",$B83)&gt;0,MID($B83,FIND("_",$B83)+1,LEN($B83)),IF(FIND("-",$B83)&gt;0,MID($B83,FIND("-",$B83)+1,LEN($B83)))),"")="",IFERROR(VLOOKUP($F83,WP!$B$2:$C$23,2,0),VLOOKUP($C83,Series!$A$3:$F$11,6,0)),IFERROR(VLOOKUP($F83,WP!$B$2:$C$23,2,0),VLOOKUP($C83,Series!$A$3:$F$11,6,0))&amp;" - "&amp;(IFERROR(IF(FIND("_",$B83)&gt;0,MID($B83,FIND("_",$B83)+1,LEN($B83)),IF(FIND("-",$B83)&gt;0,MID($B83,FIND("-",$B83)+1,LEN($B83)))),""))),""),LEFT((_xlfn.IFNA(IF(IFERROR(IF(FIND("_",$B83)&gt;0,MID($B83,FIND("_",$B83)+1,LEN($B83)),IF(FIND("-",$B83)&gt;0,MID($B83,FIND("-",$B83)+1,LEN($B83)))),"")="",IFERROR(VLOOKUP($F83,WP!$B$2:$C$23,2,0),VLOOKUP($C83,Series!$A$3:$F$11,6,0)),IFERROR(VLOOKUP($F83,WP!$B$2:$C$23,2,0),VLOOKUP($C83,Series!$A$3:$F$11,6,0))&amp;" - "&amp;(IFERROR(IF(FIND("_",$B83)&gt;0,MID($B83,FIND("_",$B83)+1,LEN($B83)),IF(FIND("-",$B83)&gt;0,MID($B83,FIND("-",$B83)+1,LEN($B83)))),""))),"")),64))</f>
        <v/>
      </c>
      <c r="H83" s="12"/>
      <c r="I83" s="12" t="str">
        <f>IF($D83&lt;&gt;"",COUNTIF($D$7:$D83,"="&amp;$D83),"")</f>
        <v/>
      </c>
      <c r="J83"/>
      <c r="K83" s="8"/>
      <c r="L83"/>
    </row>
    <row r="84" spans="1:12" x14ac:dyDescent="0.3">
      <c r="A84" s="1"/>
      <c r="B84" s="26"/>
      <c r="C84" s="12" t="str">
        <f>_xlfn.IFNA(IFERROR(IF(FIND("_",$B84)&gt;0,INDEX(WP!$A$2:$F$23,MATCH(LEFT($B84,FIND("_",$B84)-1),WP!$E$2:$E$23,0),1),IF(FIND("-",$B84)&gt;0,INDEX(WP!$A$2:$F$23,MATCH(LEFT($B84,FIND("_",$B84)-1),WP!$E$2:$E$23,0),1))),INDEX(WP!$A$2:$F$23,MATCH(Results!$B84,WP!$E$2:$E$23,0),1)),"")</f>
        <v/>
      </c>
      <c r="D84" s="12" t="str">
        <f>IFERROR(IFERROR(IF(RIGHT(INDEX(WP!$A$2:$F$23,MATCH(IF(FIND("_",$B84)&gt;0,LEFT($B84,FIND("_",$B84)-1)),WP!$E$2:$E$23,0),2),6)="Series",LEFT(INDEX(WP!$A$2:$F$23,MATCH(IF(FIND("_",$B84)&gt;0,LEFT($B84,FIND("_",$B84)-1)),WP!$E$2:$E$23,0),2),5),""),IF(RIGHT(INDEX(WP!$A$2:$F$23,MATCH($B84,WP!$E$2:$E$23,0),2),6)="Series",LEFT(INDEX(WP!$A$2:$F$23,MATCH($B84,WP!$E$2:$E$23,0),2),5),"")),"")</f>
        <v/>
      </c>
      <c r="E84" s="17" t="str">
        <f>IFERROR(VLOOKUP(VALUE($D84),Series!$B$3:$F$11,2,0),"")</f>
        <v/>
      </c>
      <c r="F84" s="12" t="str">
        <f>_xlfn.IFNA(IF(IF($D84&lt;&gt;"",COUNTIF($E:$E,"="&amp;$D84),"")="",IF(RIGHT(IFERROR(IF(FIND("_",$B84)&gt;0,INDEX(WP!$A$2:$F$23,MATCH(LEFT($B84,FIND("_",$B84)-1),WP!$E$2:$E$23,0),2),IF(FIND("-",$B84)&gt;0,INDEX(WP!$A$2:$F$23,MATCH(LEFT($B84,FIND("_",$B84)-1),WP!$E$2:$E$23,0),2))),INDEX(WP!$A$2:$F$23,MATCH(Results!$B84,WP!$E$2:$E$23,0),2)),6)="Series",LEFT(IFERROR(IF(FIND("_",$B84)&gt;0,INDEX(WP!$A$2:$F$23,MATCH(LEFT($B84,FIND("_",$B84)-1),WP!$E$2:$E$23,0),2),IF(FIND("-",$B84)&gt;0,INDEX(WP!$A$2:$F$23,MATCH(LEFT($B84,FIND("_",$B84)-1),WP!$E$2:$E$23,0),2))),INDEX(WP!$A$2:$F$23,MATCH(Results!$B84,WP!$E$2:$E$23,0),2)),5),(IFERROR(IF(FIND("_",$B84)&gt;0,INDEX(WP!$A$2:$F$23,MATCH(LEFT($B84,FIND("_",$B84)-1),WP!$E$2:$E$23,0),2),IF(FIND("-",$B84)&gt;0,INDEX(WP!$A$2:$F$23,MATCH(LEFT($B84,FIND("_",$B84)-1),WP!$E$2:$E$23,0),2))),INDEX(WP!$A$2:$F$23,MATCH(Results!$B84,WP!$E$2:$E$23,0),2)))),IF(RIGHT(IFERROR(IF(FIND("_",$B84)&gt;0,INDEX(WP!$A$2:$F$23,MATCH(LEFT($B84,FIND("_",$B84)-1),WP!$E$2:$E$23,0),2),IF(FIND("-",$B84)&gt;0,INDEX(WP!$A$2:$F$23,MATCH(LEFT($B84,FIND("_",$B84)-1),WP!$E$2:$E$23,0),2))),INDEX(WP!$A$2:$F$23,MATCH(Results!$B84,WP!$E$2:$E$23,0),2)),6)="Series",LEFT(IFERROR(IF(FIND("_",$B84)&gt;0,INDEX(WP!$A$2:$F$23,MATCH(LEFT($B84,FIND("_",$B84)-1),WP!$E$2:$E$23,0),2),IF(FIND("-",$B84)&gt;0,INDEX(WP!$A$2:$F$23,MATCH(LEFT($B84,FIND("_",$B84)-1),WP!$E$2:$E$23,0),2))),INDEX(WP!$A$2:$F$23,MATCH(Results!$B84,WP!$E$2:$E$23,0),2)),5),(IFERROR(IF(FIND("_",$B84)&gt;0,INDEX(WP!$A$2:$F$23,MATCH(LEFT($B84,FIND("_",$B84)-1),WP!$E$2:$E$23,0),2),IF(FIND("-",$B84)&gt;0,INDEX(WP!$A$2:$F$23,MATCH(LEFT($B84,FIND("_",$B84)-1),WP!$E$2:$E$23,0),2))),INDEX(WP!$A$2:$F$23,MATCH(Results!$B84,WP!$E$2:$E$23,0),2))))&amp;"-"&amp;$I84),"")</f>
        <v/>
      </c>
      <c r="G84" s="17" t="str">
        <f>IF(LEN(_xlfn.IFNA(IF(IFERROR(IF(FIND("_",$B84)&gt;0,MID($B84,FIND("_",$B84)+1,LEN($B84)),IF(FIND("-",$B84)&gt;0,MID($B84,FIND("-",$B84)+1,LEN($B84)))),"")="",IFERROR(VLOOKUP($F84,WP!$B$2:$C$23,2,0),VLOOKUP($C84,Series!$A$3:$F$11,6,0)),IFERROR(VLOOKUP($F84,WP!$B$2:$C$23,2,0),VLOOKUP($C84,Series!$A$3:$F$11,6,0))&amp;" - "&amp;(IFERROR(IF(FIND("_",$B84)&gt;0,MID($B84,FIND("_",$B84)+1,LEN($B84)),IF(FIND("-",$B84)&gt;0,MID($B84,FIND("-",$B84)+1,LEN($B84)))),""))),""))&lt;64,_xlfn.IFNA(IF(IFERROR(IF(FIND("_",$B84)&gt;0,MID($B84,FIND("_",$B84)+1,LEN($B84)),IF(FIND("-",$B84)&gt;0,MID($B84,FIND("-",$B84)+1,LEN($B84)))),"")="",IFERROR(VLOOKUP($F84,WP!$B$2:$C$23,2,0),VLOOKUP($C84,Series!$A$3:$F$11,6,0)),IFERROR(VLOOKUP($F84,WP!$B$2:$C$23,2,0),VLOOKUP($C84,Series!$A$3:$F$11,6,0))&amp;" - "&amp;(IFERROR(IF(FIND("_",$B84)&gt;0,MID($B84,FIND("_",$B84)+1,LEN($B84)),IF(FIND("-",$B84)&gt;0,MID($B84,FIND("-",$B84)+1,LEN($B84)))),""))),""),LEFT((_xlfn.IFNA(IF(IFERROR(IF(FIND("_",$B84)&gt;0,MID($B84,FIND("_",$B84)+1,LEN($B84)),IF(FIND("-",$B84)&gt;0,MID($B84,FIND("-",$B84)+1,LEN($B84)))),"")="",IFERROR(VLOOKUP($F84,WP!$B$2:$C$23,2,0),VLOOKUP($C84,Series!$A$3:$F$11,6,0)),IFERROR(VLOOKUP($F84,WP!$B$2:$C$23,2,0),VLOOKUP($C84,Series!$A$3:$F$11,6,0))&amp;" - "&amp;(IFERROR(IF(FIND("_",$B84)&gt;0,MID($B84,FIND("_",$B84)+1,LEN($B84)),IF(FIND("-",$B84)&gt;0,MID($B84,FIND("-",$B84)+1,LEN($B84)))),""))),"")),64))</f>
        <v/>
      </c>
      <c r="H84" s="12"/>
      <c r="I84" s="12" t="str">
        <f>IF($D84&lt;&gt;"",COUNTIF($D$7:$D84,"="&amp;$D84),"")</f>
        <v/>
      </c>
      <c r="J84"/>
      <c r="K84" s="8"/>
      <c r="L84"/>
    </row>
    <row r="85" spans="1:12" x14ac:dyDescent="0.3">
      <c r="A85" s="1"/>
      <c r="B85" s="26"/>
      <c r="C85" s="12" t="str">
        <f>_xlfn.IFNA(IFERROR(IF(FIND("_",$B85)&gt;0,INDEX(WP!$A$2:$F$23,MATCH(LEFT($B85,FIND("_",$B85)-1),WP!$E$2:$E$23,0),1),IF(FIND("-",$B85)&gt;0,INDEX(WP!$A$2:$F$23,MATCH(LEFT($B85,FIND("_",$B85)-1),WP!$E$2:$E$23,0),1))),INDEX(WP!$A$2:$F$23,MATCH(Results!$B85,WP!$E$2:$E$23,0),1)),"")</f>
        <v/>
      </c>
      <c r="D85" s="12" t="str">
        <f>IFERROR(IFERROR(IF(RIGHT(INDEX(WP!$A$2:$F$23,MATCH(IF(FIND("_",$B85)&gt;0,LEFT($B85,FIND("_",$B85)-1)),WP!$E$2:$E$23,0),2),6)="Series",LEFT(INDEX(WP!$A$2:$F$23,MATCH(IF(FIND("_",$B85)&gt;0,LEFT($B85,FIND("_",$B85)-1)),WP!$E$2:$E$23,0),2),5),""),IF(RIGHT(INDEX(WP!$A$2:$F$23,MATCH($B85,WP!$E$2:$E$23,0),2),6)="Series",LEFT(INDEX(WP!$A$2:$F$23,MATCH($B85,WP!$E$2:$E$23,0),2),5),"")),"")</f>
        <v/>
      </c>
      <c r="E85" s="17" t="str">
        <f>IFERROR(VLOOKUP(VALUE($D85),Series!$B$3:$F$11,2,0),"")</f>
        <v/>
      </c>
      <c r="F85" s="12" t="str">
        <f>_xlfn.IFNA(IF(IF($D85&lt;&gt;"",COUNTIF($E:$E,"="&amp;$D85),"")="",IF(RIGHT(IFERROR(IF(FIND("_",$B85)&gt;0,INDEX(WP!$A$2:$F$23,MATCH(LEFT($B85,FIND("_",$B85)-1),WP!$E$2:$E$23,0),2),IF(FIND("-",$B85)&gt;0,INDEX(WP!$A$2:$F$23,MATCH(LEFT($B85,FIND("_",$B85)-1),WP!$E$2:$E$23,0),2))),INDEX(WP!$A$2:$F$23,MATCH(Results!$B85,WP!$E$2:$E$23,0),2)),6)="Series",LEFT(IFERROR(IF(FIND("_",$B85)&gt;0,INDEX(WP!$A$2:$F$23,MATCH(LEFT($B85,FIND("_",$B85)-1),WP!$E$2:$E$23,0),2),IF(FIND("-",$B85)&gt;0,INDEX(WP!$A$2:$F$23,MATCH(LEFT($B85,FIND("_",$B85)-1),WP!$E$2:$E$23,0),2))),INDEX(WP!$A$2:$F$23,MATCH(Results!$B85,WP!$E$2:$E$23,0),2)),5),(IFERROR(IF(FIND("_",$B85)&gt;0,INDEX(WP!$A$2:$F$23,MATCH(LEFT($B85,FIND("_",$B85)-1),WP!$E$2:$E$23,0),2),IF(FIND("-",$B85)&gt;0,INDEX(WP!$A$2:$F$23,MATCH(LEFT($B85,FIND("_",$B85)-1),WP!$E$2:$E$23,0),2))),INDEX(WP!$A$2:$F$23,MATCH(Results!$B85,WP!$E$2:$E$23,0),2)))),IF(RIGHT(IFERROR(IF(FIND("_",$B85)&gt;0,INDEX(WP!$A$2:$F$23,MATCH(LEFT($B85,FIND("_",$B85)-1),WP!$E$2:$E$23,0),2),IF(FIND("-",$B85)&gt;0,INDEX(WP!$A$2:$F$23,MATCH(LEFT($B85,FIND("_",$B85)-1),WP!$E$2:$E$23,0),2))),INDEX(WP!$A$2:$F$23,MATCH(Results!$B85,WP!$E$2:$E$23,0),2)),6)="Series",LEFT(IFERROR(IF(FIND("_",$B85)&gt;0,INDEX(WP!$A$2:$F$23,MATCH(LEFT($B85,FIND("_",$B85)-1),WP!$E$2:$E$23,0),2),IF(FIND("-",$B85)&gt;0,INDEX(WP!$A$2:$F$23,MATCH(LEFT($B85,FIND("_",$B85)-1),WP!$E$2:$E$23,0),2))),INDEX(WP!$A$2:$F$23,MATCH(Results!$B85,WP!$E$2:$E$23,0),2)),5),(IFERROR(IF(FIND("_",$B85)&gt;0,INDEX(WP!$A$2:$F$23,MATCH(LEFT($B85,FIND("_",$B85)-1),WP!$E$2:$E$23,0),2),IF(FIND("-",$B85)&gt;0,INDEX(WP!$A$2:$F$23,MATCH(LEFT($B85,FIND("_",$B85)-1),WP!$E$2:$E$23,0),2))),INDEX(WP!$A$2:$F$23,MATCH(Results!$B85,WP!$E$2:$E$23,0),2))))&amp;"-"&amp;$I85),"")</f>
        <v/>
      </c>
      <c r="G85" s="17" t="str">
        <f>IF(LEN(_xlfn.IFNA(IF(IFERROR(IF(FIND("_",$B85)&gt;0,MID($B85,FIND("_",$B85)+1,LEN($B85)),IF(FIND("-",$B85)&gt;0,MID($B85,FIND("-",$B85)+1,LEN($B85)))),"")="",IFERROR(VLOOKUP($F85,WP!$B$2:$C$23,2,0),VLOOKUP($C85,Series!$A$3:$F$11,6,0)),IFERROR(VLOOKUP($F85,WP!$B$2:$C$23,2,0),VLOOKUP($C85,Series!$A$3:$F$11,6,0))&amp;" - "&amp;(IFERROR(IF(FIND("_",$B85)&gt;0,MID($B85,FIND("_",$B85)+1,LEN($B85)),IF(FIND("-",$B85)&gt;0,MID($B85,FIND("-",$B85)+1,LEN($B85)))),""))),""))&lt;64,_xlfn.IFNA(IF(IFERROR(IF(FIND("_",$B85)&gt;0,MID($B85,FIND("_",$B85)+1,LEN($B85)),IF(FIND("-",$B85)&gt;0,MID($B85,FIND("-",$B85)+1,LEN($B85)))),"")="",IFERROR(VLOOKUP($F85,WP!$B$2:$C$23,2,0),VLOOKUP($C85,Series!$A$3:$F$11,6,0)),IFERROR(VLOOKUP($F85,WP!$B$2:$C$23,2,0),VLOOKUP($C85,Series!$A$3:$F$11,6,0))&amp;" - "&amp;(IFERROR(IF(FIND("_",$B85)&gt;0,MID($B85,FIND("_",$B85)+1,LEN($B85)),IF(FIND("-",$B85)&gt;0,MID($B85,FIND("-",$B85)+1,LEN($B85)))),""))),""),LEFT((_xlfn.IFNA(IF(IFERROR(IF(FIND("_",$B85)&gt;0,MID($B85,FIND("_",$B85)+1,LEN($B85)),IF(FIND("-",$B85)&gt;0,MID($B85,FIND("-",$B85)+1,LEN($B85)))),"")="",IFERROR(VLOOKUP($F85,WP!$B$2:$C$23,2,0),VLOOKUP($C85,Series!$A$3:$F$11,6,0)),IFERROR(VLOOKUP($F85,WP!$B$2:$C$23,2,0),VLOOKUP($C85,Series!$A$3:$F$11,6,0))&amp;" - "&amp;(IFERROR(IF(FIND("_",$B85)&gt;0,MID($B85,FIND("_",$B85)+1,LEN($B85)),IF(FIND("-",$B85)&gt;0,MID($B85,FIND("-",$B85)+1,LEN($B85)))),""))),"")),64))</f>
        <v/>
      </c>
      <c r="H85" s="12"/>
      <c r="I85" s="12" t="str">
        <f>IF($D85&lt;&gt;"",COUNTIF($D$7:$D85,"="&amp;$D85),"")</f>
        <v/>
      </c>
      <c r="J85"/>
      <c r="K85" s="8"/>
      <c r="L85"/>
    </row>
    <row r="86" spans="1:12" x14ac:dyDescent="0.3">
      <c r="A86" s="1"/>
      <c r="B86" s="26"/>
      <c r="C86" s="12" t="str">
        <f>_xlfn.IFNA(IFERROR(IF(FIND("_",$B86)&gt;0,INDEX(WP!$A$2:$F$23,MATCH(LEFT($B86,FIND("_",$B86)-1),WP!$E$2:$E$23,0),1),IF(FIND("-",$B86)&gt;0,INDEX(WP!$A$2:$F$23,MATCH(LEFT($B86,FIND("_",$B86)-1),WP!$E$2:$E$23,0),1))),INDEX(WP!$A$2:$F$23,MATCH(Results!$B86,WP!$E$2:$E$23,0),1)),"")</f>
        <v/>
      </c>
      <c r="D86" s="12" t="str">
        <f>IFERROR(IFERROR(IF(RIGHT(INDEX(WP!$A$2:$F$23,MATCH(IF(FIND("_",$B86)&gt;0,LEFT($B86,FIND("_",$B86)-1)),WP!$E$2:$E$23,0),2),6)="Series",LEFT(INDEX(WP!$A$2:$F$23,MATCH(IF(FIND("_",$B86)&gt;0,LEFT($B86,FIND("_",$B86)-1)),WP!$E$2:$E$23,0),2),5),""),IF(RIGHT(INDEX(WP!$A$2:$F$23,MATCH($B86,WP!$E$2:$E$23,0),2),6)="Series",LEFT(INDEX(WP!$A$2:$F$23,MATCH($B86,WP!$E$2:$E$23,0),2),5),"")),"")</f>
        <v/>
      </c>
      <c r="E86" s="17" t="str">
        <f>IFERROR(VLOOKUP(VALUE($D86),Series!$B$3:$F$11,2,0),"")</f>
        <v/>
      </c>
      <c r="F86" s="12" t="str">
        <f>_xlfn.IFNA(IF(IF($D86&lt;&gt;"",COUNTIF($E:$E,"="&amp;$D86),"")="",IF(RIGHT(IFERROR(IF(FIND("_",$B86)&gt;0,INDEX(WP!$A$2:$F$23,MATCH(LEFT($B86,FIND("_",$B86)-1),WP!$E$2:$E$23,0),2),IF(FIND("-",$B86)&gt;0,INDEX(WP!$A$2:$F$23,MATCH(LEFT($B86,FIND("_",$B86)-1),WP!$E$2:$E$23,0),2))),INDEX(WP!$A$2:$F$23,MATCH(Results!$B86,WP!$E$2:$E$23,0),2)),6)="Series",LEFT(IFERROR(IF(FIND("_",$B86)&gt;0,INDEX(WP!$A$2:$F$23,MATCH(LEFT($B86,FIND("_",$B86)-1),WP!$E$2:$E$23,0),2),IF(FIND("-",$B86)&gt;0,INDEX(WP!$A$2:$F$23,MATCH(LEFT($B86,FIND("_",$B86)-1),WP!$E$2:$E$23,0),2))),INDEX(WP!$A$2:$F$23,MATCH(Results!$B86,WP!$E$2:$E$23,0),2)),5),(IFERROR(IF(FIND("_",$B86)&gt;0,INDEX(WP!$A$2:$F$23,MATCH(LEFT($B86,FIND("_",$B86)-1),WP!$E$2:$E$23,0),2),IF(FIND("-",$B86)&gt;0,INDEX(WP!$A$2:$F$23,MATCH(LEFT($B86,FIND("_",$B86)-1),WP!$E$2:$E$23,0),2))),INDEX(WP!$A$2:$F$23,MATCH(Results!$B86,WP!$E$2:$E$23,0),2)))),IF(RIGHT(IFERROR(IF(FIND("_",$B86)&gt;0,INDEX(WP!$A$2:$F$23,MATCH(LEFT($B86,FIND("_",$B86)-1),WP!$E$2:$E$23,0),2),IF(FIND("-",$B86)&gt;0,INDEX(WP!$A$2:$F$23,MATCH(LEFT($B86,FIND("_",$B86)-1),WP!$E$2:$E$23,0),2))),INDEX(WP!$A$2:$F$23,MATCH(Results!$B86,WP!$E$2:$E$23,0),2)),6)="Series",LEFT(IFERROR(IF(FIND("_",$B86)&gt;0,INDEX(WP!$A$2:$F$23,MATCH(LEFT($B86,FIND("_",$B86)-1),WP!$E$2:$E$23,0),2),IF(FIND("-",$B86)&gt;0,INDEX(WP!$A$2:$F$23,MATCH(LEFT($B86,FIND("_",$B86)-1),WP!$E$2:$E$23,0),2))),INDEX(WP!$A$2:$F$23,MATCH(Results!$B86,WP!$E$2:$E$23,0),2)),5),(IFERROR(IF(FIND("_",$B86)&gt;0,INDEX(WP!$A$2:$F$23,MATCH(LEFT($B86,FIND("_",$B86)-1),WP!$E$2:$E$23,0),2),IF(FIND("-",$B86)&gt;0,INDEX(WP!$A$2:$F$23,MATCH(LEFT($B86,FIND("_",$B86)-1),WP!$E$2:$E$23,0),2))),INDEX(WP!$A$2:$F$23,MATCH(Results!$B86,WP!$E$2:$E$23,0),2))))&amp;"-"&amp;$I86),"")</f>
        <v/>
      </c>
      <c r="G86" s="17" t="str">
        <f>IF(LEN(_xlfn.IFNA(IF(IFERROR(IF(FIND("_",$B86)&gt;0,MID($B86,FIND("_",$B86)+1,LEN($B86)),IF(FIND("-",$B86)&gt;0,MID($B86,FIND("-",$B86)+1,LEN($B86)))),"")="",IFERROR(VLOOKUP($F86,WP!$B$2:$C$23,2,0),VLOOKUP($C86,Series!$A$3:$F$11,6,0)),IFERROR(VLOOKUP($F86,WP!$B$2:$C$23,2,0),VLOOKUP($C86,Series!$A$3:$F$11,6,0))&amp;" - "&amp;(IFERROR(IF(FIND("_",$B86)&gt;0,MID($B86,FIND("_",$B86)+1,LEN($B86)),IF(FIND("-",$B86)&gt;0,MID($B86,FIND("-",$B86)+1,LEN($B86)))),""))),""))&lt;64,_xlfn.IFNA(IF(IFERROR(IF(FIND("_",$B86)&gt;0,MID($B86,FIND("_",$B86)+1,LEN($B86)),IF(FIND("-",$B86)&gt;0,MID($B86,FIND("-",$B86)+1,LEN($B86)))),"")="",IFERROR(VLOOKUP($F86,WP!$B$2:$C$23,2,0),VLOOKUP($C86,Series!$A$3:$F$11,6,0)),IFERROR(VLOOKUP($F86,WP!$B$2:$C$23,2,0),VLOOKUP($C86,Series!$A$3:$F$11,6,0))&amp;" - "&amp;(IFERROR(IF(FIND("_",$B86)&gt;0,MID($B86,FIND("_",$B86)+1,LEN($B86)),IF(FIND("-",$B86)&gt;0,MID($B86,FIND("-",$B86)+1,LEN($B86)))),""))),""),LEFT((_xlfn.IFNA(IF(IFERROR(IF(FIND("_",$B86)&gt;0,MID($B86,FIND("_",$B86)+1,LEN($B86)),IF(FIND("-",$B86)&gt;0,MID($B86,FIND("-",$B86)+1,LEN($B86)))),"")="",IFERROR(VLOOKUP($F86,WP!$B$2:$C$23,2,0),VLOOKUP($C86,Series!$A$3:$F$11,6,0)),IFERROR(VLOOKUP($F86,WP!$B$2:$C$23,2,0),VLOOKUP($C86,Series!$A$3:$F$11,6,0))&amp;" - "&amp;(IFERROR(IF(FIND("_",$B86)&gt;0,MID($B86,FIND("_",$B86)+1,LEN($B86)),IF(FIND("-",$B86)&gt;0,MID($B86,FIND("-",$B86)+1,LEN($B86)))),""))),"")),64))</f>
        <v/>
      </c>
      <c r="H86" s="12"/>
      <c r="I86" s="12" t="str">
        <f>IF($D86&lt;&gt;"",COUNTIF($D$7:$D86,"="&amp;$D86),"")</f>
        <v/>
      </c>
      <c r="J86"/>
      <c r="K86" s="8"/>
      <c r="L86"/>
    </row>
    <row r="87" spans="1:12" x14ac:dyDescent="0.3">
      <c r="A87" s="1"/>
      <c r="B87" s="26"/>
      <c r="C87" s="12" t="str">
        <f>_xlfn.IFNA(IFERROR(IF(FIND("_",$B87)&gt;0,INDEX(WP!$A$2:$F$23,MATCH(LEFT($B87,FIND("_",$B87)-1),WP!$E$2:$E$23,0),1),IF(FIND("-",$B87)&gt;0,INDEX(WP!$A$2:$F$23,MATCH(LEFT($B87,FIND("_",$B87)-1),WP!$E$2:$E$23,0),1))),INDEX(WP!$A$2:$F$23,MATCH(Results!$B87,WP!$E$2:$E$23,0),1)),"")</f>
        <v/>
      </c>
      <c r="D87" s="12" t="str">
        <f>IFERROR(IFERROR(IF(RIGHT(INDEX(WP!$A$2:$F$23,MATCH(IF(FIND("_",$B87)&gt;0,LEFT($B87,FIND("_",$B87)-1)),WP!$E$2:$E$23,0),2),6)="Series",LEFT(INDEX(WP!$A$2:$F$23,MATCH(IF(FIND("_",$B87)&gt;0,LEFT($B87,FIND("_",$B87)-1)),WP!$E$2:$E$23,0),2),5),""),IF(RIGHT(INDEX(WP!$A$2:$F$23,MATCH($B87,WP!$E$2:$E$23,0),2),6)="Series",LEFT(INDEX(WP!$A$2:$F$23,MATCH($B87,WP!$E$2:$E$23,0),2),5),"")),"")</f>
        <v/>
      </c>
      <c r="E87" s="17" t="str">
        <f>IFERROR(VLOOKUP(VALUE($D87),Series!$B$3:$F$11,2,0),"")</f>
        <v/>
      </c>
      <c r="F87" s="12" t="str">
        <f>_xlfn.IFNA(IF(IF($D87&lt;&gt;"",COUNTIF($E:$E,"="&amp;$D87),"")="",IF(RIGHT(IFERROR(IF(FIND("_",$B87)&gt;0,INDEX(WP!$A$2:$F$23,MATCH(LEFT($B87,FIND("_",$B87)-1),WP!$E$2:$E$23,0),2),IF(FIND("-",$B87)&gt;0,INDEX(WP!$A$2:$F$23,MATCH(LEFT($B87,FIND("_",$B87)-1),WP!$E$2:$E$23,0),2))),INDEX(WP!$A$2:$F$23,MATCH(Results!$B87,WP!$E$2:$E$23,0),2)),6)="Series",LEFT(IFERROR(IF(FIND("_",$B87)&gt;0,INDEX(WP!$A$2:$F$23,MATCH(LEFT($B87,FIND("_",$B87)-1),WP!$E$2:$E$23,0),2),IF(FIND("-",$B87)&gt;0,INDEX(WP!$A$2:$F$23,MATCH(LEFT($B87,FIND("_",$B87)-1),WP!$E$2:$E$23,0),2))),INDEX(WP!$A$2:$F$23,MATCH(Results!$B87,WP!$E$2:$E$23,0),2)),5),(IFERROR(IF(FIND("_",$B87)&gt;0,INDEX(WP!$A$2:$F$23,MATCH(LEFT($B87,FIND("_",$B87)-1),WP!$E$2:$E$23,0),2),IF(FIND("-",$B87)&gt;0,INDEX(WP!$A$2:$F$23,MATCH(LEFT($B87,FIND("_",$B87)-1),WP!$E$2:$E$23,0),2))),INDEX(WP!$A$2:$F$23,MATCH(Results!$B87,WP!$E$2:$E$23,0),2)))),IF(RIGHT(IFERROR(IF(FIND("_",$B87)&gt;0,INDEX(WP!$A$2:$F$23,MATCH(LEFT($B87,FIND("_",$B87)-1),WP!$E$2:$E$23,0),2),IF(FIND("-",$B87)&gt;0,INDEX(WP!$A$2:$F$23,MATCH(LEFT($B87,FIND("_",$B87)-1),WP!$E$2:$E$23,0),2))),INDEX(WP!$A$2:$F$23,MATCH(Results!$B87,WP!$E$2:$E$23,0),2)),6)="Series",LEFT(IFERROR(IF(FIND("_",$B87)&gt;0,INDEX(WP!$A$2:$F$23,MATCH(LEFT($B87,FIND("_",$B87)-1),WP!$E$2:$E$23,0),2),IF(FIND("-",$B87)&gt;0,INDEX(WP!$A$2:$F$23,MATCH(LEFT($B87,FIND("_",$B87)-1),WP!$E$2:$E$23,0),2))),INDEX(WP!$A$2:$F$23,MATCH(Results!$B87,WP!$E$2:$E$23,0),2)),5),(IFERROR(IF(FIND("_",$B87)&gt;0,INDEX(WP!$A$2:$F$23,MATCH(LEFT($B87,FIND("_",$B87)-1),WP!$E$2:$E$23,0),2),IF(FIND("-",$B87)&gt;0,INDEX(WP!$A$2:$F$23,MATCH(LEFT($B87,FIND("_",$B87)-1),WP!$E$2:$E$23,0),2))),INDEX(WP!$A$2:$F$23,MATCH(Results!$B87,WP!$E$2:$E$23,0),2))))&amp;"-"&amp;$I87),"")</f>
        <v/>
      </c>
      <c r="G87" s="17" t="str">
        <f>IF(LEN(_xlfn.IFNA(IF(IFERROR(IF(FIND("_",$B87)&gt;0,MID($B87,FIND("_",$B87)+1,LEN($B87)),IF(FIND("-",$B87)&gt;0,MID($B87,FIND("-",$B87)+1,LEN($B87)))),"")="",IFERROR(VLOOKUP($F87,WP!$B$2:$C$23,2,0),VLOOKUP($C87,Series!$A$3:$F$11,6,0)),IFERROR(VLOOKUP($F87,WP!$B$2:$C$23,2,0),VLOOKUP($C87,Series!$A$3:$F$11,6,0))&amp;" - "&amp;(IFERROR(IF(FIND("_",$B87)&gt;0,MID($B87,FIND("_",$B87)+1,LEN($B87)),IF(FIND("-",$B87)&gt;0,MID($B87,FIND("-",$B87)+1,LEN($B87)))),""))),""))&lt;64,_xlfn.IFNA(IF(IFERROR(IF(FIND("_",$B87)&gt;0,MID($B87,FIND("_",$B87)+1,LEN($B87)),IF(FIND("-",$B87)&gt;0,MID($B87,FIND("-",$B87)+1,LEN($B87)))),"")="",IFERROR(VLOOKUP($F87,WP!$B$2:$C$23,2,0),VLOOKUP($C87,Series!$A$3:$F$11,6,0)),IFERROR(VLOOKUP($F87,WP!$B$2:$C$23,2,0),VLOOKUP($C87,Series!$A$3:$F$11,6,0))&amp;" - "&amp;(IFERROR(IF(FIND("_",$B87)&gt;0,MID($B87,FIND("_",$B87)+1,LEN($B87)),IF(FIND("-",$B87)&gt;0,MID($B87,FIND("-",$B87)+1,LEN($B87)))),""))),""),LEFT((_xlfn.IFNA(IF(IFERROR(IF(FIND("_",$B87)&gt;0,MID($B87,FIND("_",$B87)+1,LEN($B87)),IF(FIND("-",$B87)&gt;0,MID($B87,FIND("-",$B87)+1,LEN($B87)))),"")="",IFERROR(VLOOKUP($F87,WP!$B$2:$C$23,2,0),VLOOKUP($C87,Series!$A$3:$F$11,6,0)),IFERROR(VLOOKUP($F87,WP!$B$2:$C$23,2,0),VLOOKUP($C87,Series!$A$3:$F$11,6,0))&amp;" - "&amp;(IFERROR(IF(FIND("_",$B87)&gt;0,MID($B87,FIND("_",$B87)+1,LEN($B87)),IF(FIND("-",$B87)&gt;0,MID($B87,FIND("-",$B87)+1,LEN($B87)))),""))),"")),64))</f>
        <v/>
      </c>
      <c r="H87" s="12"/>
      <c r="I87" s="12" t="str">
        <f>IF($D87&lt;&gt;"",COUNTIF($D$7:$D87,"="&amp;$D87),"")</f>
        <v/>
      </c>
      <c r="J87"/>
      <c r="K87" s="8"/>
      <c r="L87"/>
    </row>
    <row r="88" spans="1:12" x14ac:dyDescent="0.3">
      <c r="A88" s="1"/>
      <c r="B88" s="26"/>
      <c r="C88" s="12" t="str">
        <f>_xlfn.IFNA(IFERROR(IF(FIND("_",$B88)&gt;0,INDEX(WP!$A$2:$F$23,MATCH(LEFT($B88,FIND("_",$B88)-1),WP!$E$2:$E$23,0),1),IF(FIND("-",$B88)&gt;0,INDEX(WP!$A$2:$F$23,MATCH(LEFT($B88,FIND("_",$B88)-1),WP!$E$2:$E$23,0),1))),INDEX(WP!$A$2:$F$23,MATCH(Results!$B88,WP!$E$2:$E$23,0),1)),"")</f>
        <v/>
      </c>
      <c r="D88" s="12" t="str">
        <f>IFERROR(IFERROR(IF(RIGHT(INDEX(WP!$A$2:$F$23,MATCH(IF(FIND("_",$B88)&gt;0,LEFT($B88,FIND("_",$B88)-1)),WP!$E$2:$E$23,0),2),6)="Series",LEFT(INDEX(WP!$A$2:$F$23,MATCH(IF(FIND("_",$B88)&gt;0,LEFT($B88,FIND("_",$B88)-1)),WP!$E$2:$E$23,0),2),5),""),IF(RIGHT(INDEX(WP!$A$2:$F$23,MATCH($B88,WP!$E$2:$E$23,0),2),6)="Series",LEFT(INDEX(WP!$A$2:$F$23,MATCH($B88,WP!$E$2:$E$23,0),2),5),"")),"")</f>
        <v/>
      </c>
      <c r="E88" s="17" t="str">
        <f>IFERROR(VLOOKUP(VALUE($D88),Series!$B$3:$F$11,2,0),"")</f>
        <v/>
      </c>
      <c r="F88" s="12" t="str">
        <f>_xlfn.IFNA(IF(IF($D88&lt;&gt;"",COUNTIF($E:$E,"="&amp;$D88),"")="",IF(RIGHT(IFERROR(IF(FIND("_",$B88)&gt;0,INDEX(WP!$A$2:$F$23,MATCH(LEFT($B88,FIND("_",$B88)-1),WP!$E$2:$E$23,0),2),IF(FIND("-",$B88)&gt;0,INDEX(WP!$A$2:$F$23,MATCH(LEFT($B88,FIND("_",$B88)-1),WP!$E$2:$E$23,0),2))),INDEX(WP!$A$2:$F$23,MATCH(Results!$B88,WP!$E$2:$E$23,0),2)),6)="Series",LEFT(IFERROR(IF(FIND("_",$B88)&gt;0,INDEX(WP!$A$2:$F$23,MATCH(LEFT($B88,FIND("_",$B88)-1),WP!$E$2:$E$23,0),2),IF(FIND("-",$B88)&gt;0,INDEX(WP!$A$2:$F$23,MATCH(LEFT($B88,FIND("_",$B88)-1),WP!$E$2:$E$23,0),2))),INDEX(WP!$A$2:$F$23,MATCH(Results!$B88,WP!$E$2:$E$23,0),2)),5),(IFERROR(IF(FIND("_",$B88)&gt;0,INDEX(WP!$A$2:$F$23,MATCH(LEFT($B88,FIND("_",$B88)-1),WP!$E$2:$E$23,0),2),IF(FIND("-",$B88)&gt;0,INDEX(WP!$A$2:$F$23,MATCH(LEFT($B88,FIND("_",$B88)-1),WP!$E$2:$E$23,0),2))),INDEX(WP!$A$2:$F$23,MATCH(Results!$B88,WP!$E$2:$E$23,0),2)))),IF(RIGHT(IFERROR(IF(FIND("_",$B88)&gt;0,INDEX(WP!$A$2:$F$23,MATCH(LEFT($B88,FIND("_",$B88)-1),WP!$E$2:$E$23,0),2),IF(FIND("-",$B88)&gt;0,INDEX(WP!$A$2:$F$23,MATCH(LEFT($B88,FIND("_",$B88)-1),WP!$E$2:$E$23,0),2))),INDEX(WP!$A$2:$F$23,MATCH(Results!$B88,WP!$E$2:$E$23,0),2)),6)="Series",LEFT(IFERROR(IF(FIND("_",$B88)&gt;0,INDEX(WP!$A$2:$F$23,MATCH(LEFT($B88,FIND("_",$B88)-1),WP!$E$2:$E$23,0),2),IF(FIND("-",$B88)&gt;0,INDEX(WP!$A$2:$F$23,MATCH(LEFT($B88,FIND("_",$B88)-1),WP!$E$2:$E$23,0),2))),INDEX(WP!$A$2:$F$23,MATCH(Results!$B88,WP!$E$2:$E$23,0),2)),5),(IFERROR(IF(FIND("_",$B88)&gt;0,INDEX(WP!$A$2:$F$23,MATCH(LEFT($B88,FIND("_",$B88)-1),WP!$E$2:$E$23,0),2),IF(FIND("-",$B88)&gt;0,INDEX(WP!$A$2:$F$23,MATCH(LEFT($B88,FIND("_",$B88)-1),WP!$E$2:$E$23,0),2))),INDEX(WP!$A$2:$F$23,MATCH(Results!$B88,WP!$E$2:$E$23,0),2))))&amp;"-"&amp;$I88),"")</f>
        <v/>
      </c>
      <c r="G88" s="17" t="str">
        <f>IF(LEN(_xlfn.IFNA(IF(IFERROR(IF(FIND("_",$B88)&gt;0,MID($B88,FIND("_",$B88)+1,LEN($B88)),IF(FIND("-",$B88)&gt;0,MID($B88,FIND("-",$B88)+1,LEN($B88)))),"")="",IFERROR(VLOOKUP($F88,WP!$B$2:$C$23,2,0),VLOOKUP($C88,Series!$A$3:$F$11,6,0)),IFERROR(VLOOKUP($F88,WP!$B$2:$C$23,2,0),VLOOKUP($C88,Series!$A$3:$F$11,6,0))&amp;" - "&amp;(IFERROR(IF(FIND("_",$B88)&gt;0,MID($B88,FIND("_",$B88)+1,LEN($B88)),IF(FIND("-",$B88)&gt;0,MID($B88,FIND("-",$B88)+1,LEN($B88)))),""))),""))&lt;64,_xlfn.IFNA(IF(IFERROR(IF(FIND("_",$B88)&gt;0,MID($B88,FIND("_",$B88)+1,LEN($B88)),IF(FIND("-",$B88)&gt;0,MID($B88,FIND("-",$B88)+1,LEN($B88)))),"")="",IFERROR(VLOOKUP($F88,WP!$B$2:$C$23,2,0),VLOOKUP($C88,Series!$A$3:$F$11,6,0)),IFERROR(VLOOKUP($F88,WP!$B$2:$C$23,2,0),VLOOKUP($C88,Series!$A$3:$F$11,6,0))&amp;" - "&amp;(IFERROR(IF(FIND("_",$B88)&gt;0,MID($B88,FIND("_",$B88)+1,LEN($B88)),IF(FIND("-",$B88)&gt;0,MID($B88,FIND("-",$B88)+1,LEN($B88)))),""))),""),LEFT((_xlfn.IFNA(IF(IFERROR(IF(FIND("_",$B88)&gt;0,MID($B88,FIND("_",$B88)+1,LEN($B88)),IF(FIND("-",$B88)&gt;0,MID($B88,FIND("-",$B88)+1,LEN($B88)))),"")="",IFERROR(VLOOKUP($F88,WP!$B$2:$C$23,2,0),VLOOKUP($C88,Series!$A$3:$F$11,6,0)),IFERROR(VLOOKUP($F88,WP!$B$2:$C$23,2,0),VLOOKUP($C88,Series!$A$3:$F$11,6,0))&amp;" - "&amp;(IFERROR(IF(FIND("_",$B88)&gt;0,MID($B88,FIND("_",$B88)+1,LEN($B88)),IF(FIND("-",$B88)&gt;0,MID($B88,FIND("-",$B88)+1,LEN($B88)))),""))),"")),64))</f>
        <v/>
      </c>
      <c r="H88" s="12"/>
      <c r="I88" s="12" t="str">
        <f>IF($D88&lt;&gt;"",COUNTIF($D$7:$D88,"="&amp;$D88),"")</f>
        <v/>
      </c>
      <c r="J88"/>
      <c r="K88" s="8"/>
      <c r="L88"/>
    </row>
    <row r="89" spans="1:12" x14ac:dyDescent="0.3">
      <c r="A89" s="1"/>
      <c r="B89" s="26"/>
      <c r="C89" s="12" t="str">
        <f>_xlfn.IFNA(IFERROR(IF(FIND("_",$B89)&gt;0,INDEX(WP!$A$2:$F$23,MATCH(LEFT($B89,FIND("_",$B89)-1),WP!$E$2:$E$23,0),1),IF(FIND("-",$B89)&gt;0,INDEX(WP!$A$2:$F$23,MATCH(LEFT($B89,FIND("_",$B89)-1),WP!$E$2:$E$23,0),1))),INDEX(WP!$A$2:$F$23,MATCH(Results!$B89,WP!$E$2:$E$23,0),1)),"")</f>
        <v/>
      </c>
      <c r="D89" s="12" t="str">
        <f>IFERROR(IFERROR(IF(RIGHT(INDEX(WP!$A$2:$F$23,MATCH(IF(FIND("_",$B89)&gt;0,LEFT($B89,FIND("_",$B89)-1)),WP!$E$2:$E$23,0),2),6)="Series",LEFT(INDEX(WP!$A$2:$F$23,MATCH(IF(FIND("_",$B89)&gt;0,LEFT($B89,FIND("_",$B89)-1)),WP!$E$2:$E$23,0),2),5),""),IF(RIGHT(INDEX(WP!$A$2:$F$23,MATCH($B89,WP!$E$2:$E$23,0),2),6)="Series",LEFT(INDEX(WP!$A$2:$F$23,MATCH($B89,WP!$E$2:$E$23,0),2),5),"")),"")</f>
        <v/>
      </c>
      <c r="E89" s="17" t="str">
        <f>IFERROR(VLOOKUP(VALUE($D89),Series!$B$3:$F$11,2,0),"")</f>
        <v/>
      </c>
      <c r="F89" s="12" t="str">
        <f>_xlfn.IFNA(IF(IF($D89&lt;&gt;"",COUNTIF($E:$E,"="&amp;$D89),"")="",IF(RIGHT(IFERROR(IF(FIND("_",$B89)&gt;0,INDEX(WP!$A$2:$F$23,MATCH(LEFT($B89,FIND("_",$B89)-1),WP!$E$2:$E$23,0),2),IF(FIND("-",$B89)&gt;0,INDEX(WP!$A$2:$F$23,MATCH(LEFT($B89,FIND("_",$B89)-1),WP!$E$2:$E$23,0),2))),INDEX(WP!$A$2:$F$23,MATCH(Results!$B89,WP!$E$2:$E$23,0),2)),6)="Series",LEFT(IFERROR(IF(FIND("_",$B89)&gt;0,INDEX(WP!$A$2:$F$23,MATCH(LEFT($B89,FIND("_",$B89)-1),WP!$E$2:$E$23,0),2),IF(FIND("-",$B89)&gt;0,INDEX(WP!$A$2:$F$23,MATCH(LEFT($B89,FIND("_",$B89)-1),WP!$E$2:$E$23,0),2))),INDEX(WP!$A$2:$F$23,MATCH(Results!$B89,WP!$E$2:$E$23,0),2)),5),(IFERROR(IF(FIND("_",$B89)&gt;0,INDEX(WP!$A$2:$F$23,MATCH(LEFT($B89,FIND("_",$B89)-1),WP!$E$2:$E$23,0),2),IF(FIND("-",$B89)&gt;0,INDEX(WP!$A$2:$F$23,MATCH(LEFT($B89,FIND("_",$B89)-1),WP!$E$2:$E$23,0),2))),INDEX(WP!$A$2:$F$23,MATCH(Results!$B89,WP!$E$2:$E$23,0),2)))),IF(RIGHT(IFERROR(IF(FIND("_",$B89)&gt;0,INDEX(WP!$A$2:$F$23,MATCH(LEFT($B89,FIND("_",$B89)-1),WP!$E$2:$E$23,0),2),IF(FIND("-",$B89)&gt;0,INDEX(WP!$A$2:$F$23,MATCH(LEFT($B89,FIND("_",$B89)-1),WP!$E$2:$E$23,0),2))),INDEX(WP!$A$2:$F$23,MATCH(Results!$B89,WP!$E$2:$E$23,0),2)),6)="Series",LEFT(IFERROR(IF(FIND("_",$B89)&gt;0,INDEX(WP!$A$2:$F$23,MATCH(LEFT($B89,FIND("_",$B89)-1),WP!$E$2:$E$23,0),2),IF(FIND("-",$B89)&gt;0,INDEX(WP!$A$2:$F$23,MATCH(LEFT($B89,FIND("_",$B89)-1),WP!$E$2:$E$23,0),2))),INDEX(WP!$A$2:$F$23,MATCH(Results!$B89,WP!$E$2:$E$23,0),2)),5),(IFERROR(IF(FIND("_",$B89)&gt;0,INDEX(WP!$A$2:$F$23,MATCH(LEFT($B89,FIND("_",$B89)-1),WP!$E$2:$E$23,0),2),IF(FIND("-",$B89)&gt;0,INDEX(WP!$A$2:$F$23,MATCH(LEFT($B89,FIND("_",$B89)-1),WP!$E$2:$E$23,0),2))),INDEX(WP!$A$2:$F$23,MATCH(Results!$B89,WP!$E$2:$E$23,0),2))))&amp;"-"&amp;$I89),"")</f>
        <v/>
      </c>
      <c r="G89" s="17" t="str">
        <f>IF(LEN(_xlfn.IFNA(IF(IFERROR(IF(FIND("_",$B89)&gt;0,MID($B89,FIND("_",$B89)+1,LEN($B89)),IF(FIND("-",$B89)&gt;0,MID($B89,FIND("-",$B89)+1,LEN($B89)))),"")="",IFERROR(VLOOKUP($F89,WP!$B$2:$C$23,2,0),VLOOKUP($C89,Series!$A$3:$F$11,6,0)),IFERROR(VLOOKUP($F89,WP!$B$2:$C$23,2,0),VLOOKUP($C89,Series!$A$3:$F$11,6,0))&amp;" - "&amp;(IFERROR(IF(FIND("_",$B89)&gt;0,MID($B89,FIND("_",$B89)+1,LEN($B89)),IF(FIND("-",$B89)&gt;0,MID($B89,FIND("-",$B89)+1,LEN($B89)))),""))),""))&lt;64,_xlfn.IFNA(IF(IFERROR(IF(FIND("_",$B89)&gt;0,MID($B89,FIND("_",$B89)+1,LEN($B89)),IF(FIND("-",$B89)&gt;0,MID($B89,FIND("-",$B89)+1,LEN($B89)))),"")="",IFERROR(VLOOKUP($F89,WP!$B$2:$C$23,2,0),VLOOKUP($C89,Series!$A$3:$F$11,6,0)),IFERROR(VLOOKUP($F89,WP!$B$2:$C$23,2,0),VLOOKUP($C89,Series!$A$3:$F$11,6,0))&amp;" - "&amp;(IFERROR(IF(FIND("_",$B89)&gt;0,MID($B89,FIND("_",$B89)+1,LEN($B89)),IF(FIND("-",$B89)&gt;0,MID($B89,FIND("-",$B89)+1,LEN($B89)))),""))),""),LEFT((_xlfn.IFNA(IF(IFERROR(IF(FIND("_",$B89)&gt;0,MID($B89,FIND("_",$B89)+1,LEN($B89)),IF(FIND("-",$B89)&gt;0,MID($B89,FIND("-",$B89)+1,LEN($B89)))),"")="",IFERROR(VLOOKUP($F89,WP!$B$2:$C$23,2,0),VLOOKUP($C89,Series!$A$3:$F$11,6,0)),IFERROR(VLOOKUP($F89,WP!$B$2:$C$23,2,0),VLOOKUP($C89,Series!$A$3:$F$11,6,0))&amp;" - "&amp;(IFERROR(IF(FIND("_",$B89)&gt;0,MID($B89,FIND("_",$B89)+1,LEN($B89)),IF(FIND("-",$B89)&gt;0,MID($B89,FIND("-",$B89)+1,LEN($B89)))),""))),"")),64))</f>
        <v/>
      </c>
      <c r="H89" s="12"/>
      <c r="I89" s="12" t="str">
        <f>IF($D89&lt;&gt;"",COUNTIF($D$7:$D89,"="&amp;$D89),"")</f>
        <v/>
      </c>
      <c r="J89"/>
      <c r="K89" s="8"/>
      <c r="L89"/>
    </row>
    <row r="90" spans="1:12" x14ac:dyDescent="0.3">
      <c r="A90" s="1"/>
      <c r="B90" s="26"/>
      <c r="C90" s="12" t="str">
        <f>_xlfn.IFNA(IFERROR(IF(FIND("_",$B90)&gt;0,INDEX(WP!$A$2:$F$23,MATCH(LEFT($B90,FIND("_",$B90)-1),WP!$E$2:$E$23,0),1),IF(FIND("-",$B90)&gt;0,INDEX(WP!$A$2:$F$23,MATCH(LEFT($B90,FIND("_",$B90)-1),WP!$E$2:$E$23,0),1))),INDEX(WP!$A$2:$F$23,MATCH(Results!$B90,WP!$E$2:$E$23,0),1)),"")</f>
        <v/>
      </c>
      <c r="D90" s="12" t="str">
        <f>IFERROR(IFERROR(IF(RIGHT(INDEX(WP!$A$2:$F$23,MATCH(IF(FIND("_",$B90)&gt;0,LEFT($B90,FIND("_",$B90)-1)),WP!$E$2:$E$23,0),2),6)="Series",LEFT(INDEX(WP!$A$2:$F$23,MATCH(IF(FIND("_",$B90)&gt;0,LEFT($B90,FIND("_",$B90)-1)),WP!$E$2:$E$23,0),2),5),""),IF(RIGHT(INDEX(WP!$A$2:$F$23,MATCH($B90,WP!$E$2:$E$23,0),2),6)="Series",LEFT(INDEX(WP!$A$2:$F$23,MATCH($B90,WP!$E$2:$E$23,0),2),5),"")),"")</f>
        <v/>
      </c>
      <c r="E90" s="17" t="str">
        <f>IFERROR(VLOOKUP(VALUE($D90),Series!$B$3:$F$11,2,0),"")</f>
        <v/>
      </c>
      <c r="F90" s="12" t="str">
        <f>_xlfn.IFNA(IF(IF($D90&lt;&gt;"",COUNTIF($E:$E,"="&amp;$D90),"")="",IF(RIGHT(IFERROR(IF(FIND("_",$B90)&gt;0,INDEX(WP!$A$2:$F$23,MATCH(LEFT($B90,FIND("_",$B90)-1),WP!$E$2:$E$23,0),2),IF(FIND("-",$B90)&gt;0,INDEX(WP!$A$2:$F$23,MATCH(LEFT($B90,FIND("_",$B90)-1),WP!$E$2:$E$23,0),2))),INDEX(WP!$A$2:$F$23,MATCH(Results!$B90,WP!$E$2:$E$23,0),2)),6)="Series",LEFT(IFERROR(IF(FIND("_",$B90)&gt;0,INDEX(WP!$A$2:$F$23,MATCH(LEFT($B90,FIND("_",$B90)-1),WP!$E$2:$E$23,0),2),IF(FIND("-",$B90)&gt;0,INDEX(WP!$A$2:$F$23,MATCH(LEFT($B90,FIND("_",$B90)-1),WP!$E$2:$E$23,0),2))),INDEX(WP!$A$2:$F$23,MATCH(Results!$B90,WP!$E$2:$E$23,0),2)),5),(IFERROR(IF(FIND("_",$B90)&gt;0,INDEX(WP!$A$2:$F$23,MATCH(LEFT($B90,FIND("_",$B90)-1),WP!$E$2:$E$23,0),2),IF(FIND("-",$B90)&gt;0,INDEX(WP!$A$2:$F$23,MATCH(LEFT($B90,FIND("_",$B90)-1),WP!$E$2:$E$23,0),2))),INDEX(WP!$A$2:$F$23,MATCH(Results!$B90,WP!$E$2:$E$23,0),2)))),IF(RIGHT(IFERROR(IF(FIND("_",$B90)&gt;0,INDEX(WP!$A$2:$F$23,MATCH(LEFT($B90,FIND("_",$B90)-1),WP!$E$2:$E$23,0),2),IF(FIND("-",$B90)&gt;0,INDEX(WP!$A$2:$F$23,MATCH(LEFT($B90,FIND("_",$B90)-1),WP!$E$2:$E$23,0),2))),INDEX(WP!$A$2:$F$23,MATCH(Results!$B90,WP!$E$2:$E$23,0),2)),6)="Series",LEFT(IFERROR(IF(FIND("_",$B90)&gt;0,INDEX(WP!$A$2:$F$23,MATCH(LEFT($B90,FIND("_",$B90)-1),WP!$E$2:$E$23,0),2),IF(FIND("-",$B90)&gt;0,INDEX(WP!$A$2:$F$23,MATCH(LEFT($B90,FIND("_",$B90)-1),WP!$E$2:$E$23,0),2))),INDEX(WP!$A$2:$F$23,MATCH(Results!$B90,WP!$E$2:$E$23,0),2)),5),(IFERROR(IF(FIND("_",$B90)&gt;0,INDEX(WP!$A$2:$F$23,MATCH(LEFT($B90,FIND("_",$B90)-1),WP!$E$2:$E$23,0),2),IF(FIND("-",$B90)&gt;0,INDEX(WP!$A$2:$F$23,MATCH(LEFT($B90,FIND("_",$B90)-1),WP!$E$2:$E$23,0),2))),INDEX(WP!$A$2:$F$23,MATCH(Results!$B90,WP!$E$2:$E$23,0),2))))&amp;"-"&amp;$I90),"")</f>
        <v/>
      </c>
      <c r="G90" s="17" t="str">
        <f>IF(LEN(_xlfn.IFNA(IF(IFERROR(IF(FIND("_",$B90)&gt;0,MID($B90,FIND("_",$B90)+1,LEN($B90)),IF(FIND("-",$B90)&gt;0,MID($B90,FIND("-",$B90)+1,LEN($B90)))),"")="",IFERROR(VLOOKUP($F90,WP!$B$2:$C$23,2,0),VLOOKUP($C90,Series!$A$3:$F$11,6,0)),IFERROR(VLOOKUP($F90,WP!$B$2:$C$23,2,0),VLOOKUP($C90,Series!$A$3:$F$11,6,0))&amp;" - "&amp;(IFERROR(IF(FIND("_",$B90)&gt;0,MID($B90,FIND("_",$B90)+1,LEN($B90)),IF(FIND("-",$B90)&gt;0,MID($B90,FIND("-",$B90)+1,LEN($B90)))),""))),""))&lt;64,_xlfn.IFNA(IF(IFERROR(IF(FIND("_",$B90)&gt;0,MID($B90,FIND("_",$B90)+1,LEN($B90)),IF(FIND("-",$B90)&gt;0,MID($B90,FIND("-",$B90)+1,LEN($B90)))),"")="",IFERROR(VLOOKUP($F90,WP!$B$2:$C$23,2,0),VLOOKUP($C90,Series!$A$3:$F$11,6,0)),IFERROR(VLOOKUP($F90,WP!$B$2:$C$23,2,0),VLOOKUP($C90,Series!$A$3:$F$11,6,0))&amp;" - "&amp;(IFERROR(IF(FIND("_",$B90)&gt;0,MID($B90,FIND("_",$B90)+1,LEN($B90)),IF(FIND("-",$B90)&gt;0,MID($B90,FIND("-",$B90)+1,LEN($B90)))),""))),""),LEFT((_xlfn.IFNA(IF(IFERROR(IF(FIND("_",$B90)&gt;0,MID($B90,FIND("_",$B90)+1,LEN($B90)),IF(FIND("-",$B90)&gt;0,MID($B90,FIND("-",$B90)+1,LEN($B90)))),"")="",IFERROR(VLOOKUP($F90,WP!$B$2:$C$23,2,0),VLOOKUP($C90,Series!$A$3:$F$11,6,0)),IFERROR(VLOOKUP($F90,WP!$B$2:$C$23,2,0),VLOOKUP($C90,Series!$A$3:$F$11,6,0))&amp;" - "&amp;(IFERROR(IF(FIND("_",$B90)&gt;0,MID($B90,FIND("_",$B90)+1,LEN($B90)),IF(FIND("-",$B90)&gt;0,MID($B90,FIND("-",$B90)+1,LEN($B90)))),""))),"")),64))</f>
        <v/>
      </c>
      <c r="H90" s="12"/>
      <c r="I90" s="12" t="str">
        <f>IF($D90&lt;&gt;"",COUNTIF($D$7:$D90,"="&amp;$D90),"")</f>
        <v/>
      </c>
      <c r="J90"/>
      <c r="K90" s="8"/>
      <c r="L90"/>
    </row>
    <row r="91" spans="1:12" x14ac:dyDescent="0.3">
      <c r="A91" s="1"/>
      <c r="B91" s="26"/>
      <c r="C91" s="12" t="str">
        <f>_xlfn.IFNA(IFERROR(IF(FIND("_",$B91)&gt;0,INDEX(WP!$A$2:$F$23,MATCH(LEFT($B91,FIND("_",$B91)-1),WP!$E$2:$E$23,0),1),IF(FIND("-",$B91)&gt;0,INDEX(WP!$A$2:$F$23,MATCH(LEFT($B91,FIND("_",$B91)-1),WP!$E$2:$E$23,0),1))),INDEX(WP!$A$2:$F$23,MATCH(Results!$B91,WP!$E$2:$E$23,0),1)),"")</f>
        <v/>
      </c>
      <c r="D91" s="12" t="str">
        <f>IFERROR(IFERROR(IF(RIGHT(INDEX(WP!$A$2:$F$23,MATCH(IF(FIND("_",$B91)&gt;0,LEFT($B91,FIND("_",$B91)-1)),WP!$E$2:$E$23,0),2),6)="Series",LEFT(INDEX(WP!$A$2:$F$23,MATCH(IF(FIND("_",$B91)&gt;0,LEFT($B91,FIND("_",$B91)-1)),WP!$E$2:$E$23,0),2),5),""),IF(RIGHT(INDEX(WP!$A$2:$F$23,MATCH($B91,WP!$E$2:$E$23,0),2),6)="Series",LEFT(INDEX(WP!$A$2:$F$23,MATCH($B91,WP!$E$2:$E$23,0),2),5),"")),"")</f>
        <v/>
      </c>
      <c r="E91" s="17" t="str">
        <f>IFERROR(VLOOKUP(VALUE($D91),Series!$B$3:$F$11,2,0),"")</f>
        <v/>
      </c>
      <c r="F91" s="12" t="str">
        <f>_xlfn.IFNA(IF(IF($D91&lt;&gt;"",COUNTIF($E:$E,"="&amp;$D91),"")="",IF(RIGHT(IFERROR(IF(FIND("_",$B91)&gt;0,INDEX(WP!$A$2:$F$23,MATCH(LEFT($B91,FIND("_",$B91)-1),WP!$E$2:$E$23,0),2),IF(FIND("-",$B91)&gt;0,INDEX(WP!$A$2:$F$23,MATCH(LEFT($B91,FIND("_",$B91)-1),WP!$E$2:$E$23,0),2))),INDEX(WP!$A$2:$F$23,MATCH(Results!$B91,WP!$E$2:$E$23,0),2)),6)="Series",LEFT(IFERROR(IF(FIND("_",$B91)&gt;0,INDEX(WP!$A$2:$F$23,MATCH(LEFT($B91,FIND("_",$B91)-1),WP!$E$2:$E$23,0),2),IF(FIND("-",$B91)&gt;0,INDEX(WP!$A$2:$F$23,MATCH(LEFT($B91,FIND("_",$B91)-1),WP!$E$2:$E$23,0),2))),INDEX(WP!$A$2:$F$23,MATCH(Results!$B91,WP!$E$2:$E$23,0),2)),5),(IFERROR(IF(FIND("_",$B91)&gt;0,INDEX(WP!$A$2:$F$23,MATCH(LEFT($B91,FIND("_",$B91)-1),WP!$E$2:$E$23,0),2),IF(FIND("-",$B91)&gt;0,INDEX(WP!$A$2:$F$23,MATCH(LEFT($B91,FIND("_",$B91)-1),WP!$E$2:$E$23,0),2))),INDEX(WP!$A$2:$F$23,MATCH(Results!$B91,WP!$E$2:$E$23,0),2)))),IF(RIGHT(IFERROR(IF(FIND("_",$B91)&gt;0,INDEX(WP!$A$2:$F$23,MATCH(LEFT($B91,FIND("_",$B91)-1),WP!$E$2:$E$23,0),2),IF(FIND("-",$B91)&gt;0,INDEX(WP!$A$2:$F$23,MATCH(LEFT($B91,FIND("_",$B91)-1),WP!$E$2:$E$23,0),2))),INDEX(WP!$A$2:$F$23,MATCH(Results!$B91,WP!$E$2:$E$23,0),2)),6)="Series",LEFT(IFERROR(IF(FIND("_",$B91)&gt;0,INDEX(WP!$A$2:$F$23,MATCH(LEFT($B91,FIND("_",$B91)-1),WP!$E$2:$E$23,0),2),IF(FIND("-",$B91)&gt;0,INDEX(WP!$A$2:$F$23,MATCH(LEFT($B91,FIND("_",$B91)-1),WP!$E$2:$E$23,0),2))),INDEX(WP!$A$2:$F$23,MATCH(Results!$B91,WP!$E$2:$E$23,0),2)),5),(IFERROR(IF(FIND("_",$B91)&gt;0,INDEX(WP!$A$2:$F$23,MATCH(LEFT($B91,FIND("_",$B91)-1),WP!$E$2:$E$23,0),2),IF(FIND("-",$B91)&gt;0,INDEX(WP!$A$2:$F$23,MATCH(LEFT($B91,FIND("_",$B91)-1),WP!$E$2:$E$23,0),2))),INDEX(WP!$A$2:$F$23,MATCH(Results!$B91,WP!$E$2:$E$23,0),2))))&amp;"-"&amp;$I91),"")</f>
        <v/>
      </c>
      <c r="G91" s="17" t="str">
        <f>IF(LEN(_xlfn.IFNA(IF(IFERROR(IF(FIND("_",$B91)&gt;0,MID($B91,FIND("_",$B91)+1,LEN($B91)),IF(FIND("-",$B91)&gt;0,MID($B91,FIND("-",$B91)+1,LEN($B91)))),"")="",IFERROR(VLOOKUP($F91,WP!$B$2:$C$23,2,0),VLOOKUP($C91,Series!$A$3:$F$11,6,0)),IFERROR(VLOOKUP($F91,WP!$B$2:$C$23,2,0),VLOOKUP($C91,Series!$A$3:$F$11,6,0))&amp;" - "&amp;(IFERROR(IF(FIND("_",$B91)&gt;0,MID($B91,FIND("_",$B91)+1,LEN($B91)),IF(FIND("-",$B91)&gt;0,MID($B91,FIND("-",$B91)+1,LEN($B91)))),""))),""))&lt;64,_xlfn.IFNA(IF(IFERROR(IF(FIND("_",$B91)&gt;0,MID($B91,FIND("_",$B91)+1,LEN($B91)),IF(FIND("-",$B91)&gt;0,MID($B91,FIND("-",$B91)+1,LEN($B91)))),"")="",IFERROR(VLOOKUP($F91,WP!$B$2:$C$23,2,0),VLOOKUP($C91,Series!$A$3:$F$11,6,0)),IFERROR(VLOOKUP($F91,WP!$B$2:$C$23,2,0),VLOOKUP($C91,Series!$A$3:$F$11,6,0))&amp;" - "&amp;(IFERROR(IF(FIND("_",$B91)&gt;0,MID($B91,FIND("_",$B91)+1,LEN($B91)),IF(FIND("-",$B91)&gt;0,MID($B91,FIND("-",$B91)+1,LEN($B91)))),""))),""),LEFT((_xlfn.IFNA(IF(IFERROR(IF(FIND("_",$B91)&gt;0,MID($B91,FIND("_",$B91)+1,LEN($B91)),IF(FIND("-",$B91)&gt;0,MID($B91,FIND("-",$B91)+1,LEN($B91)))),"")="",IFERROR(VLOOKUP($F91,WP!$B$2:$C$23,2,0),VLOOKUP($C91,Series!$A$3:$F$11,6,0)),IFERROR(VLOOKUP($F91,WP!$B$2:$C$23,2,0),VLOOKUP($C91,Series!$A$3:$F$11,6,0))&amp;" - "&amp;(IFERROR(IF(FIND("_",$B91)&gt;0,MID($B91,FIND("_",$B91)+1,LEN($B91)),IF(FIND("-",$B91)&gt;0,MID($B91,FIND("-",$B91)+1,LEN($B91)))),""))),"")),64))</f>
        <v/>
      </c>
      <c r="H91" s="12"/>
      <c r="I91" s="12" t="str">
        <f>IF($D91&lt;&gt;"",COUNTIF($D$7:$D91,"="&amp;$D91),"")</f>
        <v/>
      </c>
      <c r="J91"/>
      <c r="K91" s="8"/>
      <c r="L91"/>
    </row>
    <row r="92" spans="1:12" x14ac:dyDescent="0.3">
      <c r="A92" s="1"/>
      <c r="B92" s="26"/>
      <c r="C92" s="12" t="str">
        <f>_xlfn.IFNA(IFERROR(IF(FIND("_",$B92)&gt;0,INDEX(WP!$A$2:$F$23,MATCH(LEFT($B92,FIND("_",$B92)-1),WP!$E$2:$E$23,0),1),IF(FIND("-",$B92)&gt;0,INDEX(WP!$A$2:$F$23,MATCH(LEFT($B92,FIND("_",$B92)-1),WP!$E$2:$E$23,0),1))),INDEX(WP!$A$2:$F$23,MATCH(Results!$B92,WP!$E$2:$E$23,0),1)),"")</f>
        <v/>
      </c>
      <c r="D92" s="12" t="str">
        <f>IFERROR(IFERROR(IF(RIGHT(INDEX(WP!$A$2:$F$23,MATCH(IF(FIND("_",$B92)&gt;0,LEFT($B92,FIND("_",$B92)-1)),WP!$E$2:$E$23,0),2),6)="Series",LEFT(INDEX(WP!$A$2:$F$23,MATCH(IF(FIND("_",$B92)&gt;0,LEFT($B92,FIND("_",$B92)-1)),WP!$E$2:$E$23,0),2),5),""),IF(RIGHT(INDEX(WP!$A$2:$F$23,MATCH($B92,WP!$E$2:$E$23,0),2),6)="Series",LEFT(INDEX(WP!$A$2:$F$23,MATCH($B92,WP!$E$2:$E$23,0),2),5),"")),"")</f>
        <v/>
      </c>
      <c r="E92" s="17" t="str">
        <f>IFERROR(VLOOKUP(VALUE($D92),Series!$B$3:$F$11,2,0),"")</f>
        <v/>
      </c>
      <c r="F92" s="12" t="str">
        <f>_xlfn.IFNA(IF(IF($D92&lt;&gt;"",COUNTIF($E:$E,"="&amp;$D92),"")="",IF(RIGHT(IFERROR(IF(FIND("_",$B92)&gt;0,INDEX(WP!$A$2:$F$23,MATCH(LEFT($B92,FIND("_",$B92)-1),WP!$E$2:$E$23,0),2),IF(FIND("-",$B92)&gt;0,INDEX(WP!$A$2:$F$23,MATCH(LEFT($B92,FIND("_",$B92)-1),WP!$E$2:$E$23,0),2))),INDEX(WP!$A$2:$F$23,MATCH(Results!$B92,WP!$E$2:$E$23,0),2)),6)="Series",LEFT(IFERROR(IF(FIND("_",$B92)&gt;0,INDEX(WP!$A$2:$F$23,MATCH(LEFT($B92,FIND("_",$B92)-1),WP!$E$2:$E$23,0),2),IF(FIND("-",$B92)&gt;0,INDEX(WP!$A$2:$F$23,MATCH(LEFT($B92,FIND("_",$B92)-1),WP!$E$2:$E$23,0),2))),INDEX(WP!$A$2:$F$23,MATCH(Results!$B92,WP!$E$2:$E$23,0),2)),5),(IFERROR(IF(FIND("_",$B92)&gt;0,INDEX(WP!$A$2:$F$23,MATCH(LEFT($B92,FIND("_",$B92)-1),WP!$E$2:$E$23,0),2),IF(FIND("-",$B92)&gt;0,INDEX(WP!$A$2:$F$23,MATCH(LEFT($B92,FIND("_",$B92)-1),WP!$E$2:$E$23,0),2))),INDEX(WP!$A$2:$F$23,MATCH(Results!$B92,WP!$E$2:$E$23,0),2)))),IF(RIGHT(IFERROR(IF(FIND("_",$B92)&gt;0,INDEX(WP!$A$2:$F$23,MATCH(LEFT($B92,FIND("_",$B92)-1),WP!$E$2:$E$23,0),2),IF(FIND("-",$B92)&gt;0,INDEX(WP!$A$2:$F$23,MATCH(LEFT($B92,FIND("_",$B92)-1),WP!$E$2:$E$23,0),2))),INDEX(WP!$A$2:$F$23,MATCH(Results!$B92,WP!$E$2:$E$23,0),2)),6)="Series",LEFT(IFERROR(IF(FIND("_",$B92)&gt;0,INDEX(WP!$A$2:$F$23,MATCH(LEFT($B92,FIND("_",$B92)-1),WP!$E$2:$E$23,0),2),IF(FIND("-",$B92)&gt;0,INDEX(WP!$A$2:$F$23,MATCH(LEFT($B92,FIND("_",$B92)-1),WP!$E$2:$E$23,0),2))),INDEX(WP!$A$2:$F$23,MATCH(Results!$B92,WP!$E$2:$E$23,0),2)),5),(IFERROR(IF(FIND("_",$B92)&gt;0,INDEX(WP!$A$2:$F$23,MATCH(LEFT($B92,FIND("_",$B92)-1),WP!$E$2:$E$23,0),2),IF(FIND("-",$B92)&gt;0,INDEX(WP!$A$2:$F$23,MATCH(LEFT($B92,FIND("_",$B92)-1),WP!$E$2:$E$23,0),2))),INDEX(WP!$A$2:$F$23,MATCH(Results!$B92,WP!$E$2:$E$23,0),2))))&amp;"-"&amp;$I92),"")</f>
        <v/>
      </c>
      <c r="G92" s="17" t="str">
        <f>IF(LEN(_xlfn.IFNA(IF(IFERROR(IF(FIND("_",$B92)&gt;0,MID($B92,FIND("_",$B92)+1,LEN($B92)),IF(FIND("-",$B92)&gt;0,MID($B92,FIND("-",$B92)+1,LEN($B92)))),"")="",IFERROR(VLOOKUP($F92,WP!$B$2:$C$23,2,0),VLOOKUP($C92,Series!$A$3:$F$11,6,0)),IFERROR(VLOOKUP($F92,WP!$B$2:$C$23,2,0),VLOOKUP($C92,Series!$A$3:$F$11,6,0))&amp;" - "&amp;(IFERROR(IF(FIND("_",$B92)&gt;0,MID($B92,FIND("_",$B92)+1,LEN($B92)),IF(FIND("-",$B92)&gt;0,MID($B92,FIND("-",$B92)+1,LEN($B92)))),""))),""))&lt;64,_xlfn.IFNA(IF(IFERROR(IF(FIND("_",$B92)&gt;0,MID($B92,FIND("_",$B92)+1,LEN($B92)),IF(FIND("-",$B92)&gt;0,MID($B92,FIND("-",$B92)+1,LEN($B92)))),"")="",IFERROR(VLOOKUP($F92,WP!$B$2:$C$23,2,0),VLOOKUP($C92,Series!$A$3:$F$11,6,0)),IFERROR(VLOOKUP($F92,WP!$B$2:$C$23,2,0),VLOOKUP($C92,Series!$A$3:$F$11,6,0))&amp;" - "&amp;(IFERROR(IF(FIND("_",$B92)&gt;0,MID($B92,FIND("_",$B92)+1,LEN($B92)),IF(FIND("-",$B92)&gt;0,MID($B92,FIND("-",$B92)+1,LEN($B92)))),""))),""),LEFT((_xlfn.IFNA(IF(IFERROR(IF(FIND("_",$B92)&gt;0,MID($B92,FIND("_",$B92)+1,LEN($B92)),IF(FIND("-",$B92)&gt;0,MID($B92,FIND("-",$B92)+1,LEN($B92)))),"")="",IFERROR(VLOOKUP($F92,WP!$B$2:$C$23,2,0),VLOOKUP($C92,Series!$A$3:$F$11,6,0)),IFERROR(VLOOKUP($F92,WP!$B$2:$C$23,2,0),VLOOKUP($C92,Series!$A$3:$F$11,6,0))&amp;" - "&amp;(IFERROR(IF(FIND("_",$B92)&gt;0,MID($B92,FIND("_",$B92)+1,LEN($B92)),IF(FIND("-",$B92)&gt;0,MID($B92,FIND("-",$B92)+1,LEN($B92)))),""))),"")),64))</f>
        <v/>
      </c>
      <c r="H92" s="12"/>
      <c r="I92" s="12" t="str">
        <f>IF($D92&lt;&gt;"",COUNTIF($D$7:$D92,"="&amp;$D92),"")</f>
        <v/>
      </c>
      <c r="J92"/>
      <c r="K92" s="8"/>
      <c r="L92"/>
    </row>
    <row r="93" spans="1:12" x14ac:dyDescent="0.3">
      <c r="A93" s="1"/>
      <c r="B93" s="26"/>
      <c r="C93" s="12" t="str">
        <f>_xlfn.IFNA(IFERROR(IF(FIND("_",$B93)&gt;0,INDEX(WP!$A$2:$F$23,MATCH(LEFT($B93,FIND("_",$B93)-1),WP!$E$2:$E$23,0),1),IF(FIND("-",$B93)&gt;0,INDEX(WP!$A$2:$F$23,MATCH(LEFT($B93,FIND("_",$B93)-1),WP!$E$2:$E$23,0),1))),INDEX(WP!$A$2:$F$23,MATCH(Results!$B93,WP!$E$2:$E$23,0),1)),"")</f>
        <v/>
      </c>
      <c r="D93" s="12" t="str">
        <f>IFERROR(IFERROR(IF(RIGHT(INDEX(WP!$A$2:$F$23,MATCH(IF(FIND("_",$B93)&gt;0,LEFT($B93,FIND("_",$B93)-1)),WP!$E$2:$E$23,0),2),6)="Series",LEFT(INDEX(WP!$A$2:$F$23,MATCH(IF(FIND("_",$B93)&gt;0,LEFT($B93,FIND("_",$B93)-1)),WP!$E$2:$E$23,0),2),5),""),IF(RIGHT(INDEX(WP!$A$2:$F$23,MATCH($B93,WP!$E$2:$E$23,0),2),6)="Series",LEFT(INDEX(WP!$A$2:$F$23,MATCH($B93,WP!$E$2:$E$23,0),2),5),"")),"")</f>
        <v/>
      </c>
      <c r="E93" s="17" t="str">
        <f>IFERROR(VLOOKUP(VALUE($D93),Series!$B$3:$F$11,2,0),"")</f>
        <v/>
      </c>
      <c r="F93" s="12" t="str">
        <f>_xlfn.IFNA(IF(IF($D93&lt;&gt;"",COUNTIF($E:$E,"="&amp;$D93),"")="",IF(RIGHT(IFERROR(IF(FIND("_",$B93)&gt;0,INDEX(WP!$A$2:$F$23,MATCH(LEFT($B93,FIND("_",$B93)-1),WP!$E$2:$E$23,0),2),IF(FIND("-",$B93)&gt;0,INDEX(WP!$A$2:$F$23,MATCH(LEFT($B93,FIND("_",$B93)-1),WP!$E$2:$E$23,0),2))),INDEX(WP!$A$2:$F$23,MATCH(Results!$B93,WP!$E$2:$E$23,0),2)),6)="Series",LEFT(IFERROR(IF(FIND("_",$B93)&gt;0,INDEX(WP!$A$2:$F$23,MATCH(LEFT($B93,FIND("_",$B93)-1),WP!$E$2:$E$23,0),2),IF(FIND("-",$B93)&gt;0,INDEX(WP!$A$2:$F$23,MATCH(LEFT($B93,FIND("_",$B93)-1),WP!$E$2:$E$23,0),2))),INDEX(WP!$A$2:$F$23,MATCH(Results!$B93,WP!$E$2:$E$23,0),2)),5),(IFERROR(IF(FIND("_",$B93)&gt;0,INDEX(WP!$A$2:$F$23,MATCH(LEFT($B93,FIND("_",$B93)-1),WP!$E$2:$E$23,0),2),IF(FIND("-",$B93)&gt;0,INDEX(WP!$A$2:$F$23,MATCH(LEFT($B93,FIND("_",$B93)-1),WP!$E$2:$E$23,0),2))),INDEX(WP!$A$2:$F$23,MATCH(Results!$B93,WP!$E$2:$E$23,0),2)))),IF(RIGHT(IFERROR(IF(FIND("_",$B93)&gt;0,INDEX(WP!$A$2:$F$23,MATCH(LEFT($B93,FIND("_",$B93)-1),WP!$E$2:$E$23,0),2),IF(FIND("-",$B93)&gt;0,INDEX(WP!$A$2:$F$23,MATCH(LEFT($B93,FIND("_",$B93)-1),WP!$E$2:$E$23,0),2))),INDEX(WP!$A$2:$F$23,MATCH(Results!$B93,WP!$E$2:$E$23,0),2)),6)="Series",LEFT(IFERROR(IF(FIND("_",$B93)&gt;0,INDEX(WP!$A$2:$F$23,MATCH(LEFT($B93,FIND("_",$B93)-1),WP!$E$2:$E$23,0),2),IF(FIND("-",$B93)&gt;0,INDEX(WP!$A$2:$F$23,MATCH(LEFT($B93,FIND("_",$B93)-1),WP!$E$2:$E$23,0),2))),INDEX(WP!$A$2:$F$23,MATCH(Results!$B93,WP!$E$2:$E$23,0),2)),5),(IFERROR(IF(FIND("_",$B93)&gt;0,INDEX(WP!$A$2:$F$23,MATCH(LEFT($B93,FIND("_",$B93)-1),WP!$E$2:$E$23,0),2),IF(FIND("-",$B93)&gt;0,INDEX(WP!$A$2:$F$23,MATCH(LEFT($B93,FIND("_",$B93)-1),WP!$E$2:$E$23,0),2))),INDEX(WP!$A$2:$F$23,MATCH(Results!$B93,WP!$E$2:$E$23,0),2))))&amp;"-"&amp;$I93),"")</f>
        <v/>
      </c>
      <c r="G93" s="17" t="str">
        <f>IF(LEN(_xlfn.IFNA(IF(IFERROR(IF(FIND("_",$B93)&gt;0,MID($B93,FIND("_",$B93)+1,LEN($B93)),IF(FIND("-",$B93)&gt;0,MID($B93,FIND("-",$B93)+1,LEN($B93)))),"")="",IFERROR(VLOOKUP($F93,WP!$B$2:$C$23,2,0),VLOOKUP($C93,Series!$A$3:$F$11,6,0)),IFERROR(VLOOKUP($F93,WP!$B$2:$C$23,2,0),VLOOKUP($C93,Series!$A$3:$F$11,6,0))&amp;" - "&amp;(IFERROR(IF(FIND("_",$B93)&gt;0,MID($B93,FIND("_",$B93)+1,LEN($B93)),IF(FIND("-",$B93)&gt;0,MID($B93,FIND("-",$B93)+1,LEN($B93)))),""))),""))&lt;64,_xlfn.IFNA(IF(IFERROR(IF(FIND("_",$B93)&gt;0,MID($B93,FIND("_",$B93)+1,LEN($B93)),IF(FIND("-",$B93)&gt;0,MID($B93,FIND("-",$B93)+1,LEN($B93)))),"")="",IFERROR(VLOOKUP($F93,WP!$B$2:$C$23,2,0),VLOOKUP($C93,Series!$A$3:$F$11,6,0)),IFERROR(VLOOKUP($F93,WP!$B$2:$C$23,2,0),VLOOKUP($C93,Series!$A$3:$F$11,6,0))&amp;" - "&amp;(IFERROR(IF(FIND("_",$B93)&gt;0,MID($B93,FIND("_",$B93)+1,LEN($B93)),IF(FIND("-",$B93)&gt;0,MID($B93,FIND("-",$B93)+1,LEN($B93)))),""))),""),LEFT((_xlfn.IFNA(IF(IFERROR(IF(FIND("_",$B93)&gt;0,MID($B93,FIND("_",$B93)+1,LEN($B93)),IF(FIND("-",$B93)&gt;0,MID($B93,FIND("-",$B93)+1,LEN($B93)))),"")="",IFERROR(VLOOKUP($F93,WP!$B$2:$C$23,2,0),VLOOKUP($C93,Series!$A$3:$F$11,6,0)),IFERROR(VLOOKUP($F93,WP!$B$2:$C$23,2,0),VLOOKUP($C93,Series!$A$3:$F$11,6,0))&amp;" - "&amp;(IFERROR(IF(FIND("_",$B93)&gt;0,MID($B93,FIND("_",$B93)+1,LEN($B93)),IF(FIND("-",$B93)&gt;0,MID($B93,FIND("-",$B93)+1,LEN($B93)))),""))),"")),64))</f>
        <v/>
      </c>
      <c r="H93" s="12"/>
      <c r="I93" s="12" t="str">
        <f>IF($D93&lt;&gt;"",COUNTIF($D$7:$D93,"="&amp;$D93),"")</f>
        <v/>
      </c>
      <c r="J93"/>
      <c r="K93" s="8"/>
      <c r="L93"/>
    </row>
    <row r="94" spans="1:12" x14ac:dyDescent="0.3">
      <c r="A94" s="1"/>
      <c r="B94" s="26"/>
      <c r="C94" s="12" t="str">
        <f>_xlfn.IFNA(IFERROR(IF(FIND("_",$B94)&gt;0,INDEX(WP!$A$2:$F$23,MATCH(LEFT($B94,FIND("_",$B94)-1),WP!$E$2:$E$23,0),1),IF(FIND("-",$B94)&gt;0,INDEX(WP!$A$2:$F$23,MATCH(LEFT($B94,FIND("_",$B94)-1),WP!$E$2:$E$23,0),1))),INDEX(WP!$A$2:$F$23,MATCH(Results!$B94,WP!$E$2:$E$23,0),1)),"")</f>
        <v/>
      </c>
      <c r="D94" s="12" t="str">
        <f>IFERROR(IFERROR(IF(RIGHT(INDEX(WP!$A$2:$F$23,MATCH(IF(FIND("_",$B94)&gt;0,LEFT($B94,FIND("_",$B94)-1)),WP!$E$2:$E$23,0),2),6)="Series",LEFT(INDEX(WP!$A$2:$F$23,MATCH(IF(FIND("_",$B94)&gt;0,LEFT($B94,FIND("_",$B94)-1)),WP!$E$2:$E$23,0),2),5),""),IF(RIGHT(INDEX(WP!$A$2:$F$23,MATCH($B94,WP!$E$2:$E$23,0),2),6)="Series",LEFT(INDEX(WP!$A$2:$F$23,MATCH($B94,WP!$E$2:$E$23,0),2),5),"")),"")</f>
        <v/>
      </c>
      <c r="E94" s="17" t="str">
        <f>IFERROR(VLOOKUP(VALUE($D94),Series!$B$3:$F$11,2,0),"")</f>
        <v/>
      </c>
      <c r="F94" s="12" t="str">
        <f>_xlfn.IFNA(IF(IF($D94&lt;&gt;"",COUNTIF($E:$E,"="&amp;$D94),"")="",IF(RIGHT(IFERROR(IF(FIND("_",$B94)&gt;0,INDEX(WP!$A$2:$F$23,MATCH(LEFT($B94,FIND("_",$B94)-1),WP!$E$2:$E$23,0),2),IF(FIND("-",$B94)&gt;0,INDEX(WP!$A$2:$F$23,MATCH(LEFT($B94,FIND("_",$B94)-1),WP!$E$2:$E$23,0),2))),INDEX(WP!$A$2:$F$23,MATCH(Results!$B94,WP!$E$2:$E$23,0),2)),6)="Series",LEFT(IFERROR(IF(FIND("_",$B94)&gt;0,INDEX(WP!$A$2:$F$23,MATCH(LEFT($B94,FIND("_",$B94)-1),WP!$E$2:$E$23,0),2),IF(FIND("-",$B94)&gt;0,INDEX(WP!$A$2:$F$23,MATCH(LEFT($B94,FIND("_",$B94)-1),WP!$E$2:$E$23,0),2))),INDEX(WP!$A$2:$F$23,MATCH(Results!$B94,WP!$E$2:$E$23,0),2)),5),(IFERROR(IF(FIND("_",$B94)&gt;0,INDEX(WP!$A$2:$F$23,MATCH(LEFT($B94,FIND("_",$B94)-1),WP!$E$2:$E$23,0),2),IF(FIND("-",$B94)&gt;0,INDEX(WP!$A$2:$F$23,MATCH(LEFT($B94,FIND("_",$B94)-1),WP!$E$2:$E$23,0),2))),INDEX(WP!$A$2:$F$23,MATCH(Results!$B94,WP!$E$2:$E$23,0),2)))),IF(RIGHT(IFERROR(IF(FIND("_",$B94)&gt;0,INDEX(WP!$A$2:$F$23,MATCH(LEFT($B94,FIND("_",$B94)-1),WP!$E$2:$E$23,0),2),IF(FIND("-",$B94)&gt;0,INDEX(WP!$A$2:$F$23,MATCH(LEFT($B94,FIND("_",$B94)-1),WP!$E$2:$E$23,0),2))),INDEX(WP!$A$2:$F$23,MATCH(Results!$B94,WP!$E$2:$E$23,0),2)),6)="Series",LEFT(IFERROR(IF(FIND("_",$B94)&gt;0,INDEX(WP!$A$2:$F$23,MATCH(LEFT($B94,FIND("_",$B94)-1),WP!$E$2:$E$23,0),2),IF(FIND("-",$B94)&gt;0,INDEX(WP!$A$2:$F$23,MATCH(LEFT($B94,FIND("_",$B94)-1),WP!$E$2:$E$23,0),2))),INDEX(WP!$A$2:$F$23,MATCH(Results!$B94,WP!$E$2:$E$23,0),2)),5),(IFERROR(IF(FIND("_",$B94)&gt;0,INDEX(WP!$A$2:$F$23,MATCH(LEFT($B94,FIND("_",$B94)-1),WP!$E$2:$E$23,0),2),IF(FIND("-",$B94)&gt;0,INDEX(WP!$A$2:$F$23,MATCH(LEFT($B94,FIND("_",$B94)-1),WP!$E$2:$E$23,0),2))),INDEX(WP!$A$2:$F$23,MATCH(Results!$B94,WP!$E$2:$E$23,0),2))))&amp;"-"&amp;$I94),"")</f>
        <v/>
      </c>
      <c r="G94" s="17" t="str">
        <f>IF(LEN(_xlfn.IFNA(IF(IFERROR(IF(FIND("_",$B94)&gt;0,MID($B94,FIND("_",$B94)+1,LEN($B94)),IF(FIND("-",$B94)&gt;0,MID($B94,FIND("-",$B94)+1,LEN($B94)))),"")="",IFERROR(VLOOKUP($F94,WP!$B$2:$C$23,2,0),VLOOKUP($C94,Series!$A$3:$F$11,6,0)),IFERROR(VLOOKUP($F94,WP!$B$2:$C$23,2,0),VLOOKUP($C94,Series!$A$3:$F$11,6,0))&amp;" - "&amp;(IFERROR(IF(FIND("_",$B94)&gt;0,MID($B94,FIND("_",$B94)+1,LEN($B94)),IF(FIND("-",$B94)&gt;0,MID($B94,FIND("-",$B94)+1,LEN($B94)))),""))),""))&lt;64,_xlfn.IFNA(IF(IFERROR(IF(FIND("_",$B94)&gt;0,MID($B94,FIND("_",$B94)+1,LEN($B94)),IF(FIND("-",$B94)&gt;0,MID($B94,FIND("-",$B94)+1,LEN($B94)))),"")="",IFERROR(VLOOKUP($F94,WP!$B$2:$C$23,2,0),VLOOKUP($C94,Series!$A$3:$F$11,6,0)),IFERROR(VLOOKUP($F94,WP!$B$2:$C$23,2,0),VLOOKUP($C94,Series!$A$3:$F$11,6,0))&amp;" - "&amp;(IFERROR(IF(FIND("_",$B94)&gt;0,MID($B94,FIND("_",$B94)+1,LEN($B94)),IF(FIND("-",$B94)&gt;0,MID($B94,FIND("-",$B94)+1,LEN($B94)))),""))),""),LEFT((_xlfn.IFNA(IF(IFERROR(IF(FIND("_",$B94)&gt;0,MID($B94,FIND("_",$B94)+1,LEN($B94)),IF(FIND("-",$B94)&gt;0,MID($B94,FIND("-",$B94)+1,LEN($B94)))),"")="",IFERROR(VLOOKUP($F94,WP!$B$2:$C$23,2,0),VLOOKUP($C94,Series!$A$3:$F$11,6,0)),IFERROR(VLOOKUP($F94,WP!$B$2:$C$23,2,0),VLOOKUP($C94,Series!$A$3:$F$11,6,0))&amp;" - "&amp;(IFERROR(IF(FIND("_",$B94)&gt;0,MID($B94,FIND("_",$B94)+1,LEN($B94)),IF(FIND("-",$B94)&gt;0,MID($B94,FIND("-",$B94)+1,LEN($B94)))),""))),"")),64))</f>
        <v/>
      </c>
      <c r="H94" s="12"/>
      <c r="I94" s="12" t="str">
        <f>IF($D94&lt;&gt;"",COUNTIF($D$7:$D94,"="&amp;$D94),"")</f>
        <v/>
      </c>
      <c r="J94"/>
      <c r="K94" s="8"/>
      <c r="L94"/>
    </row>
    <row r="95" spans="1:12" x14ac:dyDescent="0.3">
      <c r="A95" s="1"/>
      <c r="B95" s="26"/>
      <c r="C95" s="12" t="str">
        <f>_xlfn.IFNA(IFERROR(IF(FIND("_",$B95)&gt;0,INDEX(WP!$A$2:$F$23,MATCH(LEFT($B95,FIND("_",$B95)-1),WP!$E$2:$E$23,0),1),IF(FIND("-",$B95)&gt;0,INDEX(WP!$A$2:$F$23,MATCH(LEFT($B95,FIND("_",$B95)-1),WP!$E$2:$E$23,0),1))),INDEX(WP!$A$2:$F$23,MATCH(Results!$B95,WP!$E$2:$E$23,0),1)),"")</f>
        <v/>
      </c>
      <c r="D95" s="12" t="str">
        <f>IFERROR(IFERROR(IF(RIGHT(INDEX(WP!$A$2:$F$23,MATCH(IF(FIND("_",$B95)&gt;0,LEFT($B95,FIND("_",$B95)-1)),WP!$E$2:$E$23,0),2),6)="Series",LEFT(INDEX(WP!$A$2:$F$23,MATCH(IF(FIND("_",$B95)&gt;0,LEFT($B95,FIND("_",$B95)-1)),WP!$E$2:$E$23,0),2),5),""),IF(RIGHT(INDEX(WP!$A$2:$F$23,MATCH($B95,WP!$E$2:$E$23,0),2),6)="Series",LEFT(INDEX(WP!$A$2:$F$23,MATCH($B95,WP!$E$2:$E$23,0),2),5),"")),"")</f>
        <v/>
      </c>
      <c r="E95" s="17" t="str">
        <f>IFERROR(VLOOKUP(VALUE($D95),Series!$B$3:$F$11,2,0),"")</f>
        <v/>
      </c>
      <c r="F95" s="12" t="str">
        <f>_xlfn.IFNA(IF(IF($D95&lt;&gt;"",COUNTIF($E:$E,"="&amp;$D95),"")="",IF(RIGHT(IFERROR(IF(FIND("_",$B95)&gt;0,INDEX(WP!$A$2:$F$23,MATCH(LEFT($B95,FIND("_",$B95)-1),WP!$E$2:$E$23,0),2),IF(FIND("-",$B95)&gt;0,INDEX(WP!$A$2:$F$23,MATCH(LEFT($B95,FIND("_",$B95)-1),WP!$E$2:$E$23,0),2))),INDEX(WP!$A$2:$F$23,MATCH(Results!$B95,WP!$E$2:$E$23,0),2)),6)="Series",LEFT(IFERROR(IF(FIND("_",$B95)&gt;0,INDEX(WP!$A$2:$F$23,MATCH(LEFT($B95,FIND("_",$B95)-1),WP!$E$2:$E$23,0),2),IF(FIND("-",$B95)&gt;0,INDEX(WP!$A$2:$F$23,MATCH(LEFT($B95,FIND("_",$B95)-1),WP!$E$2:$E$23,0),2))),INDEX(WP!$A$2:$F$23,MATCH(Results!$B95,WP!$E$2:$E$23,0),2)),5),(IFERROR(IF(FIND("_",$B95)&gt;0,INDEX(WP!$A$2:$F$23,MATCH(LEFT($B95,FIND("_",$B95)-1),WP!$E$2:$E$23,0),2),IF(FIND("-",$B95)&gt;0,INDEX(WP!$A$2:$F$23,MATCH(LEFT($B95,FIND("_",$B95)-1),WP!$E$2:$E$23,0),2))),INDEX(WP!$A$2:$F$23,MATCH(Results!$B95,WP!$E$2:$E$23,0),2)))),IF(RIGHT(IFERROR(IF(FIND("_",$B95)&gt;0,INDEX(WP!$A$2:$F$23,MATCH(LEFT($B95,FIND("_",$B95)-1),WP!$E$2:$E$23,0),2),IF(FIND("-",$B95)&gt;0,INDEX(WP!$A$2:$F$23,MATCH(LEFT($B95,FIND("_",$B95)-1),WP!$E$2:$E$23,0),2))),INDEX(WP!$A$2:$F$23,MATCH(Results!$B95,WP!$E$2:$E$23,0),2)),6)="Series",LEFT(IFERROR(IF(FIND("_",$B95)&gt;0,INDEX(WP!$A$2:$F$23,MATCH(LEFT($B95,FIND("_",$B95)-1),WP!$E$2:$E$23,0),2),IF(FIND("-",$B95)&gt;0,INDEX(WP!$A$2:$F$23,MATCH(LEFT($B95,FIND("_",$B95)-1),WP!$E$2:$E$23,0),2))),INDEX(WP!$A$2:$F$23,MATCH(Results!$B95,WP!$E$2:$E$23,0),2)),5),(IFERROR(IF(FIND("_",$B95)&gt;0,INDEX(WP!$A$2:$F$23,MATCH(LEFT($B95,FIND("_",$B95)-1),WP!$E$2:$E$23,0),2),IF(FIND("-",$B95)&gt;0,INDEX(WP!$A$2:$F$23,MATCH(LEFT($B95,FIND("_",$B95)-1),WP!$E$2:$E$23,0),2))),INDEX(WP!$A$2:$F$23,MATCH(Results!$B95,WP!$E$2:$E$23,0),2))))&amp;"-"&amp;$I95),"")</f>
        <v/>
      </c>
      <c r="G95" s="17" t="str">
        <f>IF(LEN(_xlfn.IFNA(IF(IFERROR(IF(FIND("_",$B95)&gt;0,MID($B95,FIND("_",$B95)+1,LEN($B95)),IF(FIND("-",$B95)&gt;0,MID($B95,FIND("-",$B95)+1,LEN($B95)))),"")="",IFERROR(VLOOKUP($F95,WP!$B$2:$C$23,2,0),VLOOKUP($C95,Series!$A$3:$F$11,6,0)),IFERROR(VLOOKUP($F95,WP!$B$2:$C$23,2,0),VLOOKUP($C95,Series!$A$3:$F$11,6,0))&amp;" - "&amp;(IFERROR(IF(FIND("_",$B95)&gt;0,MID($B95,FIND("_",$B95)+1,LEN($B95)),IF(FIND("-",$B95)&gt;0,MID($B95,FIND("-",$B95)+1,LEN($B95)))),""))),""))&lt;64,_xlfn.IFNA(IF(IFERROR(IF(FIND("_",$B95)&gt;0,MID($B95,FIND("_",$B95)+1,LEN($B95)),IF(FIND("-",$B95)&gt;0,MID($B95,FIND("-",$B95)+1,LEN($B95)))),"")="",IFERROR(VLOOKUP($F95,WP!$B$2:$C$23,2,0),VLOOKUP($C95,Series!$A$3:$F$11,6,0)),IFERROR(VLOOKUP($F95,WP!$B$2:$C$23,2,0),VLOOKUP($C95,Series!$A$3:$F$11,6,0))&amp;" - "&amp;(IFERROR(IF(FIND("_",$B95)&gt;0,MID($B95,FIND("_",$B95)+1,LEN($B95)),IF(FIND("-",$B95)&gt;0,MID($B95,FIND("-",$B95)+1,LEN($B95)))),""))),""),LEFT((_xlfn.IFNA(IF(IFERROR(IF(FIND("_",$B95)&gt;0,MID($B95,FIND("_",$B95)+1,LEN($B95)),IF(FIND("-",$B95)&gt;0,MID($B95,FIND("-",$B95)+1,LEN($B95)))),"")="",IFERROR(VLOOKUP($F95,WP!$B$2:$C$23,2,0),VLOOKUP($C95,Series!$A$3:$F$11,6,0)),IFERROR(VLOOKUP($F95,WP!$B$2:$C$23,2,0),VLOOKUP($C95,Series!$A$3:$F$11,6,0))&amp;" - "&amp;(IFERROR(IF(FIND("_",$B95)&gt;0,MID($B95,FIND("_",$B95)+1,LEN($B95)),IF(FIND("-",$B95)&gt;0,MID($B95,FIND("-",$B95)+1,LEN($B95)))),""))),"")),64))</f>
        <v/>
      </c>
      <c r="H95" s="12"/>
      <c r="I95" s="12" t="str">
        <f>IF($D95&lt;&gt;"",COUNTIF($D$7:$D95,"="&amp;$D95),"")</f>
        <v/>
      </c>
      <c r="J95"/>
      <c r="K95" s="8"/>
      <c r="L95"/>
    </row>
    <row r="96" spans="1:12" x14ac:dyDescent="0.3">
      <c r="A96" s="1"/>
      <c r="B96" s="26"/>
      <c r="C96" s="12" t="str">
        <f>_xlfn.IFNA(IFERROR(IF(FIND("_",$B96)&gt;0,INDEX(WP!$A$2:$F$23,MATCH(LEFT($B96,FIND("_",$B96)-1),WP!$E$2:$E$23,0),1),IF(FIND("-",$B96)&gt;0,INDEX(WP!$A$2:$F$23,MATCH(LEFT($B96,FIND("_",$B96)-1),WP!$E$2:$E$23,0),1))),INDEX(WP!$A$2:$F$23,MATCH(Results!$B96,WP!$E$2:$E$23,0),1)),"")</f>
        <v/>
      </c>
      <c r="D96" s="12" t="str">
        <f>IFERROR(IFERROR(IF(RIGHT(INDEX(WP!$A$2:$F$23,MATCH(IF(FIND("_",$B96)&gt;0,LEFT($B96,FIND("_",$B96)-1)),WP!$E$2:$E$23,0),2),6)="Series",LEFT(INDEX(WP!$A$2:$F$23,MATCH(IF(FIND("_",$B96)&gt;0,LEFT($B96,FIND("_",$B96)-1)),WP!$E$2:$E$23,0),2),5),""),IF(RIGHT(INDEX(WP!$A$2:$F$23,MATCH($B96,WP!$E$2:$E$23,0),2),6)="Series",LEFT(INDEX(WP!$A$2:$F$23,MATCH($B96,WP!$E$2:$E$23,0),2),5),"")),"")</f>
        <v/>
      </c>
      <c r="E96" s="17" t="str">
        <f>IFERROR(VLOOKUP(VALUE($D96),Series!$B$3:$F$11,2,0),"")</f>
        <v/>
      </c>
      <c r="F96" s="12" t="str">
        <f>_xlfn.IFNA(IF(IF($D96&lt;&gt;"",COUNTIF($E:$E,"="&amp;$D96),"")="",IF(RIGHT(IFERROR(IF(FIND("_",$B96)&gt;0,INDEX(WP!$A$2:$F$23,MATCH(LEFT($B96,FIND("_",$B96)-1),WP!$E$2:$E$23,0),2),IF(FIND("-",$B96)&gt;0,INDEX(WP!$A$2:$F$23,MATCH(LEFT($B96,FIND("_",$B96)-1),WP!$E$2:$E$23,0),2))),INDEX(WP!$A$2:$F$23,MATCH(Results!$B96,WP!$E$2:$E$23,0),2)),6)="Series",LEFT(IFERROR(IF(FIND("_",$B96)&gt;0,INDEX(WP!$A$2:$F$23,MATCH(LEFT($B96,FIND("_",$B96)-1),WP!$E$2:$E$23,0),2),IF(FIND("-",$B96)&gt;0,INDEX(WP!$A$2:$F$23,MATCH(LEFT($B96,FIND("_",$B96)-1),WP!$E$2:$E$23,0),2))),INDEX(WP!$A$2:$F$23,MATCH(Results!$B96,WP!$E$2:$E$23,0),2)),5),(IFERROR(IF(FIND("_",$B96)&gt;0,INDEX(WP!$A$2:$F$23,MATCH(LEFT($B96,FIND("_",$B96)-1),WP!$E$2:$E$23,0),2),IF(FIND("-",$B96)&gt;0,INDEX(WP!$A$2:$F$23,MATCH(LEFT($B96,FIND("_",$B96)-1),WP!$E$2:$E$23,0),2))),INDEX(WP!$A$2:$F$23,MATCH(Results!$B96,WP!$E$2:$E$23,0),2)))),IF(RIGHT(IFERROR(IF(FIND("_",$B96)&gt;0,INDEX(WP!$A$2:$F$23,MATCH(LEFT($B96,FIND("_",$B96)-1),WP!$E$2:$E$23,0),2),IF(FIND("-",$B96)&gt;0,INDEX(WP!$A$2:$F$23,MATCH(LEFT($B96,FIND("_",$B96)-1),WP!$E$2:$E$23,0),2))),INDEX(WP!$A$2:$F$23,MATCH(Results!$B96,WP!$E$2:$E$23,0),2)),6)="Series",LEFT(IFERROR(IF(FIND("_",$B96)&gt;0,INDEX(WP!$A$2:$F$23,MATCH(LEFT($B96,FIND("_",$B96)-1),WP!$E$2:$E$23,0),2),IF(FIND("-",$B96)&gt;0,INDEX(WP!$A$2:$F$23,MATCH(LEFT($B96,FIND("_",$B96)-1),WP!$E$2:$E$23,0),2))),INDEX(WP!$A$2:$F$23,MATCH(Results!$B96,WP!$E$2:$E$23,0),2)),5),(IFERROR(IF(FIND("_",$B96)&gt;0,INDEX(WP!$A$2:$F$23,MATCH(LEFT($B96,FIND("_",$B96)-1),WP!$E$2:$E$23,0),2),IF(FIND("-",$B96)&gt;0,INDEX(WP!$A$2:$F$23,MATCH(LEFT($B96,FIND("_",$B96)-1),WP!$E$2:$E$23,0),2))),INDEX(WP!$A$2:$F$23,MATCH(Results!$B96,WP!$E$2:$E$23,0),2))))&amp;"-"&amp;$I96),"")</f>
        <v/>
      </c>
      <c r="G96" s="17" t="str">
        <f>IF(LEN(_xlfn.IFNA(IF(IFERROR(IF(FIND("_",$B96)&gt;0,MID($B96,FIND("_",$B96)+1,LEN($B96)),IF(FIND("-",$B96)&gt;0,MID($B96,FIND("-",$B96)+1,LEN($B96)))),"")="",IFERROR(VLOOKUP($F96,WP!$B$2:$C$23,2,0),VLOOKUP($C96,Series!$A$3:$F$11,6,0)),IFERROR(VLOOKUP($F96,WP!$B$2:$C$23,2,0),VLOOKUP($C96,Series!$A$3:$F$11,6,0))&amp;" - "&amp;(IFERROR(IF(FIND("_",$B96)&gt;0,MID($B96,FIND("_",$B96)+1,LEN($B96)),IF(FIND("-",$B96)&gt;0,MID($B96,FIND("-",$B96)+1,LEN($B96)))),""))),""))&lt;64,_xlfn.IFNA(IF(IFERROR(IF(FIND("_",$B96)&gt;0,MID($B96,FIND("_",$B96)+1,LEN($B96)),IF(FIND("-",$B96)&gt;0,MID($B96,FIND("-",$B96)+1,LEN($B96)))),"")="",IFERROR(VLOOKUP($F96,WP!$B$2:$C$23,2,0),VLOOKUP($C96,Series!$A$3:$F$11,6,0)),IFERROR(VLOOKUP($F96,WP!$B$2:$C$23,2,0),VLOOKUP($C96,Series!$A$3:$F$11,6,0))&amp;" - "&amp;(IFERROR(IF(FIND("_",$B96)&gt;0,MID($B96,FIND("_",$B96)+1,LEN($B96)),IF(FIND("-",$B96)&gt;0,MID($B96,FIND("-",$B96)+1,LEN($B96)))),""))),""),LEFT((_xlfn.IFNA(IF(IFERROR(IF(FIND("_",$B96)&gt;0,MID($B96,FIND("_",$B96)+1,LEN($B96)),IF(FIND("-",$B96)&gt;0,MID($B96,FIND("-",$B96)+1,LEN($B96)))),"")="",IFERROR(VLOOKUP($F96,WP!$B$2:$C$23,2,0),VLOOKUP($C96,Series!$A$3:$F$11,6,0)),IFERROR(VLOOKUP($F96,WP!$B$2:$C$23,2,0),VLOOKUP($C96,Series!$A$3:$F$11,6,0))&amp;" - "&amp;(IFERROR(IF(FIND("_",$B96)&gt;0,MID($B96,FIND("_",$B96)+1,LEN($B96)),IF(FIND("-",$B96)&gt;0,MID($B96,FIND("-",$B96)+1,LEN($B96)))),""))),"")),64))</f>
        <v/>
      </c>
      <c r="H96" s="12"/>
      <c r="I96" s="12" t="str">
        <f>IF($D96&lt;&gt;"",COUNTIF($D$7:$D96,"="&amp;$D96),"")</f>
        <v/>
      </c>
      <c r="J96"/>
      <c r="K96" s="8"/>
      <c r="L96"/>
    </row>
    <row r="97" spans="1:12" x14ac:dyDescent="0.3">
      <c r="A97" s="1"/>
      <c r="B97" s="26"/>
      <c r="C97" s="12" t="str">
        <f>_xlfn.IFNA(IFERROR(IF(FIND("_",$B97)&gt;0,INDEX(WP!$A$2:$F$23,MATCH(LEFT($B97,FIND("_",$B97)-1),WP!$E$2:$E$23,0),1),IF(FIND("-",$B97)&gt;0,INDEX(WP!$A$2:$F$23,MATCH(LEFT($B97,FIND("_",$B97)-1),WP!$E$2:$E$23,0),1))),INDEX(WP!$A$2:$F$23,MATCH(Results!$B97,WP!$E$2:$E$23,0),1)),"")</f>
        <v/>
      </c>
      <c r="D97" s="12" t="str">
        <f>IFERROR(IFERROR(IF(RIGHT(INDEX(WP!$A$2:$F$23,MATCH(IF(FIND("_",$B97)&gt;0,LEFT($B97,FIND("_",$B97)-1)),WP!$E$2:$E$23,0),2),6)="Series",LEFT(INDEX(WP!$A$2:$F$23,MATCH(IF(FIND("_",$B97)&gt;0,LEFT($B97,FIND("_",$B97)-1)),WP!$E$2:$E$23,0),2),5),""),IF(RIGHT(INDEX(WP!$A$2:$F$23,MATCH($B97,WP!$E$2:$E$23,0),2),6)="Series",LEFT(INDEX(WP!$A$2:$F$23,MATCH($B97,WP!$E$2:$E$23,0),2),5),"")),"")</f>
        <v/>
      </c>
      <c r="E97" s="17" t="str">
        <f>IFERROR(VLOOKUP(VALUE($D97),Series!$B$3:$F$11,2,0),"")</f>
        <v/>
      </c>
      <c r="F97" s="12" t="str">
        <f>_xlfn.IFNA(IF(IF($D97&lt;&gt;"",COUNTIF($E:$E,"="&amp;$D97),"")="",IF(RIGHT(IFERROR(IF(FIND("_",$B97)&gt;0,INDEX(WP!$A$2:$F$23,MATCH(LEFT($B97,FIND("_",$B97)-1),WP!$E$2:$E$23,0),2),IF(FIND("-",$B97)&gt;0,INDEX(WP!$A$2:$F$23,MATCH(LEFT($B97,FIND("_",$B97)-1),WP!$E$2:$E$23,0),2))),INDEX(WP!$A$2:$F$23,MATCH(Results!$B97,WP!$E$2:$E$23,0),2)),6)="Series",LEFT(IFERROR(IF(FIND("_",$B97)&gt;0,INDEX(WP!$A$2:$F$23,MATCH(LEFT($B97,FIND("_",$B97)-1),WP!$E$2:$E$23,0),2),IF(FIND("-",$B97)&gt;0,INDEX(WP!$A$2:$F$23,MATCH(LEFT($B97,FIND("_",$B97)-1),WP!$E$2:$E$23,0),2))),INDEX(WP!$A$2:$F$23,MATCH(Results!$B97,WP!$E$2:$E$23,0),2)),5),(IFERROR(IF(FIND("_",$B97)&gt;0,INDEX(WP!$A$2:$F$23,MATCH(LEFT($B97,FIND("_",$B97)-1),WP!$E$2:$E$23,0),2),IF(FIND("-",$B97)&gt;0,INDEX(WP!$A$2:$F$23,MATCH(LEFT($B97,FIND("_",$B97)-1),WP!$E$2:$E$23,0),2))),INDEX(WP!$A$2:$F$23,MATCH(Results!$B97,WP!$E$2:$E$23,0),2)))),IF(RIGHT(IFERROR(IF(FIND("_",$B97)&gt;0,INDEX(WP!$A$2:$F$23,MATCH(LEFT($B97,FIND("_",$B97)-1),WP!$E$2:$E$23,0),2),IF(FIND("-",$B97)&gt;0,INDEX(WP!$A$2:$F$23,MATCH(LEFT($B97,FIND("_",$B97)-1),WP!$E$2:$E$23,0),2))),INDEX(WP!$A$2:$F$23,MATCH(Results!$B97,WP!$E$2:$E$23,0),2)),6)="Series",LEFT(IFERROR(IF(FIND("_",$B97)&gt;0,INDEX(WP!$A$2:$F$23,MATCH(LEFT($B97,FIND("_",$B97)-1),WP!$E$2:$E$23,0),2),IF(FIND("-",$B97)&gt;0,INDEX(WP!$A$2:$F$23,MATCH(LEFT($B97,FIND("_",$B97)-1),WP!$E$2:$E$23,0),2))),INDEX(WP!$A$2:$F$23,MATCH(Results!$B97,WP!$E$2:$E$23,0),2)),5),(IFERROR(IF(FIND("_",$B97)&gt;0,INDEX(WP!$A$2:$F$23,MATCH(LEFT($B97,FIND("_",$B97)-1),WP!$E$2:$E$23,0),2),IF(FIND("-",$B97)&gt;0,INDEX(WP!$A$2:$F$23,MATCH(LEFT($B97,FIND("_",$B97)-1),WP!$E$2:$E$23,0),2))),INDEX(WP!$A$2:$F$23,MATCH(Results!$B97,WP!$E$2:$E$23,0),2))))&amp;"-"&amp;$I97),"")</f>
        <v/>
      </c>
      <c r="G97" s="17" t="str">
        <f>IF(LEN(_xlfn.IFNA(IF(IFERROR(IF(FIND("_",$B97)&gt;0,MID($B97,FIND("_",$B97)+1,LEN($B97)),IF(FIND("-",$B97)&gt;0,MID($B97,FIND("-",$B97)+1,LEN($B97)))),"")="",IFERROR(VLOOKUP($F97,WP!$B$2:$C$23,2,0),VLOOKUP($C97,Series!$A$3:$F$11,6,0)),IFERROR(VLOOKUP($F97,WP!$B$2:$C$23,2,0),VLOOKUP($C97,Series!$A$3:$F$11,6,0))&amp;" - "&amp;(IFERROR(IF(FIND("_",$B97)&gt;0,MID($B97,FIND("_",$B97)+1,LEN($B97)),IF(FIND("-",$B97)&gt;0,MID($B97,FIND("-",$B97)+1,LEN($B97)))),""))),""))&lt;64,_xlfn.IFNA(IF(IFERROR(IF(FIND("_",$B97)&gt;0,MID($B97,FIND("_",$B97)+1,LEN($B97)),IF(FIND("-",$B97)&gt;0,MID($B97,FIND("-",$B97)+1,LEN($B97)))),"")="",IFERROR(VLOOKUP($F97,WP!$B$2:$C$23,2,0),VLOOKUP($C97,Series!$A$3:$F$11,6,0)),IFERROR(VLOOKUP($F97,WP!$B$2:$C$23,2,0),VLOOKUP($C97,Series!$A$3:$F$11,6,0))&amp;" - "&amp;(IFERROR(IF(FIND("_",$B97)&gt;0,MID($B97,FIND("_",$B97)+1,LEN($B97)),IF(FIND("-",$B97)&gt;0,MID($B97,FIND("-",$B97)+1,LEN($B97)))),""))),""),LEFT((_xlfn.IFNA(IF(IFERROR(IF(FIND("_",$B97)&gt;0,MID($B97,FIND("_",$B97)+1,LEN($B97)),IF(FIND("-",$B97)&gt;0,MID($B97,FIND("-",$B97)+1,LEN($B97)))),"")="",IFERROR(VLOOKUP($F97,WP!$B$2:$C$23,2,0),VLOOKUP($C97,Series!$A$3:$F$11,6,0)),IFERROR(VLOOKUP($F97,WP!$B$2:$C$23,2,0),VLOOKUP($C97,Series!$A$3:$F$11,6,0))&amp;" - "&amp;(IFERROR(IF(FIND("_",$B97)&gt;0,MID($B97,FIND("_",$B97)+1,LEN($B97)),IF(FIND("-",$B97)&gt;0,MID($B97,FIND("-",$B97)+1,LEN($B97)))),""))),"")),64))</f>
        <v/>
      </c>
      <c r="H97" s="12"/>
      <c r="I97" s="12" t="str">
        <f>IF($D97&lt;&gt;"",COUNTIF($D$7:$D97,"="&amp;$D97),"")</f>
        <v/>
      </c>
      <c r="J97"/>
      <c r="K97" s="8"/>
      <c r="L97"/>
    </row>
    <row r="98" spans="1:12" x14ac:dyDescent="0.3">
      <c r="A98" s="1"/>
      <c r="B98" s="26"/>
      <c r="C98" s="12" t="str">
        <f>_xlfn.IFNA(IFERROR(IF(FIND("_",$B98)&gt;0,INDEX(WP!$A$2:$F$23,MATCH(LEFT($B98,FIND("_",$B98)-1),WP!$E$2:$E$23,0),1),IF(FIND("-",$B98)&gt;0,INDEX(WP!$A$2:$F$23,MATCH(LEFT($B98,FIND("_",$B98)-1),WP!$E$2:$E$23,0),1))),INDEX(WP!$A$2:$F$23,MATCH(Results!$B98,WP!$E$2:$E$23,0),1)),"")</f>
        <v/>
      </c>
      <c r="D98" s="12" t="str">
        <f>IFERROR(IFERROR(IF(RIGHT(INDEX(WP!$A$2:$F$23,MATCH(IF(FIND("_",$B98)&gt;0,LEFT($B98,FIND("_",$B98)-1)),WP!$E$2:$E$23,0),2),6)="Series",LEFT(INDEX(WP!$A$2:$F$23,MATCH(IF(FIND("_",$B98)&gt;0,LEFT($B98,FIND("_",$B98)-1)),WP!$E$2:$E$23,0),2),5),""),IF(RIGHT(INDEX(WP!$A$2:$F$23,MATCH($B98,WP!$E$2:$E$23,0),2),6)="Series",LEFT(INDEX(WP!$A$2:$F$23,MATCH($B98,WP!$E$2:$E$23,0),2),5),"")),"")</f>
        <v/>
      </c>
      <c r="E98" s="17" t="str">
        <f>IFERROR(VLOOKUP(VALUE($D98),Series!$B$3:$F$11,2,0),"")</f>
        <v/>
      </c>
      <c r="F98" s="12" t="str">
        <f>_xlfn.IFNA(IF(IF($D98&lt;&gt;"",COUNTIF($E:$E,"="&amp;$D98),"")="",IF(RIGHT(IFERROR(IF(FIND("_",$B98)&gt;0,INDEX(WP!$A$2:$F$23,MATCH(LEFT($B98,FIND("_",$B98)-1),WP!$E$2:$E$23,0),2),IF(FIND("-",$B98)&gt;0,INDEX(WP!$A$2:$F$23,MATCH(LEFT($B98,FIND("_",$B98)-1),WP!$E$2:$E$23,0),2))),INDEX(WP!$A$2:$F$23,MATCH(Results!$B98,WP!$E$2:$E$23,0),2)),6)="Series",LEFT(IFERROR(IF(FIND("_",$B98)&gt;0,INDEX(WP!$A$2:$F$23,MATCH(LEFT($B98,FIND("_",$B98)-1),WP!$E$2:$E$23,0),2),IF(FIND("-",$B98)&gt;0,INDEX(WP!$A$2:$F$23,MATCH(LEFT($B98,FIND("_",$B98)-1),WP!$E$2:$E$23,0),2))),INDEX(WP!$A$2:$F$23,MATCH(Results!$B98,WP!$E$2:$E$23,0),2)),5),(IFERROR(IF(FIND("_",$B98)&gt;0,INDEX(WP!$A$2:$F$23,MATCH(LEFT($B98,FIND("_",$B98)-1),WP!$E$2:$E$23,0),2),IF(FIND("-",$B98)&gt;0,INDEX(WP!$A$2:$F$23,MATCH(LEFT($B98,FIND("_",$B98)-1),WP!$E$2:$E$23,0),2))),INDEX(WP!$A$2:$F$23,MATCH(Results!$B98,WP!$E$2:$E$23,0),2)))),IF(RIGHT(IFERROR(IF(FIND("_",$B98)&gt;0,INDEX(WP!$A$2:$F$23,MATCH(LEFT($B98,FIND("_",$B98)-1),WP!$E$2:$E$23,0),2),IF(FIND("-",$B98)&gt;0,INDEX(WP!$A$2:$F$23,MATCH(LEFT($B98,FIND("_",$B98)-1),WP!$E$2:$E$23,0),2))),INDEX(WP!$A$2:$F$23,MATCH(Results!$B98,WP!$E$2:$E$23,0),2)),6)="Series",LEFT(IFERROR(IF(FIND("_",$B98)&gt;0,INDEX(WP!$A$2:$F$23,MATCH(LEFT($B98,FIND("_",$B98)-1),WP!$E$2:$E$23,0),2),IF(FIND("-",$B98)&gt;0,INDEX(WP!$A$2:$F$23,MATCH(LEFT($B98,FIND("_",$B98)-1),WP!$E$2:$E$23,0),2))),INDEX(WP!$A$2:$F$23,MATCH(Results!$B98,WP!$E$2:$E$23,0),2)),5),(IFERROR(IF(FIND("_",$B98)&gt;0,INDEX(WP!$A$2:$F$23,MATCH(LEFT($B98,FIND("_",$B98)-1),WP!$E$2:$E$23,0),2),IF(FIND("-",$B98)&gt;0,INDEX(WP!$A$2:$F$23,MATCH(LEFT($B98,FIND("_",$B98)-1),WP!$E$2:$E$23,0),2))),INDEX(WP!$A$2:$F$23,MATCH(Results!$B98,WP!$E$2:$E$23,0),2))))&amp;"-"&amp;$I98),"")</f>
        <v/>
      </c>
      <c r="G98" s="17" t="str">
        <f>IF(LEN(_xlfn.IFNA(IF(IFERROR(IF(FIND("_",$B98)&gt;0,MID($B98,FIND("_",$B98)+1,LEN($B98)),IF(FIND("-",$B98)&gt;0,MID($B98,FIND("-",$B98)+1,LEN($B98)))),"")="",IFERROR(VLOOKUP($F98,WP!$B$2:$C$23,2,0),VLOOKUP($C98,Series!$A$3:$F$11,6,0)),IFERROR(VLOOKUP($F98,WP!$B$2:$C$23,2,0),VLOOKUP($C98,Series!$A$3:$F$11,6,0))&amp;" - "&amp;(IFERROR(IF(FIND("_",$B98)&gt;0,MID($B98,FIND("_",$B98)+1,LEN($B98)),IF(FIND("-",$B98)&gt;0,MID($B98,FIND("-",$B98)+1,LEN($B98)))),""))),""))&lt;64,_xlfn.IFNA(IF(IFERROR(IF(FIND("_",$B98)&gt;0,MID($B98,FIND("_",$B98)+1,LEN($B98)),IF(FIND("-",$B98)&gt;0,MID($B98,FIND("-",$B98)+1,LEN($B98)))),"")="",IFERROR(VLOOKUP($F98,WP!$B$2:$C$23,2,0),VLOOKUP($C98,Series!$A$3:$F$11,6,0)),IFERROR(VLOOKUP($F98,WP!$B$2:$C$23,2,0),VLOOKUP($C98,Series!$A$3:$F$11,6,0))&amp;" - "&amp;(IFERROR(IF(FIND("_",$B98)&gt;0,MID($B98,FIND("_",$B98)+1,LEN($B98)),IF(FIND("-",$B98)&gt;0,MID($B98,FIND("-",$B98)+1,LEN($B98)))),""))),""),LEFT((_xlfn.IFNA(IF(IFERROR(IF(FIND("_",$B98)&gt;0,MID($B98,FIND("_",$B98)+1,LEN($B98)),IF(FIND("-",$B98)&gt;0,MID($B98,FIND("-",$B98)+1,LEN($B98)))),"")="",IFERROR(VLOOKUP($F98,WP!$B$2:$C$23,2,0),VLOOKUP($C98,Series!$A$3:$F$11,6,0)),IFERROR(VLOOKUP($F98,WP!$B$2:$C$23,2,0),VLOOKUP($C98,Series!$A$3:$F$11,6,0))&amp;" - "&amp;(IFERROR(IF(FIND("_",$B98)&gt;0,MID($B98,FIND("_",$B98)+1,LEN($B98)),IF(FIND("-",$B98)&gt;0,MID($B98,FIND("-",$B98)+1,LEN($B98)))),""))),"")),64))</f>
        <v/>
      </c>
      <c r="H98" s="12"/>
      <c r="I98" s="12" t="str">
        <f>IF($D98&lt;&gt;"",COUNTIF($D$7:$D98,"="&amp;$D98),"")</f>
        <v/>
      </c>
      <c r="J98"/>
      <c r="K98" s="8"/>
      <c r="L98"/>
    </row>
    <row r="99" spans="1:12" x14ac:dyDescent="0.3">
      <c r="A99" s="1"/>
      <c r="B99" s="26"/>
      <c r="C99" s="12" t="str">
        <f>_xlfn.IFNA(IFERROR(IF(FIND("_",$B99)&gt;0,INDEX(WP!$A$2:$F$23,MATCH(LEFT($B99,FIND("_",$B99)-1),WP!$E$2:$E$23,0),1),IF(FIND("-",$B99)&gt;0,INDEX(WP!$A$2:$F$23,MATCH(LEFT($B99,FIND("_",$B99)-1),WP!$E$2:$E$23,0),1))),INDEX(WP!$A$2:$F$23,MATCH(Results!$B99,WP!$E$2:$E$23,0),1)),"")</f>
        <v/>
      </c>
      <c r="D99" s="12" t="str">
        <f>IFERROR(IFERROR(IF(RIGHT(INDEX(WP!$A$2:$F$23,MATCH(IF(FIND("_",$B99)&gt;0,LEFT($B99,FIND("_",$B99)-1)),WP!$E$2:$E$23,0),2),6)="Series",LEFT(INDEX(WP!$A$2:$F$23,MATCH(IF(FIND("_",$B99)&gt;0,LEFT($B99,FIND("_",$B99)-1)),WP!$E$2:$E$23,0),2),5),""),IF(RIGHT(INDEX(WP!$A$2:$F$23,MATCH($B99,WP!$E$2:$E$23,0),2),6)="Series",LEFT(INDEX(WP!$A$2:$F$23,MATCH($B99,WP!$E$2:$E$23,0),2),5),"")),"")</f>
        <v/>
      </c>
      <c r="E99" s="17" t="str">
        <f>IFERROR(VLOOKUP(VALUE($D99),Series!$B$3:$F$11,2,0),"")</f>
        <v/>
      </c>
      <c r="F99" s="12" t="str">
        <f>_xlfn.IFNA(IF(IF($D99&lt;&gt;"",COUNTIF($E:$E,"="&amp;$D99),"")="",IF(RIGHT(IFERROR(IF(FIND("_",$B99)&gt;0,INDEX(WP!$A$2:$F$23,MATCH(LEFT($B99,FIND("_",$B99)-1),WP!$E$2:$E$23,0),2),IF(FIND("-",$B99)&gt;0,INDEX(WP!$A$2:$F$23,MATCH(LEFT($B99,FIND("_",$B99)-1),WP!$E$2:$E$23,0),2))),INDEX(WP!$A$2:$F$23,MATCH(Results!$B99,WP!$E$2:$E$23,0),2)),6)="Series",LEFT(IFERROR(IF(FIND("_",$B99)&gt;0,INDEX(WP!$A$2:$F$23,MATCH(LEFT($B99,FIND("_",$B99)-1),WP!$E$2:$E$23,0),2),IF(FIND("-",$B99)&gt;0,INDEX(WP!$A$2:$F$23,MATCH(LEFT($B99,FIND("_",$B99)-1),WP!$E$2:$E$23,0),2))),INDEX(WP!$A$2:$F$23,MATCH(Results!$B99,WP!$E$2:$E$23,0),2)),5),(IFERROR(IF(FIND("_",$B99)&gt;0,INDEX(WP!$A$2:$F$23,MATCH(LEFT($B99,FIND("_",$B99)-1),WP!$E$2:$E$23,0),2),IF(FIND("-",$B99)&gt;0,INDEX(WP!$A$2:$F$23,MATCH(LEFT($B99,FIND("_",$B99)-1),WP!$E$2:$E$23,0),2))),INDEX(WP!$A$2:$F$23,MATCH(Results!$B99,WP!$E$2:$E$23,0),2)))),IF(RIGHT(IFERROR(IF(FIND("_",$B99)&gt;0,INDEX(WP!$A$2:$F$23,MATCH(LEFT($B99,FIND("_",$B99)-1),WP!$E$2:$E$23,0),2),IF(FIND("-",$B99)&gt;0,INDEX(WP!$A$2:$F$23,MATCH(LEFT($B99,FIND("_",$B99)-1),WP!$E$2:$E$23,0),2))),INDEX(WP!$A$2:$F$23,MATCH(Results!$B99,WP!$E$2:$E$23,0),2)),6)="Series",LEFT(IFERROR(IF(FIND("_",$B99)&gt;0,INDEX(WP!$A$2:$F$23,MATCH(LEFT($B99,FIND("_",$B99)-1),WP!$E$2:$E$23,0),2),IF(FIND("-",$B99)&gt;0,INDEX(WP!$A$2:$F$23,MATCH(LEFT($B99,FIND("_",$B99)-1),WP!$E$2:$E$23,0),2))),INDEX(WP!$A$2:$F$23,MATCH(Results!$B99,WP!$E$2:$E$23,0),2)),5),(IFERROR(IF(FIND("_",$B99)&gt;0,INDEX(WP!$A$2:$F$23,MATCH(LEFT($B99,FIND("_",$B99)-1),WP!$E$2:$E$23,0),2),IF(FIND("-",$B99)&gt;0,INDEX(WP!$A$2:$F$23,MATCH(LEFT($B99,FIND("_",$B99)-1),WP!$E$2:$E$23,0),2))),INDEX(WP!$A$2:$F$23,MATCH(Results!$B99,WP!$E$2:$E$23,0),2))))&amp;"-"&amp;$I99),"")</f>
        <v/>
      </c>
      <c r="G99" s="17" t="str">
        <f>IF(LEN(_xlfn.IFNA(IF(IFERROR(IF(FIND("_",$B99)&gt;0,MID($B99,FIND("_",$B99)+1,LEN($B99)),IF(FIND("-",$B99)&gt;0,MID($B99,FIND("-",$B99)+1,LEN($B99)))),"")="",IFERROR(VLOOKUP($F99,WP!$B$2:$C$23,2,0),VLOOKUP($C99,Series!$A$3:$F$11,6,0)),IFERROR(VLOOKUP($F99,WP!$B$2:$C$23,2,0),VLOOKUP($C99,Series!$A$3:$F$11,6,0))&amp;" - "&amp;(IFERROR(IF(FIND("_",$B99)&gt;0,MID($B99,FIND("_",$B99)+1,LEN($B99)),IF(FIND("-",$B99)&gt;0,MID($B99,FIND("-",$B99)+1,LEN($B99)))),""))),""))&lt;64,_xlfn.IFNA(IF(IFERROR(IF(FIND("_",$B99)&gt;0,MID($B99,FIND("_",$B99)+1,LEN($B99)),IF(FIND("-",$B99)&gt;0,MID($B99,FIND("-",$B99)+1,LEN($B99)))),"")="",IFERROR(VLOOKUP($F99,WP!$B$2:$C$23,2,0),VLOOKUP($C99,Series!$A$3:$F$11,6,0)),IFERROR(VLOOKUP($F99,WP!$B$2:$C$23,2,0),VLOOKUP($C99,Series!$A$3:$F$11,6,0))&amp;" - "&amp;(IFERROR(IF(FIND("_",$B99)&gt;0,MID($B99,FIND("_",$B99)+1,LEN($B99)),IF(FIND("-",$B99)&gt;0,MID($B99,FIND("-",$B99)+1,LEN($B99)))),""))),""),LEFT((_xlfn.IFNA(IF(IFERROR(IF(FIND("_",$B99)&gt;0,MID($B99,FIND("_",$B99)+1,LEN($B99)),IF(FIND("-",$B99)&gt;0,MID($B99,FIND("-",$B99)+1,LEN($B99)))),"")="",IFERROR(VLOOKUP($F99,WP!$B$2:$C$23,2,0),VLOOKUP($C99,Series!$A$3:$F$11,6,0)),IFERROR(VLOOKUP($F99,WP!$B$2:$C$23,2,0),VLOOKUP($C99,Series!$A$3:$F$11,6,0))&amp;" - "&amp;(IFERROR(IF(FIND("_",$B99)&gt;0,MID($B99,FIND("_",$B99)+1,LEN($B99)),IF(FIND("-",$B99)&gt;0,MID($B99,FIND("-",$B99)+1,LEN($B99)))),""))),"")),64))</f>
        <v/>
      </c>
      <c r="H99" s="12"/>
      <c r="I99" s="12" t="str">
        <f>IF($D99&lt;&gt;"",COUNTIF($D$7:$D99,"="&amp;$D99),"")</f>
        <v/>
      </c>
      <c r="J99"/>
      <c r="K99" s="8"/>
      <c r="L99"/>
    </row>
    <row r="100" spans="1:12" x14ac:dyDescent="0.3">
      <c r="A100" s="1"/>
      <c r="B100" s="26"/>
      <c r="C100" s="12" t="str">
        <f>_xlfn.IFNA(IFERROR(IF(FIND("_",$B100)&gt;0,INDEX(WP!$A$2:$F$23,MATCH(LEFT($B100,FIND("_",$B100)-1),WP!$E$2:$E$23,0),1),IF(FIND("-",$B100)&gt;0,INDEX(WP!$A$2:$F$23,MATCH(LEFT($B100,FIND("_",$B100)-1),WP!$E$2:$E$23,0),1))),INDEX(WP!$A$2:$F$23,MATCH(Results!$B100,WP!$E$2:$E$23,0),1)),"")</f>
        <v/>
      </c>
      <c r="D100" s="12" t="str">
        <f>IFERROR(IFERROR(IF(RIGHT(INDEX(WP!$A$2:$F$23,MATCH(IF(FIND("_",$B100)&gt;0,LEFT($B100,FIND("_",$B100)-1)),WP!$E$2:$E$23,0),2),6)="Series",LEFT(INDEX(WP!$A$2:$F$23,MATCH(IF(FIND("_",$B100)&gt;0,LEFT($B100,FIND("_",$B100)-1)),WP!$E$2:$E$23,0),2),5),""),IF(RIGHT(INDEX(WP!$A$2:$F$23,MATCH($B100,WP!$E$2:$E$23,0),2),6)="Series",LEFT(INDEX(WP!$A$2:$F$23,MATCH($B100,WP!$E$2:$E$23,0),2),5),"")),"")</f>
        <v/>
      </c>
      <c r="E100" s="17" t="str">
        <f>IFERROR(VLOOKUP(VALUE($D100),Series!$B$3:$F$11,2,0),"")</f>
        <v/>
      </c>
      <c r="F100" s="12" t="str">
        <f>_xlfn.IFNA(IF(IF($D100&lt;&gt;"",COUNTIF($E:$E,"="&amp;$D100),"")="",IF(RIGHT(IFERROR(IF(FIND("_",$B100)&gt;0,INDEX(WP!$A$2:$F$23,MATCH(LEFT($B100,FIND("_",$B100)-1),WP!$E$2:$E$23,0),2),IF(FIND("-",$B100)&gt;0,INDEX(WP!$A$2:$F$23,MATCH(LEFT($B100,FIND("_",$B100)-1),WP!$E$2:$E$23,0),2))),INDEX(WP!$A$2:$F$23,MATCH(Results!$B100,WP!$E$2:$E$23,0),2)),6)="Series",LEFT(IFERROR(IF(FIND("_",$B100)&gt;0,INDEX(WP!$A$2:$F$23,MATCH(LEFT($B100,FIND("_",$B100)-1),WP!$E$2:$E$23,0),2),IF(FIND("-",$B100)&gt;0,INDEX(WP!$A$2:$F$23,MATCH(LEFT($B100,FIND("_",$B100)-1),WP!$E$2:$E$23,0),2))),INDEX(WP!$A$2:$F$23,MATCH(Results!$B100,WP!$E$2:$E$23,0),2)),5),(IFERROR(IF(FIND("_",$B100)&gt;0,INDEX(WP!$A$2:$F$23,MATCH(LEFT($B100,FIND("_",$B100)-1),WP!$E$2:$E$23,0),2),IF(FIND("-",$B100)&gt;0,INDEX(WP!$A$2:$F$23,MATCH(LEFT($B100,FIND("_",$B100)-1),WP!$E$2:$E$23,0),2))),INDEX(WP!$A$2:$F$23,MATCH(Results!$B100,WP!$E$2:$E$23,0),2)))),IF(RIGHT(IFERROR(IF(FIND("_",$B100)&gt;0,INDEX(WP!$A$2:$F$23,MATCH(LEFT($B100,FIND("_",$B100)-1),WP!$E$2:$E$23,0),2),IF(FIND("-",$B100)&gt;0,INDEX(WP!$A$2:$F$23,MATCH(LEFT($B100,FIND("_",$B100)-1),WP!$E$2:$E$23,0),2))),INDEX(WP!$A$2:$F$23,MATCH(Results!$B100,WP!$E$2:$E$23,0),2)),6)="Series",LEFT(IFERROR(IF(FIND("_",$B100)&gt;0,INDEX(WP!$A$2:$F$23,MATCH(LEFT($B100,FIND("_",$B100)-1),WP!$E$2:$E$23,0),2),IF(FIND("-",$B100)&gt;0,INDEX(WP!$A$2:$F$23,MATCH(LEFT($B100,FIND("_",$B100)-1),WP!$E$2:$E$23,0),2))),INDEX(WP!$A$2:$F$23,MATCH(Results!$B100,WP!$E$2:$E$23,0),2)),5),(IFERROR(IF(FIND("_",$B100)&gt;0,INDEX(WP!$A$2:$F$23,MATCH(LEFT($B100,FIND("_",$B100)-1),WP!$E$2:$E$23,0),2),IF(FIND("-",$B100)&gt;0,INDEX(WP!$A$2:$F$23,MATCH(LEFT($B100,FIND("_",$B100)-1),WP!$E$2:$E$23,0),2))),INDEX(WP!$A$2:$F$23,MATCH(Results!$B100,WP!$E$2:$E$23,0),2))))&amp;"-"&amp;$I100),"")</f>
        <v/>
      </c>
      <c r="G100" s="17" t="str">
        <f>IF(LEN(_xlfn.IFNA(IF(IFERROR(IF(FIND("_",$B100)&gt;0,MID($B100,FIND("_",$B100)+1,LEN($B100)),IF(FIND("-",$B100)&gt;0,MID($B100,FIND("-",$B100)+1,LEN($B100)))),"")="",IFERROR(VLOOKUP($F100,WP!$B$2:$C$23,2,0),VLOOKUP($C100,Series!$A$3:$F$11,6,0)),IFERROR(VLOOKUP($F100,WP!$B$2:$C$23,2,0),VLOOKUP($C100,Series!$A$3:$F$11,6,0))&amp;" - "&amp;(IFERROR(IF(FIND("_",$B100)&gt;0,MID($B100,FIND("_",$B100)+1,LEN($B100)),IF(FIND("-",$B100)&gt;0,MID($B100,FIND("-",$B100)+1,LEN($B100)))),""))),""))&lt;64,_xlfn.IFNA(IF(IFERROR(IF(FIND("_",$B100)&gt;0,MID($B100,FIND("_",$B100)+1,LEN($B100)),IF(FIND("-",$B100)&gt;0,MID($B100,FIND("-",$B100)+1,LEN($B100)))),"")="",IFERROR(VLOOKUP($F100,WP!$B$2:$C$23,2,0),VLOOKUP($C100,Series!$A$3:$F$11,6,0)),IFERROR(VLOOKUP($F100,WP!$B$2:$C$23,2,0),VLOOKUP($C100,Series!$A$3:$F$11,6,0))&amp;" - "&amp;(IFERROR(IF(FIND("_",$B100)&gt;0,MID($B100,FIND("_",$B100)+1,LEN($B100)),IF(FIND("-",$B100)&gt;0,MID($B100,FIND("-",$B100)+1,LEN($B100)))),""))),""),LEFT((_xlfn.IFNA(IF(IFERROR(IF(FIND("_",$B100)&gt;0,MID($B100,FIND("_",$B100)+1,LEN($B100)),IF(FIND("-",$B100)&gt;0,MID($B100,FIND("-",$B100)+1,LEN($B100)))),"")="",IFERROR(VLOOKUP($F100,WP!$B$2:$C$23,2,0),VLOOKUP($C100,Series!$A$3:$F$11,6,0)),IFERROR(VLOOKUP($F100,WP!$B$2:$C$23,2,0),VLOOKUP($C100,Series!$A$3:$F$11,6,0))&amp;" - "&amp;(IFERROR(IF(FIND("_",$B100)&gt;0,MID($B100,FIND("_",$B100)+1,LEN($B100)),IF(FIND("-",$B100)&gt;0,MID($B100,FIND("-",$B100)+1,LEN($B100)))),""))),"")),64))</f>
        <v/>
      </c>
      <c r="H100" s="12"/>
      <c r="I100" s="12" t="str">
        <f>IF($D100&lt;&gt;"",COUNTIF($D$7:$D100,"="&amp;$D100),"")</f>
        <v/>
      </c>
      <c r="J100"/>
      <c r="K100" s="8"/>
      <c r="L100"/>
    </row>
    <row r="101" spans="1:12" x14ac:dyDescent="0.3">
      <c r="A101" s="1"/>
      <c r="B101" s="26"/>
      <c r="C101" s="12" t="str">
        <f>_xlfn.IFNA(IFERROR(IF(FIND("_",$B101)&gt;0,INDEX(WP!$A$2:$F$23,MATCH(LEFT($B101,FIND("_",$B101)-1),WP!$E$2:$E$23,0),1),IF(FIND("-",$B101)&gt;0,INDEX(WP!$A$2:$F$23,MATCH(LEFT($B101,FIND("_",$B101)-1),WP!$E$2:$E$23,0),1))),INDEX(WP!$A$2:$F$23,MATCH(Results!$B101,WP!$E$2:$E$23,0),1)),"")</f>
        <v/>
      </c>
      <c r="D101" s="12" t="str">
        <f>IFERROR(IFERROR(IF(RIGHT(INDEX(WP!$A$2:$F$23,MATCH(IF(FIND("_",$B101)&gt;0,LEFT($B101,FIND("_",$B101)-1)),WP!$E$2:$E$23,0),2),6)="Series",LEFT(INDEX(WP!$A$2:$F$23,MATCH(IF(FIND("_",$B101)&gt;0,LEFT($B101,FIND("_",$B101)-1)),WP!$E$2:$E$23,0),2),5),""),IF(RIGHT(INDEX(WP!$A$2:$F$23,MATCH($B101,WP!$E$2:$E$23,0),2),6)="Series",LEFT(INDEX(WP!$A$2:$F$23,MATCH($B101,WP!$E$2:$E$23,0),2),5),"")),"")</f>
        <v/>
      </c>
      <c r="E101" s="17" t="str">
        <f>IFERROR(VLOOKUP(VALUE($D101),Series!$B$3:$F$11,2,0),"")</f>
        <v/>
      </c>
      <c r="F101" s="12" t="str">
        <f>_xlfn.IFNA(IF(IF($D101&lt;&gt;"",COUNTIF($E:$E,"="&amp;$D101),"")="",IF(RIGHT(IFERROR(IF(FIND("_",$B101)&gt;0,INDEX(WP!$A$2:$F$23,MATCH(LEFT($B101,FIND("_",$B101)-1),WP!$E$2:$E$23,0),2),IF(FIND("-",$B101)&gt;0,INDEX(WP!$A$2:$F$23,MATCH(LEFT($B101,FIND("_",$B101)-1),WP!$E$2:$E$23,0),2))),INDEX(WP!$A$2:$F$23,MATCH(Results!$B101,WP!$E$2:$E$23,0),2)),6)="Series",LEFT(IFERROR(IF(FIND("_",$B101)&gt;0,INDEX(WP!$A$2:$F$23,MATCH(LEFT($B101,FIND("_",$B101)-1),WP!$E$2:$E$23,0),2),IF(FIND("-",$B101)&gt;0,INDEX(WP!$A$2:$F$23,MATCH(LEFT($B101,FIND("_",$B101)-1),WP!$E$2:$E$23,0),2))),INDEX(WP!$A$2:$F$23,MATCH(Results!$B101,WP!$E$2:$E$23,0),2)),5),(IFERROR(IF(FIND("_",$B101)&gt;0,INDEX(WP!$A$2:$F$23,MATCH(LEFT($B101,FIND("_",$B101)-1),WP!$E$2:$E$23,0),2),IF(FIND("-",$B101)&gt;0,INDEX(WP!$A$2:$F$23,MATCH(LEFT($B101,FIND("_",$B101)-1),WP!$E$2:$E$23,0),2))),INDEX(WP!$A$2:$F$23,MATCH(Results!$B101,WP!$E$2:$E$23,0),2)))),IF(RIGHT(IFERROR(IF(FIND("_",$B101)&gt;0,INDEX(WP!$A$2:$F$23,MATCH(LEFT($B101,FIND("_",$B101)-1),WP!$E$2:$E$23,0),2),IF(FIND("-",$B101)&gt;0,INDEX(WP!$A$2:$F$23,MATCH(LEFT($B101,FIND("_",$B101)-1),WP!$E$2:$E$23,0),2))),INDEX(WP!$A$2:$F$23,MATCH(Results!$B101,WP!$E$2:$E$23,0),2)),6)="Series",LEFT(IFERROR(IF(FIND("_",$B101)&gt;0,INDEX(WP!$A$2:$F$23,MATCH(LEFT($B101,FIND("_",$B101)-1),WP!$E$2:$E$23,0),2),IF(FIND("-",$B101)&gt;0,INDEX(WP!$A$2:$F$23,MATCH(LEFT($B101,FIND("_",$B101)-1),WP!$E$2:$E$23,0),2))),INDEX(WP!$A$2:$F$23,MATCH(Results!$B101,WP!$E$2:$E$23,0),2)),5),(IFERROR(IF(FIND("_",$B101)&gt;0,INDEX(WP!$A$2:$F$23,MATCH(LEFT($B101,FIND("_",$B101)-1),WP!$E$2:$E$23,0),2),IF(FIND("-",$B101)&gt;0,INDEX(WP!$A$2:$F$23,MATCH(LEFT($B101,FIND("_",$B101)-1),WP!$E$2:$E$23,0),2))),INDEX(WP!$A$2:$F$23,MATCH(Results!$B101,WP!$E$2:$E$23,0),2))))&amp;"-"&amp;$I101),"")</f>
        <v/>
      </c>
      <c r="G101" s="17" t="str">
        <f>IF(LEN(_xlfn.IFNA(IF(IFERROR(IF(FIND("_",$B101)&gt;0,MID($B101,FIND("_",$B101)+1,LEN($B101)),IF(FIND("-",$B101)&gt;0,MID($B101,FIND("-",$B101)+1,LEN($B101)))),"")="",IFERROR(VLOOKUP($F101,WP!$B$2:$C$23,2,0),VLOOKUP($C101,Series!$A$3:$F$11,6,0)),IFERROR(VLOOKUP($F101,WP!$B$2:$C$23,2,0),VLOOKUP($C101,Series!$A$3:$F$11,6,0))&amp;" - "&amp;(IFERROR(IF(FIND("_",$B101)&gt;0,MID($B101,FIND("_",$B101)+1,LEN($B101)),IF(FIND("-",$B101)&gt;0,MID($B101,FIND("-",$B101)+1,LEN($B101)))),""))),""))&lt;64,_xlfn.IFNA(IF(IFERROR(IF(FIND("_",$B101)&gt;0,MID($B101,FIND("_",$B101)+1,LEN($B101)),IF(FIND("-",$B101)&gt;0,MID($B101,FIND("-",$B101)+1,LEN($B101)))),"")="",IFERROR(VLOOKUP($F101,WP!$B$2:$C$23,2,0),VLOOKUP($C101,Series!$A$3:$F$11,6,0)),IFERROR(VLOOKUP($F101,WP!$B$2:$C$23,2,0),VLOOKUP($C101,Series!$A$3:$F$11,6,0))&amp;" - "&amp;(IFERROR(IF(FIND("_",$B101)&gt;0,MID($B101,FIND("_",$B101)+1,LEN($B101)),IF(FIND("-",$B101)&gt;0,MID($B101,FIND("-",$B101)+1,LEN($B101)))),""))),""),LEFT((_xlfn.IFNA(IF(IFERROR(IF(FIND("_",$B101)&gt;0,MID($B101,FIND("_",$B101)+1,LEN($B101)),IF(FIND("-",$B101)&gt;0,MID($B101,FIND("-",$B101)+1,LEN($B101)))),"")="",IFERROR(VLOOKUP($F101,WP!$B$2:$C$23,2,0),VLOOKUP($C101,Series!$A$3:$F$11,6,0)),IFERROR(VLOOKUP($F101,WP!$B$2:$C$23,2,0),VLOOKUP($C101,Series!$A$3:$F$11,6,0))&amp;" - "&amp;(IFERROR(IF(FIND("_",$B101)&gt;0,MID($B101,FIND("_",$B101)+1,LEN($B101)),IF(FIND("-",$B101)&gt;0,MID($B101,FIND("-",$B101)+1,LEN($B101)))),""))),"")),64))</f>
        <v/>
      </c>
      <c r="H101" s="12"/>
      <c r="I101" s="12" t="str">
        <f>IF($D101&lt;&gt;"",COUNTIF($D$7:$D101,"="&amp;$D101),"")</f>
        <v/>
      </c>
      <c r="J101"/>
      <c r="K101" s="8"/>
      <c r="L101"/>
    </row>
    <row r="102" spans="1:12" x14ac:dyDescent="0.3">
      <c r="A102" s="1"/>
      <c r="B102" s="26"/>
      <c r="C102" s="12" t="str">
        <f>_xlfn.IFNA(IFERROR(IF(FIND("_",$B102)&gt;0,INDEX(WP!$A$2:$F$23,MATCH(LEFT($B102,FIND("_",$B102)-1),WP!$E$2:$E$23,0),1),IF(FIND("-",$B102)&gt;0,INDEX(WP!$A$2:$F$23,MATCH(LEFT($B102,FIND("_",$B102)-1),WP!$E$2:$E$23,0),1))),INDEX(WP!$A$2:$F$23,MATCH(Results!$B102,WP!$E$2:$E$23,0),1)),"")</f>
        <v/>
      </c>
      <c r="D102" s="12" t="str">
        <f>IFERROR(IFERROR(IF(RIGHT(INDEX(WP!$A$2:$F$23,MATCH(IF(FIND("_",$B102)&gt;0,LEFT($B102,FIND("_",$B102)-1)),WP!$E$2:$E$23,0),2),6)="Series",LEFT(INDEX(WP!$A$2:$F$23,MATCH(IF(FIND("_",$B102)&gt;0,LEFT($B102,FIND("_",$B102)-1)),WP!$E$2:$E$23,0),2),5),""),IF(RIGHT(INDEX(WP!$A$2:$F$23,MATCH($B102,WP!$E$2:$E$23,0),2),6)="Series",LEFT(INDEX(WP!$A$2:$F$23,MATCH($B102,WP!$E$2:$E$23,0),2),5),"")),"")</f>
        <v/>
      </c>
      <c r="E102" s="17" t="str">
        <f>IFERROR(VLOOKUP(VALUE($D102),Series!$B$3:$F$11,2,0),"")</f>
        <v/>
      </c>
      <c r="F102" s="12" t="str">
        <f>_xlfn.IFNA(IF(IF($D102&lt;&gt;"",COUNTIF($E:$E,"="&amp;$D102),"")="",IF(RIGHT(IFERROR(IF(FIND("_",$B102)&gt;0,INDEX(WP!$A$2:$F$23,MATCH(LEFT($B102,FIND("_",$B102)-1),WP!$E$2:$E$23,0),2),IF(FIND("-",$B102)&gt;0,INDEX(WP!$A$2:$F$23,MATCH(LEFT($B102,FIND("_",$B102)-1),WP!$E$2:$E$23,0),2))),INDEX(WP!$A$2:$F$23,MATCH(Results!$B102,WP!$E$2:$E$23,0),2)),6)="Series",LEFT(IFERROR(IF(FIND("_",$B102)&gt;0,INDEX(WP!$A$2:$F$23,MATCH(LEFT($B102,FIND("_",$B102)-1),WP!$E$2:$E$23,0),2),IF(FIND("-",$B102)&gt;0,INDEX(WP!$A$2:$F$23,MATCH(LEFT($B102,FIND("_",$B102)-1),WP!$E$2:$E$23,0),2))),INDEX(WP!$A$2:$F$23,MATCH(Results!$B102,WP!$E$2:$E$23,0),2)),5),(IFERROR(IF(FIND("_",$B102)&gt;0,INDEX(WP!$A$2:$F$23,MATCH(LEFT($B102,FIND("_",$B102)-1),WP!$E$2:$E$23,0),2),IF(FIND("-",$B102)&gt;0,INDEX(WP!$A$2:$F$23,MATCH(LEFT($B102,FIND("_",$B102)-1),WP!$E$2:$E$23,0),2))),INDEX(WP!$A$2:$F$23,MATCH(Results!$B102,WP!$E$2:$E$23,0),2)))),IF(RIGHT(IFERROR(IF(FIND("_",$B102)&gt;0,INDEX(WP!$A$2:$F$23,MATCH(LEFT($B102,FIND("_",$B102)-1),WP!$E$2:$E$23,0),2),IF(FIND("-",$B102)&gt;0,INDEX(WP!$A$2:$F$23,MATCH(LEFT($B102,FIND("_",$B102)-1),WP!$E$2:$E$23,0),2))),INDEX(WP!$A$2:$F$23,MATCH(Results!$B102,WP!$E$2:$E$23,0),2)),6)="Series",LEFT(IFERROR(IF(FIND("_",$B102)&gt;0,INDEX(WP!$A$2:$F$23,MATCH(LEFT($B102,FIND("_",$B102)-1),WP!$E$2:$E$23,0),2),IF(FIND("-",$B102)&gt;0,INDEX(WP!$A$2:$F$23,MATCH(LEFT($B102,FIND("_",$B102)-1),WP!$E$2:$E$23,0),2))),INDEX(WP!$A$2:$F$23,MATCH(Results!$B102,WP!$E$2:$E$23,0),2)),5),(IFERROR(IF(FIND("_",$B102)&gt;0,INDEX(WP!$A$2:$F$23,MATCH(LEFT($B102,FIND("_",$B102)-1),WP!$E$2:$E$23,0),2),IF(FIND("-",$B102)&gt;0,INDEX(WP!$A$2:$F$23,MATCH(LEFT($B102,FIND("_",$B102)-1),WP!$E$2:$E$23,0),2))),INDEX(WP!$A$2:$F$23,MATCH(Results!$B102,WP!$E$2:$E$23,0),2))))&amp;"-"&amp;$I102),"")</f>
        <v/>
      </c>
      <c r="G102" s="17" t="str">
        <f>IF(LEN(_xlfn.IFNA(IF(IFERROR(IF(FIND("_",$B102)&gt;0,MID($B102,FIND("_",$B102)+1,LEN($B102)),IF(FIND("-",$B102)&gt;0,MID($B102,FIND("-",$B102)+1,LEN($B102)))),"")="",IFERROR(VLOOKUP($F102,WP!$B$2:$C$23,2,0),VLOOKUP($C102,Series!$A$3:$F$11,6,0)),IFERROR(VLOOKUP($F102,WP!$B$2:$C$23,2,0),VLOOKUP($C102,Series!$A$3:$F$11,6,0))&amp;" - "&amp;(IFERROR(IF(FIND("_",$B102)&gt;0,MID($B102,FIND("_",$B102)+1,LEN($B102)),IF(FIND("-",$B102)&gt;0,MID($B102,FIND("-",$B102)+1,LEN($B102)))),""))),""))&lt;64,_xlfn.IFNA(IF(IFERROR(IF(FIND("_",$B102)&gt;0,MID($B102,FIND("_",$B102)+1,LEN($B102)),IF(FIND("-",$B102)&gt;0,MID($B102,FIND("-",$B102)+1,LEN($B102)))),"")="",IFERROR(VLOOKUP($F102,WP!$B$2:$C$23,2,0),VLOOKUP($C102,Series!$A$3:$F$11,6,0)),IFERROR(VLOOKUP($F102,WP!$B$2:$C$23,2,0),VLOOKUP($C102,Series!$A$3:$F$11,6,0))&amp;" - "&amp;(IFERROR(IF(FIND("_",$B102)&gt;0,MID($B102,FIND("_",$B102)+1,LEN($B102)),IF(FIND("-",$B102)&gt;0,MID($B102,FIND("-",$B102)+1,LEN($B102)))),""))),""),LEFT((_xlfn.IFNA(IF(IFERROR(IF(FIND("_",$B102)&gt;0,MID($B102,FIND("_",$B102)+1,LEN($B102)),IF(FIND("-",$B102)&gt;0,MID($B102,FIND("-",$B102)+1,LEN($B102)))),"")="",IFERROR(VLOOKUP($F102,WP!$B$2:$C$23,2,0),VLOOKUP($C102,Series!$A$3:$F$11,6,0)),IFERROR(VLOOKUP($F102,WP!$B$2:$C$23,2,0),VLOOKUP($C102,Series!$A$3:$F$11,6,0))&amp;" - "&amp;(IFERROR(IF(FIND("_",$B102)&gt;0,MID($B102,FIND("_",$B102)+1,LEN($B102)),IF(FIND("-",$B102)&gt;0,MID($B102,FIND("-",$B102)+1,LEN($B102)))),""))),"")),64))</f>
        <v/>
      </c>
      <c r="H102" s="12"/>
      <c r="I102" s="12" t="str">
        <f>IF($D102&lt;&gt;"",COUNTIF($D$7:$D102,"="&amp;$D102),"")</f>
        <v/>
      </c>
      <c r="J102"/>
      <c r="K102" s="8"/>
      <c r="L102"/>
    </row>
    <row r="103" spans="1:12" x14ac:dyDescent="0.3">
      <c r="A103" s="1"/>
      <c r="B103" s="26"/>
      <c r="C103" s="12" t="str">
        <f>_xlfn.IFNA(IFERROR(IF(FIND("_",$B103)&gt;0,INDEX(WP!$A$2:$F$23,MATCH(LEFT($B103,FIND("_",$B103)-1),WP!$E$2:$E$23,0),1),IF(FIND("-",$B103)&gt;0,INDEX(WP!$A$2:$F$23,MATCH(LEFT($B103,FIND("_",$B103)-1),WP!$E$2:$E$23,0),1))),INDEX(WP!$A$2:$F$23,MATCH(Results!$B103,WP!$E$2:$E$23,0),1)),"")</f>
        <v/>
      </c>
      <c r="D103" s="12" t="str">
        <f>IFERROR(IFERROR(IF(RIGHT(INDEX(WP!$A$2:$F$23,MATCH(IF(FIND("_",$B103)&gt;0,LEFT($B103,FIND("_",$B103)-1)),WP!$E$2:$E$23,0),2),6)="Series",LEFT(INDEX(WP!$A$2:$F$23,MATCH(IF(FIND("_",$B103)&gt;0,LEFT($B103,FIND("_",$B103)-1)),WP!$E$2:$E$23,0),2),5),""),IF(RIGHT(INDEX(WP!$A$2:$F$23,MATCH($B103,WP!$E$2:$E$23,0),2),6)="Series",LEFT(INDEX(WP!$A$2:$F$23,MATCH($B103,WP!$E$2:$E$23,0),2),5),"")),"")</f>
        <v/>
      </c>
      <c r="E103" s="17" t="str">
        <f>IFERROR(VLOOKUP(VALUE($D103),Series!$B$3:$F$11,2,0),"")</f>
        <v/>
      </c>
      <c r="F103" s="12" t="str">
        <f>_xlfn.IFNA(IF(IF($D103&lt;&gt;"",COUNTIF($E:$E,"="&amp;$D103),"")="",IF(RIGHT(IFERROR(IF(FIND("_",$B103)&gt;0,INDEX(WP!$A$2:$F$23,MATCH(LEFT($B103,FIND("_",$B103)-1),WP!$E$2:$E$23,0),2),IF(FIND("-",$B103)&gt;0,INDEX(WP!$A$2:$F$23,MATCH(LEFT($B103,FIND("_",$B103)-1),WP!$E$2:$E$23,0),2))),INDEX(WP!$A$2:$F$23,MATCH(Results!$B103,WP!$E$2:$E$23,0),2)),6)="Series",LEFT(IFERROR(IF(FIND("_",$B103)&gt;0,INDEX(WP!$A$2:$F$23,MATCH(LEFT($B103,FIND("_",$B103)-1),WP!$E$2:$E$23,0),2),IF(FIND("-",$B103)&gt;0,INDEX(WP!$A$2:$F$23,MATCH(LEFT($B103,FIND("_",$B103)-1),WP!$E$2:$E$23,0),2))),INDEX(WP!$A$2:$F$23,MATCH(Results!$B103,WP!$E$2:$E$23,0),2)),5),(IFERROR(IF(FIND("_",$B103)&gt;0,INDEX(WP!$A$2:$F$23,MATCH(LEFT($B103,FIND("_",$B103)-1),WP!$E$2:$E$23,0),2),IF(FIND("-",$B103)&gt;0,INDEX(WP!$A$2:$F$23,MATCH(LEFT($B103,FIND("_",$B103)-1),WP!$E$2:$E$23,0),2))),INDEX(WP!$A$2:$F$23,MATCH(Results!$B103,WP!$E$2:$E$23,0),2)))),IF(RIGHT(IFERROR(IF(FIND("_",$B103)&gt;0,INDEX(WP!$A$2:$F$23,MATCH(LEFT($B103,FIND("_",$B103)-1),WP!$E$2:$E$23,0),2),IF(FIND("-",$B103)&gt;0,INDEX(WP!$A$2:$F$23,MATCH(LEFT($B103,FIND("_",$B103)-1),WP!$E$2:$E$23,0),2))),INDEX(WP!$A$2:$F$23,MATCH(Results!$B103,WP!$E$2:$E$23,0),2)),6)="Series",LEFT(IFERROR(IF(FIND("_",$B103)&gt;0,INDEX(WP!$A$2:$F$23,MATCH(LEFT($B103,FIND("_",$B103)-1),WP!$E$2:$E$23,0),2),IF(FIND("-",$B103)&gt;0,INDEX(WP!$A$2:$F$23,MATCH(LEFT($B103,FIND("_",$B103)-1),WP!$E$2:$E$23,0),2))),INDEX(WP!$A$2:$F$23,MATCH(Results!$B103,WP!$E$2:$E$23,0),2)),5),(IFERROR(IF(FIND("_",$B103)&gt;0,INDEX(WP!$A$2:$F$23,MATCH(LEFT($B103,FIND("_",$B103)-1),WP!$E$2:$E$23,0),2),IF(FIND("-",$B103)&gt;0,INDEX(WP!$A$2:$F$23,MATCH(LEFT($B103,FIND("_",$B103)-1),WP!$E$2:$E$23,0),2))),INDEX(WP!$A$2:$F$23,MATCH(Results!$B103,WP!$E$2:$E$23,0),2))))&amp;"-"&amp;$I103),"")</f>
        <v/>
      </c>
      <c r="G103" s="17" t="str">
        <f>IF(LEN(_xlfn.IFNA(IF(IFERROR(IF(FIND("_",$B103)&gt;0,MID($B103,FIND("_",$B103)+1,LEN($B103)),IF(FIND("-",$B103)&gt;0,MID($B103,FIND("-",$B103)+1,LEN($B103)))),"")="",IFERROR(VLOOKUP($F103,WP!$B$2:$C$23,2,0),VLOOKUP($C103,Series!$A$3:$F$11,6,0)),IFERROR(VLOOKUP($F103,WP!$B$2:$C$23,2,0),VLOOKUP($C103,Series!$A$3:$F$11,6,0))&amp;" - "&amp;(IFERROR(IF(FIND("_",$B103)&gt;0,MID($B103,FIND("_",$B103)+1,LEN($B103)),IF(FIND("-",$B103)&gt;0,MID($B103,FIND("-",$B103)+1,LEN($B103)))),""))),""))&lt;64,_xlfn.IFNA(IF(IFERROR(IF(FIND("_",$B103)&gt;0,MID($B103,FIND("_",$B103)+1,LEN($B103)),IF(FIND("-",$B103)&gt;0,MID($B103,FIND("-",$B103)+1,LEN($B103)))),"")="",IFERROR(VLOOKUP($F103,WP!$B$2:$C$23,2,0),VLOOKUP($C103,Series!$A$3:$F$11,6,0)),IFERROR(VLOOKUP($F103,WP!$B$2:$C$23,2,0),VLOOKUP($C103,Series!$A$3:$F$11,6,0))&amp;" - "&amp;(IFERROR(IF(FIND("_",$B103)&gt;0,MID($B103,FIND("_",$B103)+1,LEN($B103)),IF(FIND("-",$B103)&gt;0,MID($B103,FIND("-",$B103)+1,LEN($B103)))),""))),""),LEFT((_xlfn.IFNA(IF(IFERROR(IF(FIND("_",$B103)&gt;0,MID($B103,FIND("_",$B103)+1,LEN($B103)),IF(FIND("-",$B103)&gt;0,MID($B103,FIND("-",$B103)+1,LEN($B103)))),"")="",IFERROR(VLOOKUP($F103,WP!$B$2:$C$23,2,0),VLOOKUP($C103,Series!$A$3:$F$11,6,0)),IFERROR(VLOOKUP($F103,WP!$B$2:$C$23,2,0),VLOOKUP($C103,Series!$A$3:$F$11,6,0))&amp;" - "&amp;(IFERROR(IF(FIND("_",$B103)&gt;0,MID($B103,FIND("_",$B103)+1,LEN($B103)),IF(FIND("-",$B103)&gt;0,MID($B103,FIND("-",$B103)+1,LEN($B103)))),""))),"")),64))</f>
        <v/>
      </c>
      <c r="H103" s="12"/>
      <c r="I103" s="12" t="str">
        <f>IF($D103&lt;&gt;"",COUNTIF($D$7:$D103,"="&amp;$D103),"")</f>
        <v/>
      </c>
      <c r="J103"/>
      <c r="K103" s="8"/>
      <c r="L103"/>
    </row>
    <row r="104" spans="1:12" x14ac:dyDescent="0.3">
      <c r="A104" s="1"/>
      <c r="B104" s="26"/>
      <c r="C104" s="12" t="str">
        <f>_xlfn.IFNA(IFERROR(IF(FIND("_",$B104)&gt;0,INDEX(WP!$A$2:$F$23,MATCH(LEFT($B104,FIND("_",$B104)-1),WP!$E$2:$E$23,0),1),IF(FIND("-",$B104)&gt;0,INDEX(WP!$A$2:$F$23,MATCH(LEFT($B104,FIND("_",$B104)-1),WP!$E$2:$E$23,0),1))),INDEX(WP!$A$2:$F$23,MATCH(Results!$B104,WP!$E$2:$E$23,0),1)),"")</f>
        <v/>
      </c>
      <c r="D104" s="12" t="str">
        <f>IFERROR(IFERROR(IF(RIGHT(INDEX(WP!$A$2:$F$23,MATCH(IF(FIND("_",$B104)&gt;0,LEFT($B104,FIND("_",$B104)-1)),WP!$E$2:$E$23,0),2),6)="Series",LEFT(INDEX(WP!$A$2:$F$23,MATCH(IF(FIND("_",$B104)&gt;0,LEFT($B104,FIND("_",$B104)-1)),WP!$E$2:$E$23,0),2),5),""),IF(RIGHT(INDEX(WP!$A$2:$F$23,MATCH($B104,WP!$E$2:$E$23,0),2),6)="Series",LEFT(INDEX(WP!$A$2:$F$23,MATCH($B104,WP!$E$2:$E$23,0),2),5),"")),"")</f>
        <v/>
      </c>
      <c r="E104" s="17" t="str">
        <f>IFERROR(VLOOKUP(VALUE($D104),Series!$B$3:$F$11,2,0),"")</f>
        <v/>
      </c>
      <c r="F104" s="12" t="str">
        <f>_xlfn.IFNA(IF(IF($D104&lt;&gt;"",COUNTIF($E:$E,"="&amp;$D104),"")="",IF(RIGHT(IFERROR(IF(FIND("_",$B104)&gt;0,INDEX(WP!$A$2:$F$23,MATCH(LEFT($B104,FIND("_",$B104)-1),WP!$E$2:$E$23,0),2),IF(FIND("-",$B104)&gt;0,INDEX(WP!$A$2:$F$23,MATCH(LEFT($B104,FIND("_",$B104)-1),WP!$E$2:$E$23,0),2))),INDEX(WP!$A$2:$F$23,MATCH(Results!$B104,WP!$E$2:$E$23,0),2)),6)="Series",LEFT(IFERROR(IF(FIND("_",$B104)&gt;0,INDEX(WP!$A$2:$F$23,MATCH(LEFT($B104,FIND("_",$B104)-1),WP!$E$2:$E$23,0),2),IF(FIND("-",$B104)&gt;0,INDEX(WP!$A$2:$F$23,MATCH(LEFT($B104,FIND("_",$B104)-1),WP!$E$2:$E$23,0),2))),INDEX(WP!$A$2:$F$23,MATCH(Results!$B104,WP!$E$2:$E$23,0),2)),5),(IFERROR(IF(FIND("_",$B104)&gt;0,INDEX(WP!$A$2:$F$23,MATCH(LEFT($B104,FIND("_",$B104)-1),WP!$E$2:$E$23,0),2),IF(FIND("-",$B104)&gt;0,INDEX(WP!$A$2:$F$23,MATCH(LEFT($B104,FIND("_",$B104)-1),WP!$E$2:$E$23,0),2))),INDEX(WP!$A$2:$F$23,MATCH(Results!$B104,WP!$E$2:$E$23,0),2)))),IF(RIGHT(IFERROR(IF(FIND("_",$B104)&gt;0,INDEX(WP!$A$2:$F$23,MATCH(LEFT($B104,FIND("_",$B104)-1),WP!$E$2:$E$23,0),2),IF(FIND("-",$B104)&gt;0,INDEX(WP!$A$2:$F$23,MATCH(LEFT($B104,FIND("_",$B104)-1),WP!$E$2:$E$23,0),2))),INDEX(WP!$A$2:$F$23,MATCH(Results!$B104,WP!$E$2:$E$23,0),2)),6)="Series",LEFT(IFERROR(IF(FIND("_",$B104)&gt;0,INDEX(WP!$A$2:$F$23,MATCH(LEFT($B104,FIND("_",$B104)-1),WP!$E$2:$E$23,0),2),IF(FIND("-",$B104)&gt;0,INDEX(WP!$A$2:$F$23,MATCH(LEFT($B104,FIND("_",$B104)-1),WP!$E$2:$E$23,0),2))),INDEX(WP!$A$2:$F$23,MATCH(Results!$B104,WP!$E$2:$E$23,0),2)),5),(IFERROR(IF(FIND("_",$B104)&gt;0,INDEX(WP!$A$2:$F$23,MATCH(LEFT($B104,FIND("_",$B104)-1),WP!$E$2:$E$23,0),2),IF(FIND("-",$B104)&gt;0,INDEX(WP!$A$2:$F$23,MATCH(LEFT($B104,FIND("_",$B104)-1),WP!$E$2:$E$23,0),2))),INDEX(WP!$A$2:$F$23,MATCH(Results!$B104,WP!$E$2:$E$23,0),2))))&amp;"-"&amp;$I104),"")</f>
        <v/>
      </c>
      <c r="G104" s="17" t="str">
        <f>IF(LEN(_xlfn.IFNA(IF(IFERROR(IF(FIND("_",$B104)&gt;0,MID($B104,FIND("_",$B104)+1,LEN($B104)),IF(FIND("-",$B104)&gt;0,MID($B104,FIND("-",$B104)+1,LEN($B104)))),"")="",IFERROR(VLOOKUP($F104,WP!$B$2:$C$23,2,0),VLOOKUP($C104,Series!$A$3:$F$11,6,0)),IFERROR(VLOOKUP($F104,WP!$B$2:$C$23,2,0),VLOOKUP($C104,Series!$A$3:$F$11,6,0))&amp;" - "&amp;(IFERROR(IF(FIND("_",$B104)&gt;0,MID($B104,FIND("_",$B104)+1,LEN($B104)),IF(FIND("-",$B104)&gt;0,MID($B104,FIND("-",$B104)+1,LEN($B104)))),""))),""))&lt;64,_xlfn.IFNA(IF(IFERROR(IF(FIND("_",$B104)&gt;0,MID($B104,FIND("_",$B104)+1,LEN($B104)),IF(FIND("-",$B104)&gt;0,MID($B104,FIND("-",$B104)+1,LEN($B104)))),"")="",IFERROR(VLOOKUP($F104,WP!$B$2:$C$23,2,0),VLOOKUP($C104,Series!$A$3:$F$11,6,0)),IFERROR(VLOOKUP($F104,WP!$B$2:$C$23,2,0),VLOOKUP($C104,Series!$A$3:$F$11,6,0))&amp;" - "&amp;(IFERROR(IF(FIND("_",$B104)&gt;0,MID($B104,FIND("_",$B104)+1,LEN($B104)),IF(FIND("-",$B104)&gt;0,MID($B104,FIND("-",$B104)+1,LEN($B104)))),""))),""),LEFT((_xlfn.IFNA(IF(IFERROR(IF(FIND("_",$B104)&gt;0,MID($B104,FIND("_",$B104)+1,LEN($B104)),IF(FIND("-",$B104)&gt;0,MID($B104,FIND("-",$B104)+1,LEN($B104)))),"")="",IFERROR(VLOOKUP($F104,WP!$B$2:$C$23,2,0),VLOOKUP($C104,Series!$A$3:$F$11,6,0)),IFERROR(VLOOKUP($F104,WP!$B$2:$C$23,2,0),VLOOKUP($C104,Series!$A$3:$F$11,6,0))&amp;" - "&amp;(IFERROR(IF(FIND("_",$B104)&gt;0,MID($B104,FIND("_",$B104)+1,LEN($B104)),IF(FIND("-",$B104)&gt;0,MID($B104,FIND("-",$B104)+1,LEN($B104)))),""))),"")),64))</f>
        <v/>
      </c>
      <c r="H104" s="12"/>
      <c r="I104" s="12" t="str">
        <f>IF($D104&lt;&gt;"",COUNTIF($D$7:$D104,"="&amp;$D104),"")</f>
        <v/>
      </c>
      <c r="J104"/>
      <c r="K104" s="8"/>
      <c r="L104"/>
    </row>
    <row r="105" spans="1:12" x14ac:dyDescent="0.3">
      <c r="A105" s="1"/>
      <c r="B105" s="26"/>
      <c r="C105" s="12" t="str">
        <f>_xlfn.IFNA(IFERROR(IF(FIND("_",$B105)&gt;0,INDEX(WP!$A$2:$F$23,MATCH(LEFT($B105,FIND("_",$B105)-1),WP!$E$2:$E$23,0),1),IF(FIND("-",$B105)&gt;0,INDEX(WP!$A$2:$F$23,MATCH(LEFT($B105,FIND("_",$B105)-1),WP!$E$2:$E$23,0),1))),INDEX(WP!$A$2:$F$23,MATCH(Results!$B105,WP!$E$2:$E$23,0),1)),"")</f>
        <v/>
      </c>
      <c r="D105" s="12" t="str">
        <f>IFERROR(IFERROR(IF(RIGHT(INDEX(WP!$A$2:$F$23,MATCH(IF(FIND("_",$B105)&gt;0,LEFT($B105,FIND("_",$B105)-1)),WP!$E$2:$E$23,0),2),6)="Series",LEFT(INDEX(WP!$A$2:$F$23,MATCH(IF(FIND("_",$B105)&gt;0,LEFT($B105,FIND("_",$B105)-1)),WP!$E$2:$E$23,0),2),5),""),IF(RIGHT(INDEX(WP!$A$2:$F$23,MATCH($B105,WP!$E$2:$E$23,0),2),6)="Series",LEFT(INDEX(WP!$A$2:$F$23,MATCH($B105,WP!$E$2:$E$23,0),2),5),"")),"")</f>
        <v/>
      </c>
      <c r="E105" s="17" t="str">
        <f>IFERROR(VLOOKUP(VALUE($D105),Series!$B$3:$F$11,2,0),"")</f>
        <v/>
      </c>
      <c r="F105" s="12" t="str">
        <f>_xlfn.IFNA(IF(IF($D105&lt;&gt;"",COUNTIF($E:$E,"="&amp;$D105),"")="",IF(RIGHT(IFERROR(IF(FIND("_",$B105)&gt;0,INDEX(WP!$A$2:$F$23,MATCH(LEFT($B105,FIND("_",$B105)-1),WP!$E$2:$E$23,0),2),IF(FIND("-",$B105)&gt;0,INDEX(WP!$A$2:$F$23,MATCH(LEFT($B105,FIND("_",$B105)-1),WP!$E$2:$E$23,0),2))),INDEX(WP!$A$2:$F$23,MATCH(Results!$B105,WP!$E$2:$E$23,0),2)),6)="Series",LEFT(IFERROR(IF(FIND("_",$B105)&gt;0,INDEX(WP!$A$2:$F$23,MATCH(LEFT($B105,FIND("_",$B105)-1),WP!$E$2:$E$23,0),2),IF(FIND("-",$B105)&gt;0,INDEX(WP!$A$2:$F$23,MATCH(LEFT($B105,FIND("_",$B105)-1),WP!$E$2:$E$23,0),2))),INDEX(WP!$A$2:$F$23,MATCH(Results!$B105,WP!$E$2:$E$23,0),2)),5),(IFERROR(IF(FIND("_",$B105)&gt;0,INDEX(WP!$A$2:$F$23,MATCH(LEFT($B105,FIND("_",$B105)-1),WP!$E$2:$E$23,0),2),IF(FIND("-",$B105)&gt;0,INDEX(WP!$A$2:$F$23,MATCH(LEFT($B105,FIND("_",$B105)-1),WP!$E$2:$E$23,0),2))),INDEX(WP!$A$2:$F$23,MATCH(Results!$B105,WP!$E$2:$E$23,0),2)))),IF(RIGHT(IFERROR(IF(FIND("_",$B105)&gt;0,INDEX(WP!$A$2:$F$23,MATCH(LEFT($B105,FIND("_",$B105)-1),WP!$E$2:$E$23,0),2),IF(FIND("-",$B105)&gt;0,INDEX(WP!$A$2:$F$23,MATCH(LEFT($B105,FIND("_",$B105)-1),WP!$E$2:$E$23,0),2))),INDEX(WP!$A$2:$F$23,MATCH(Results!$B105,WP!$E$2:$E$23,0),2)),6)="Series",LEFT(IFERROR(IF(FIND("_",$B105)&gt;0,INDEX(WP!$A$2:$F$23,MATCH(LEFT($B105,FIND("_",$B105)-1),WP!$E$2:$E$23,0),2),IF(FIND("-",$B105)&gt;0,INDEX(WP!$A$2:$F$23,MATCH(LEFT($B105,FIND("_",$B105)-1),WP!$E$2:$E$23,0),2))),INDEX(WP!$A$2:$F$23,MATCH(Results!$B105,WP!$E$2:$E$23,0),2)),5),(IFERROR(IF(FIND("_",$B105)&gt;0,INDEX(WP!$A$2:$F$23,MATCH(LEFT($B105,FIND("_",$B105)-1),WP!$E$2:$E$23,0),2),IF(FIND("-",$B105)&gt;0,INDEX(WP!$A$2:$F$23,MATCH(LEFT($B105,FIND("_",$B105)-1),WP!$E$2:$E$23,0),2))),INDEX(WP!$A$2:$F$23,MATCH(Results!$B105,WP!$E$2:$E$23,0),2))))&amp;"-"&amp;$I105),"")</f>
        <v/>
      </c>
      <c r="G105" s="17" t="str">
        <f>IF(LEN(_xlfn.IFNA(IF(IFERROR(IF(FIND("_",$B105)&gt;0,MID($B105,FIND("_",$B105)+1,LEN($B105)),IF(FIND("-",$B105)&gt;0,MID($B105,FIND("-",$B105)+1,LEN($B105)))),"")="",IFERROR(VLOOKUP($F105,WP!$B$2:$C$23,2,0),VLOOKUP($C105,Series!$A$3:$F$11,6,0)),IFERROR(VLOOKUP($F105,WP!$B$2:$C$23,2,0),VLOOKUP($C105,Series!$A$3:$F$11,6,0))&amp;" - "&amp;(IFERROR(IF(FIND("_",$B105)&gt;0,MID($B105,FIND("_",$B105)+1,LEN($B105)),IF(FIND("-",$B105)&gt;0,MID($B105,FIND("-",$B105)+1,LEN($B105)))),""))),""))&lt;64,_xlfn.IFNA(IF(IFERROR(IF(FIND("_",$B105)&gt;0,MID($B105,FIND("_",$B105)+1,LEN($B105)),IF(FIND("-",$B105)&gt;0,MID($B105,FIND("-",$B105)+1,LEN($B105)))),"")="",IFERROR(VLOOKUP($F105,WP!$B$2:$C$23,2,0),VLOOKUP($C105,Series!$A$3:$F$11,6,0)),IFERROR(VLOOKUP($F105,WP!$B$2:$C$23,2,0),VLOOKUP($C105,Series!$A$3:$F$11,6,0))&amp;" - "&amp;(IFERROR(IF(FIND("_",$B105)&gt;0,MID($B105,FIND("_",$B105)+1,LEN($B105)),IF(FIND("-",$B105)&gt;0,MID($B105,FIND("-",$B105)+1,LEN($B105)))),""))),""),LEFT((_xlfn.IFNA(IF(IFERROR(IF(FIND("_",$B105)&gt;0,MID($B105,FIND("_",$B105)+1,LEN($B105)),IF(FIND("-",$B105)&gt;0,MID($B105,FIND("-",$B105)+1,LEN($B105)))),"")="",IFERROR(VLOOKUP($F105,WP!$B$2:$C$23,2,0),VLOOKUP($C105,Series!$A$3:$F$11,6,0)),IFERROR(VLOOKUP($F105,WP!$B$2:$C$23,2,0),VLOOKUP($C105,Series!$A$3:$F$11,6,0))&amp;" - "&amp;(IFERROR(IF(FIND("_",$B105)&gt;0,MID($B105,FIND("_",$B105)+1,LEN($B105)),IF(FIND("-",$B105)&gt;0,MID($B105,FIND("-",$B105)+1,LEN($B105)))),""))),"")),64))</f>
        <v/>
      </c>
      <c r="H105" s="12"/>
      <c r="I105" s="12" t="str">
        <f>IF($D105&lt;&gt;"",COUNTIF($D$7:$D105,"="&amp;$D105),"")</f>
        <v/>
      </c>
      <c r="J105"/>
      <c r="K105" s="8"/>
      <c r="L105"/>
    </row>
    <row r="106" spans="1:12" x14ac:dyDescent="0.3">
      <c r="A106" s="1"/>
      <c r="B106" s="26"/>
      <c r="C106" s="12" t="str">
        <f>_xlfn.IFNA(IFERROR(IF(FIND("_",$B106)&gt;0,INDEX(WP!$A$2:$F$23,MATCH(LEFT($B106,FIND("_",$B106)-1),WP!$E$2:$E$23,0),1),IF(FIND("-",$B106)&gt;0,INDEX(WP!$A$2:$F$23,MATCH(LEFT($B106,FIND("_",$B106)-1),WP!$E$2:$E$23,0),1))),INDEX(WP!$A$2:$F$23,MATCH(Results!$B106,WP!$E$2:$E$23,0),1)),"")</f>
        <v/>
      </c>
      <c r="D106" s="12" t="str">
        <f>IFERROR(IFERROR(IF(RIGHT(INDEX(WP!$A$2:$F$23,MATCH(IF(FIND("_",$B106)&gt;0,LEFT($B106,FIND("_",$B106)-1)),WP!$E$2:$E$23,0),2),6)="Series",LEFT(INDEX(WP!$A$2:$F$23,MATCH(IF(FIND("_",$B106)&gt;0,LEFT($B106,FIND("_",$B106)-1)),WP!$E$2:$E$23,0),2),5),""),IF(RIGHT(INDEX(WP!$A$2:$F$23,MATCH($B106,WP!$E$2:$E$23,0),2),6)="Series",LEFT(INDEX(WP!$A$2:$F$23,MATCH($B106,WP!$E$2:$E$23,0),2),5),"")),"")</f>
        <v/>
      </c>
      <c r="E106" s="17" t="str">
        <f>IFERROR(VLOOKUP(VALUE($D106),Series!$B$3:$F$11,2,0),"")</f>
        <v/>
      </c>
      <c r="F106" s="12" t="str">
        <f>_xlfn.IFNA(IF(IF($D106&lt;&gt;"",COUNTIF($E:$E,"="&amp;$D106),"")="",IF(RIGHT(IFERROR(IF(FIND("_",$B106)&gt;0,INDEX(WP!$A$2:$F$23,MATCH(LEFT($B106,FIND("_",$B106)-1),WP!$E$2:$E$23,0),2),IF(FIND("-",$B106)&gt;0,INDEX(WP!$A$2:$F$23,MATCH(LEFT($B106,FIND("_",$B106)-1),WP!$E$2:$E$23,0),2))),INDEX(WP!$A$2:$F$23,MATCH(Results!$B106,WP!$E$2:$E$23,0),2)),6)="Series",LEFT(IFERROR(IF(FIND("_",$B106)&gt;0,INDEX(WP!$A$2:$F$23,MATCH(LEFT($B106,FIND("_",$B106)-1),WP!$E$2:$E$23,0),2),IF(FIND("-",$B106)&gt;0,INDEX(WP!$A$2:$F$23,MATCH(LEFT($B106,FIND("_",$B106)-1),WP!$E$2:$E$23,0),2))),INDEX(WP!$A$2:$F$23,MATCH(Results!$B106,WP!$E$2:$E$23,0),2)),5),(IFERROR(IF(FIND("_",$B106)&gt;0,INDEX(WP!$A$2:$F$23,MATCH(LEFT($B106,FIND("_",$B106)-1),WP!$E$2:$E$23,0),2),IF(FIND("-",$B106)&gt;0,INDEX(WP!$A$2:$F$23,MATCH(LEFT($B106,FIND("_",$B106)-1),WP!$E$2:$E$23,0),2))),INDEX(WP!$A$2:$F$23,MATCH(Results!$B106,WP!$E$2:$E$23,0),2)))),IF(RIGHT(IFERROR(IF(FIND("_",$B106)&gt;0,INDEX(WP!$A$2:$F$23,MATCH(LEFT($B106,FIND("_",$B106)-1),WP!$E$2:$E$23,0),2),IF(FIND("-",$B106)&gt;0,INDEX(WP!$A$2:$F$23,MATCH(LEFT($B106,FIND("_",$B106)-1),WP!$E$2:$E$23,0),2))),INDEX(WP!$A$2:$F$23,MATCH(Results!$B106,WP!$E$2:$E$23,0),2)),6)="Series",LEFT(IFERROR(IF(FIND("_",$B106)&gt;0,INDEX(WP!$A$2:$F$23,MATCH(LEFT($B106,FIND("_",$B106)-1),WP!$E$2:$E$23,0),2),IF(FIND("-",$B106)&gt;0,INDEX(WP!$A$2:$F$23,MATCH(LEFT($B106,FIND("_",$B106)-1),WP!$E$2:$E$23,0),2))),INDEX(WP!$A$2:$F$23,MATCH(Results!$B106,WP!$E$2:$E$23,0),2)),5),(IFERROR(IF(FIND("_",$B106)&gt;0,INDEX(WP!$A$2:$F$23,MATCH(LEFT($B106,FIND("_",$B106)-1),WP!$E$2:$E$23,0),2),IF(FIND("-",$B106)&gt;0,INDEX(WP!$A$2:$F$23,MATCH(LEFT($B106,FIND("_",$B106)-1),WP!$E$2:$E$23,0),2))),INDEX(WP!$A$2:$F$23,MATCH(Results!$B106,WP!$E$2:$E$23,0),2))))&amp;"-"&amp;$I106),"")</f>
        <v/>
      </c>
      <c r="G106" s="17" t="str">
        <f>IF(LEN(_xlfn.IFNA(IF(IFERROR(IF(FIND("_",$B106)&gt;0,MID($B106,FIND("_",$B106)+1,LEN($B106)),IF(FIND("-",$B106)&gt;0,MID($B106,FIND("-",$B106)+1,LEN($B106)))),"")="",IFERROR(VLOOKUP($F106,WP!$B$2:$C$23,2,0),VLOOKUP($C106,Series!$A$3:$F$11,6,0)),IFERROR(VLOOKUP($F106,WP!$B$2:$C$23,2,0),VLOOKUP($C106,Series!$A$3:$F$11,6,0))&amp;" - "&amp;(IFERROR(IF(FIND("_",$B106)&gt;0,MID($B106,FIND("_",$B106)+1,LEN($B106)),IF(FIND("-",$B106)&gt;0,MID($B106,FIND("-",$B106)+1,LEN($B106)))),""))),""))&lt;64,_xlfn.IFNA(IF(IFERROR(IF(FIND("_",$B106)&gt;0,MID($B106,FIND("_",$B106)+1,LEN($B106)),IF(FIND("-",$B106)&gt;0,MID($B106,FIND("-",$B106)+1,LEN($B106)))),"")="",IFERROR(VLOOKUP($F106,WP!$B$2:$C$23,2,0),VLOOKUP($C106,Series!$A$3:$F$11,6,0)),IFERROR(VLOOKUP($F106,WP!$B$2:$C$23,2,0),VLOOKUP($C106,Series!$A$3:$F$11,6,0))&amp;" - "&amp;(IFERROR(IF(FIND("_",$B106)&gt;0,MID($B106,FIND("_",$B106)+1,LEN($B106)),IF(FIND("-",$B106)&gt;0,MID($B106,FIND("-",$B106)+1,LEN($B106)))),""))),""),LEFT((_xlfn.IFNA(IF(IFERROR(IF(FIND("_",$B106)&gt;0,MID($B106,FIND("_",$B106)+1,LEN($B106)),IF(FIND("-",$B106)&gt;0,MID($B106,FIND("-",$B106)+1,LEN($B106)))),"")="",IFERROR(VLOOKUP($F106,WP!$B$2:$C$23,2,0),VLOOKUP($C106,Series!$A$3:$F$11,6,0)),IFERROR(VLOOKUP($F106,WP!$B$2:$C$23,2,0),VLOOKUP($C106,Series!$A$3:$F$11,6,0))&amp;" - "&amp;(IFERROR(IF(FIND("_",$B106)&gt;0,MID($B106,FIND("_",$B106)+1,LEN($B106)),IF(FIND("-",$B106)&gt;0,MID($B106,FIND("-",$B106)+1,LEN($B106)))),""))),"")),64))</f>
        <v/>
      </c>
      <c r="H106" s="12"/>
      <c r="I106" s="12" t="str">
        <f>IF($D106&lt;&gt;"",COUNTIF($D$7:$D106,"="&amp;$D106),"")</f>
        <v/>
      </c>
      <c r="J106"/>
      <c r="K106" s="8"/>
      <c r="L106"/>
    </row>
    <row r="107" spans="1:12" x14ac:dyDescent="0.3">
      <c r="A107" s="1"/>
      <c r="B107" s="26"/>
      <c r="C107" s="12" t="str">
        <f>_xlfn.IFNA(IFERROR(IF(FIND("_",$B107)&gt;0,INDEX(WP!$A$2:$F$23,MATCH(LEFT($B107,FIND("_",$B107)-1),WP!$E$2:$E$23,0),1),IF(FIND("-",$B107)&gt;0,INDEX(WP!$A$2:$F$23,MATCH(LEFT($B107,FIND("_",$B107)-1),WP!$E$2:$E$23,0),1))),INDEX(WP!$A$2:$F$23,MATCH(Results!$B107,WP!$E$2:$E$23,0),1)),"")</f>
        <v/>
      </c>
      <c r="D107" s="12" t="str">
        <f>IFERROR(IFERROR(IF(RIGHT(INDEX(WP!$A$2:$F$23,MATCH(IF(FIND("_",$B107)&gt;0,LEFT($B107,FIND("_",$B107)-1)),WP!$E$2:$E$23,0),2),6)="Series",LEFT(INDEX(WP!$A$2:$F$23,MATCH(IF(FIND("_",$B107)&gt;0,LEFT($B107,FIND("_",$B107)-1)),WP!$E$2:$E$23,0),2),5),""),IF(RIGHT(INDEX(WP!$A$2:$F$23,MATCH($B107,WP!$E$2:$E$23,0),2),6)="Series",LEFT(INDEX(WP!$A$2:$F$23,MATCH($B107,WP!$E$2:$E$23,0),2),5),"")),"")</f>
        <v/>
      </c>
      <c r="E107" s="17" t="str">
        <f>IFERROR(VLOOKUP(VALUE($D107),Series!$B$3:$F$11,2,0),"")</f>
        <v/>
      </c>
      <c r="F107" s="12" t="str">
        <f>_xlfn.IFNA(IF(IF($D107&lt;&gt;"",COUNTIF($E:$E,"="&amp;$D107),"")="",IF(RIGHT(IFERROR(IF(FIND("_",$B107)&gt;0,INDEX(WP!$A$2:$F$23,MATCH(LEFT($B107,FIND("_",$B107)-1),WP!$E$2:$E$23,0),2),IF(FIND("-",$B107)&gt;0,INDEX(WP!$A$2:$F$23,MATCH(LEFT($B107,FIND("_",$B107)-1),WP!$E$2:$E$23,0),2))),INDEX(WP!$A$2:$F$23,MATCH(Results!$B107,WP!$E$2:$E$23,0),2)),6)="Series",LEFT(IFERROR(IF(FIND("_",$B107)&gt;0,INDEX(WP!$A$2:$F$23,MATCH(LEFT($B107,FIND("_",$B107)-1),WP!$E$2:$E$23,0),2),IF(FIND("-",$B107)&gt;0,INDEX(WP!$A$2:$F$23,MATCH(LEFT($B107,FIND("_",$B107)-1),WP!$E$2:$E$23,0),2))),INDEX(WP!$A$2:$F$23,MATCH(Results!$B107,WP!$E$2:$E$23,0),2)),5),(IFERROR(IF(FIND("_",$B107)&gt;0,INDEX(WP!$A$2:$F$23,MATCH(LEFT($B107,FIND("_",$B107)-1),WP!$E$2:$E$23,0),2),IF(FIND("-",$B107)&gt;0,INDEX(WP!$A$2:$F$23,MATCH(LEFT($B107,FIND("_",$B107)-1),WP!$E$2:$E$23,0),2))),INDEX(WP!$A$2:$F$23,MATCH(Results!$B107,WP!$E$2:$E$23,0),2)))),IF(RIGHT(IFERROR(IF(FIND("_",$B107)&gt;0,INDEX(WP!$A$2:$F$23,MATCH(LEFT($B107,FIND("_",$B107)-1),WP!$E$2:$E$23,0),2),IF(FIND("-",$B107)&gt;0,INDEX(WP!$A$2:$F$23,MATCH(LEFT($B107,FIND("_",$B107)-1),WP!$E$2:$E$23,0),2))),INDEX(WP!$A$2:$F$23,MATCH(Results!$B107,WP!$E$2:$E$23,0),2)),6)="Series",LEFT(IFERROR(IF(FIND("_",$B107)&gt;0,INDEX(WP!$A$2:$F$23,MATCH(LEFT($B107,FIND("_",$B107)-1),WP!$E$2:$E$23,0),2),IF(FIND("-",$B107)&gt;0,INDEX(WP!$A$2:$F$23,MATCH(LEFT($B107,FIND("_",$B107)-1),WP!$E$2:$E$23,0),2))),INDEX(WP!$A$2:$F$23,MATCH(Results!$B107,WP!$E$2:$E$23,0),2)),5),(IFERROR(IF(FIND("_",$B107)&gt;0,INDEX(WP!$A$2:$F$23,MATCH(LEFT($B107,FIND("_",$B107)-1),WP!$E$2:$E$23,0),2),IF(FIND("-",$B107)&gt;0,INDEX(WP!$A$2:$F$23,MATCH(LEFT($B107,FIND("_",$B107)-1),WP!$E$2:$E$23,0),2))),INDEX(WP!$A$2:$F$23,MATCH(Results!$B107,WP!$E$2:$E$23,0),2))))&amp;"-"&amp;$I107),"")</f>
        <v/>
      </c>
      <c r="G107" s="17" t="str">
        <f>IF(LEN(_xlfn.IFNA(IF(IFERROR(IF(FIND("_",$B107)&gt;0,MID($B107,FIND("_",$B107)+1,LEN($B107)),IF(FIND("-",$B107)&gt;0,MID($B107,FIND("-",$B107)+1,LEN($B107)))),"")="",IFERROR(VLOOKUP($F107,WP!$B$2:$C$23,2,0),VLOOKUP($C107,Series!$A$3:$F$11,6,0)),IFERROR(VLOOKUP($F107,WP!$B$2:$C$23,2,0),VLOOKUP($C107,Series!$A$3:$F$11,6,0))&amp;" - "&amp;(IFERROR(IF(FIND("_",$B107)&gt;0,MID($B107,FIND("_",$B107)+1,LEN($B107)),IF(FIND("-",$B107)&gt;0,MID($B107,FIND("-",$B107)+1,LEN($B107)))),""))),""))&lt;64,_xlfn.IFNA(IF(IFERROR(IF(FIND("_",$B107)&gt;0,MID($B107,FIND("_",$B107)+1,LEN($B107)),IF(FIND("-",$B107)&gt;0,MID($B107,FIND("-",$B107)+1,LEN($B107)))),"")="",IFERROR(VLOOKUP($F107,WP!$B$2:$C$23,2,0),VLOOKUP($C107,Series!$A$3:$F$11,6,0)),IFERROR(VLOOKUP($F107,WP!$B$2:$C$23,2,0),VLOOKUP($C107,Series!$A$3:$F$11,6,0))&amp;" - "&amp;(IFERROR(IF(FIND("_",$B107)&gt;0,MID($B107,FIND("_",$B107)+1,LEN($B107)),IF(FIND("-",$B107)&gt;0,MID($B107,FIND("-",$B107)+1,LEN($B107)))),""))),""),LEFT((_xlfn.IFNA(IF(IFERROR(IF(FIND("_",$B107)&gt;0,MID($B107,FIND("_",$B107)+1,LEN($B107)),IF(FIND("-",$B107)&gt;0,MID($B107,FIND("-",$B107)+1,LEN($B107)))),"")="",IFERROR(VLOOKUP($F107,WP!$B$2:$C$23,2,0),VLOOKUP($C107,Series!$A$3:$F$11,6,0)),IFERROR(VLOOKUP($F107,WP!$B$2:$C$23,2,0),VLOOKUP($C107,Series!$A$3:$F$11,6,0))&amp;" - "&amp;(IFERROR(IF(FIND("_",$B107)&gt;0,MID($B107,FIND("_",$B107)+1,LEN($B107)),IF(FIND("-",$B107)&gt;0,MID($B107,FIND("-",$B107)+1,LEN($B107)))),""))),"")),64))</f>
        <v/>
      </c>
      <c r="H107" s="12"/>
      <c r="I107" s="12" t="str">
        <f>IF($D107&lt;&gt;"",COUNTIF($D$7:$D107,"="&amp;$D107),"")</f>
        <v/>
      </c>
      <c r="J107"/>
      <c r="K107" s="8"/>
      <c r="L107"/>
    </row>
    <row r="108" spans="1:12" x14ac:dyDescent="0.3">
      <c r="A108" s="1"/>
      <c r="B108" s="26"/>
      <c r="C108" s="12" t="str">
        <f>_xlfn.IFNA(IFERROR(IF(FIND("_",$B108)&gt;0,INDEX(WP!$A$2:$F$23,MATCH(LEFT($B108,FIND("_",$B108)-1),WP!$E$2:$E$23,0),1),IF(FIND("-",$B108)&gt;0,INDEX(WP!$A$2:$F$23,MATCH(LEFT($B108,FIND("_",$B108)-1),WP!$E$2:$E$23,0),1))),INDEX(WP!$A$2:$F$23,MATCH(Results!$B108,WP!$E$2:$E$23,0),1)),"")</f>
        <v/>
      </c>
      <c r="D108" s="12" t="str">
        <f>IFERROR(IFERROR(IF(RIGHT(INDEX(WP!$A$2:$F$23,MATCH(IF(FIND("_",$B108)&gt;0,LEFT($B108,FIND("_",$B108)-1)),WP!$E$2:$E$23,0),2),6)="Series",LEFT(INDEX(WP!$A$2:$F$23,MATCH(IF(FIND("_",$B108)&gt;0,LEFT($B108,FIND("_",$B108)-1)),WP!$E$2:$E$23,0),2),5),""),IF(RIGHT(INDEX(WP!$A$2:$F$23,MATCH($B108,WP!$E$2:$E$23,0),2),6)="Series",LEFT(INDEX(WP!$A$2:$F$23,MATCH($B108,WP!$E$2:$E$23,0),2),5),"")),"")</f>
        <v/>
      </c>
      <c r="E108" s="17" t="str">
        <f>IFERROR(VLOOKUP(VALUE($D108),Series!$B$3:$F$11,2,0),"")</f>
        <v/>
      </c>
      <c r="F108" s="12" t="str">
        <f>_xlfn.IFNA(IF(IF($D108&lt;&gt;"",COUNTIF($E:$E,"="&amp;$D108),"")="",IF(RIGHT(IFERROR(IF(FIND("_",$B108)&gt;0,INDEX(WP!$A$2:$F$23,MATCH(LEFT($B108,FIND("_",$B108)-1),WP!$E$2:$E$23,0),2),IF(FIND("-",$B108)&gt;0,INDEX(WP!$A$2:$F$23,MATCH(LEFT($B108,FIND("_",$B108)-1),WP!$E$2:$E$23,0),2))),INDEX(WP!$A$2:$F$23,MATCH(Results!$B108,WP!$E$2:$E$23,0),2)),6)="Series",LEFT(IFERROR(IF(FIND("_",$B108)&gt;0,INDEX(WP!$A$2:$F$23,MATCH(LEFT($B108,FIND("_",$B108)-1),WP!$E$2:$E$23,0),2),IF(FIND("-",$B108)&gt;0,INDEX(WP!$A$2:$F$23,MATCH(LEFT($B108,FIND("_",$B108)-1),WP!$E$2:$E$23,0),2))),INDEX(WP!$A$2:$F$23,MATCH(Results!$B108,WP!$E$2:$E$23,0),2)),5),(IFERROR(IF(FIND("_",$B108)&gt;0,INDEX(WP!$A$2:$F$23,MATCH(LEFT($B108,FIND("_",$B108)-1),WP!$E$2:$E$23,0),2),IF(FIND("-",$B108)&gt;0,INDEX(WP!$A$2:$F$23,MATCH(LEFT($B108,FIND("_",$B108)-1),WP!$E$2:$E$23,0),2))),INDEX(WP!$A$2:$F$23,MATCH(Results!$B108,WP!$E$2:$E$23,0),2)))),IF(RIGHT(IFERROR(IF(FIND("_",$B108)&gt;0,INDEX(WP!$A$2:$F$23,MATCH(LEFT($B108,FIND("_",$B108)-1),WP!$E$2:$E$23,0),2),IF(FIND("-",$B108)&gt;0,INDEX(WP!$A$2:$F$23,MATCH(LEFT($B108,FIND("_",$B108)-1),WP!$E$2:$E$23,0),2))),INDEX(WP!$A$2:$F$23,MATCH(Results!$B108,WP!$E$2:$E$23,0),2)),6)="Series",LEFT(IFERROR(IF(FIND("_",$B108)&gt;0,INDEX(WP!$A$2:$F$23,MATCH(LEFT($B108,FIND("_",$B108)-1),WP!$E$2:$E$23,0),2),IF(FIND("-",$B108)&gt;0,INDEX(WP!$A$2:$F$23,MATCH(LEFT($B108,FIND("_",$B108)-1),WP!$E$2:$E$23,0),2))),INDEX(WP!$A$2:$F$23,MATCH(Results!$B108,WP!$E$2:$E$23,0),2)),5),(IFERROR(IF(FIND("_",$B108)&gt;0,INDEX(WP!$A$2:$F$23,MATCH(LEFT($B108,FIND("_",$B108)-1),WP!$E$2:$E$23,0),2),IF(FIND("-",$B108)&gt;0,INDEX(WP!$A$2:$F$23,MATCH(LEFT($B108,FIND("_",$B108)-1),WP!$E$2:$E$23,0),2))),INDEX(WP!$A$2:$F$23,MATCH(Results!$B108,WP!$E$2:$E$23,0),2))))&amp;"-"&amp;$I108),"")</f>
        <v/>
      </c>
      <c r="G108" s="17" t="str">
        <f>IF(LEN(_xlfn.IFNA(IF(IFERROR(IF(FIND("_",$B108)&gt;0,MID($B108,FIND("_",$B108)+1,LEN($B108)),IF(FIND("-",$B108)&gt;0,MID($B108,FIND("-",$B108)+1,LEN($B108)))),"")="",IFERROR(VLOOKUP($F108,WP!$B$2:$C$23,2,0),VLOOKUP($C108,Series!$A$3:$F$11,6,0)),IFERROR(VLOOKUP($F108,WP!$B$2:$C$23,2,0),VLOOKUP($C108,Series!$A$3:$F$11,6,0))&amp;" - "&amp;(IFERROR(IF(FIND("_",$B108)&gt;0,MID($B108,FIND("_",$B108)+1,LEN($B108)),IF(FIND("-",$B108)&gt;0,MID($B108,FIND("-",$B108)+1,LEN($B108)))),""))),""))&lt;64,_xlfn.IFNA(IF(IFERROR(IF(FIND("_",$B108)&gt;0,MID($B108,FIND("_",$B108)+1,LEN($B108)),IF(FIND("-",$B108)&gt;0,MID($B108,FIND("-",$B108)+1,LEN($B108)))),"")="",IFERROR(VLOOKUP($F108,WP!$B$2:$C$23,2,0),VLOOKUP($C108,Series!$A$3:$F$11,6,0)),IFERROR(VLOOKUP($F108,WP!$B$2:$C$23,2,0),VLOOKUP($C108,Series!$A$3:$F$11,6,0))&amp;" - "&amp;(IFERROR(IF(FIND("_",$B108)&gt;0,MID($B108,FIND("_",$B108)+1,LEN($B108)),IF(FIND("-",$B108)&gt;0,MID($B108,FIND("-",$B108)+1,LEN($B108)))),""))),""),LEFT((_xlfn.IFNA(IF(IFERROR(IF(FIND("_",$B108)&gt;0,MID($B108,FIND("_",$B108)+1,LEN($B108)),IF(FIND("-",$B108)&gt;0,MID($B108,FIND("-",$B108)+1,LEN($B108)))),"")="",IFERROR(VLOOKUP($F108,WP!$B$2:$C$23,2,0),VLOOKUP($C108,Series!$A$3:$F$11,6,0)),IFERROR(VLOOKUP($F108,WP!$B$2:$C$23,2,0),VLOOKUP($C108,Series!$A$3:$F$11,6,0))&amp;" - "&amp;(IFERROR(IF(FIND("_",$B108)&gt;0,MID($B108,FIND("_",$B108)+1,LEN($B108)),IF(FIND("-",$B108)&gt;0,MID($B108,FIND("-",$B108)+1,LEN($B108)))),""))),"")),64))</f>
        <v/>
      </c>
      <c r="H108" s="12"/>
      <c r="I108" s="12" t="str">
        <f>IF($D108&lt;&gt;"",COUNTIF($D$7:$D108,"="&amp;$D108),"")</f>
        <v/>
      </c>
      <c r="J108"/>
      <c r="K108" s="8"/>
      <c r="L108"/>
    </row>
    <row r="109" spans="1:12" x14ac:dyDescent="0.3">
      <c r="A109" s="1"/>
      <c r="B109" s="26"/>
      <c r="C109" s="12" t="str">
        <f>_xlfn.IFNA(IFERROR(IF(FIND("_",$B109)&gt;0,INDEX(WP!$A$2:$F$23,MATCH(LEFT($B109,FIND("_",$B109)-1),WP!$E$2:$E$23,0),1),IF(FIND("-",$B109)&gt;0,INDEX(WP!$A$2:$F$23,MATCH(LEFT($B109,FIND("_",$B109)-1),WP!$E$2:$E$23,0),1))),INDEX(WP!$A$2:$F$23,MATCH(Results!$B109,WP!$E$2:$E$23,0),1)),"")</f>
        <v/>
      </c>
      <c r="D109" s="12" t="str">
        <f>IFERROR(IFERROR(IF(RIGHT(INDEX(WP!$A$2:$F$23,MATCH(IF(FIND("_",$B109)&gt;0,LEFT($B109,FIND("_",$B109)-1)),WP!$E$2:$E$23,0),2),6)="Series",LEFT(INDEX(WP!$A$2:$F$23,MATCH(IF(FIND("_",$B109)&gt;0,LEFT($B109,FIND("_",$B109)-1)),WP!$E$2:$E$23,0),2),5),""),IF(RIGHT(INDEX(WP!$A$2:$F$23,MATCH($B109,WP!$E$2:$E$23,0),2),6)="Series",LEFT(INDEX(WP!$A$2:$F$23,MATCH($B109,WP!$E$2:$E$23,0),2),5),"")),"")</f>
        <v/>
      </c>
      <c r="E109" s="17" t="str">
        <f>IFERROR(VLOOKUP(VALUE($D109),Series!$B$3:$F$11,2,0),"")</f>
        <v/>
      </c>
      <c r="F109" s="12" t="str">
        <f>_xlfn.IFNA(IF(IF($D109&lt;&gt;"",COUNTIF($E:$E,"="&amp;$D109),"")="",IF(RIGHT(IFERROR(IF(FIND("_",$B109)&gt;0,INDEX(WP!$A$2:$F$23,MATCH(LEFT($B109,FIND("_",$B109)-1),WP!$E$2:$E$23,0),2),IF(FIND("-",$B109)&gt;0,INDEX(WP!$A$2:$F$23,MATCH(LEFT($B109,FIND("_",$B109)-1),WP!$E$2:$E$23,0),2))),INDEX(WP!$A$2:$F$23,MATCH(Results!$B109,WP!$E$2:$E$23,0),2)),6)="Series",LEFT(IFERROR(IF(FIND("_",$B109)&gt;0,INDEX(WP!$A$2:$F$23,MATCH(LEFT($B109,FIND("_",$B109)-1),WP!$E$2:$E$23,0),2),IF(FIND("-",$B109)&gt;0,INDEX(WP!$A$2:$F$23,MATCH(LEFT($B109,FIND("_",$B109)-1),WP!$E$2:$E$23,0),2))),INDEX(WP!$A$2:$F$23,MATCH(Results!$B109,WP!$E$2:$E$23,0),2)),5),(IFERROR(IF(FIND("_",$B109)&gt;0,INDEX(WP!$A$2:$F$23,MATCH(LEFT($B109,FIND("_",$B109)-1),WP!$E$2:$E$23,0),2),IF(FIND("-",$B109)&gt;0,INDEX(WP!$A$2:$F$23,MATCH(LEFT($B109,FIND("_",$B109)-1),WP!$E$2:$E$23,0),2))),INDEX(WP!$A$2:$F$23,MATCH(Results!$B109,WP!$E$2:$E$23,0),2)))),IF(RIGHT(IFERROR(IF(FIND("_",$B109)&gt;0,INDEX(WP!$A$2:$F$23,MATCH(LEFT($B109,FIND("_",$B109)-1),WP!$E$2:$E$23,0),2),IF(FIND("-",$B109)&gt;0,INDEX(WP!$A$2:$F$23,MATCH(LEFT($B109,FIND("_",$B109)-1),WP!$E$2:$E$23,0),2))),INDEX(WP!$A$2:$F$23,MATCH(Results!$B109,WP!$E$2:$E$23,0),2)),6)="Series",LEFT(IFERROR(IF(FIND("_",$B109)&gt;0,INDEX(WP!$A$2:$F$23,MATCH(LEFT($B109,FIND("_",$B109)-1),WP!$E$2:$E$23,0),2),IF(FIND("-",$B109)&gt;0,INDEX(WP!$A$2:$F$23,MATCH(LEFT($B109,FIND("_",$B109)-1),WP!$E$2:$E$23,0),2))),INDEX(WP!$A$2:$F$23,MATCH(Results!$B109,WP!$E$2:$E$23,0),2)),5),(IFERROR(IF(FIND("_",$B109)&gt;0,INDEX(WP!$A$2:$F$23,MATCH(LEFT($B109,FIND("_",$B109)-1),WP!$E$2:$E$23,0),2),IF(FIND("-",$B109)&gt;0,INDEX(WP!$A$2:$F$23,MATCH(LEFT($B109,FIND("_",$B109)-1),WP!$E$2:$E$23,0),2))),INDEX(WP!$A$2:$F$23,MATCH(Results!$B109,WP!$E$2:$E$23,0),2))))&amp;"-"&amp;$I109),"")</f>
        <v/>
      </c>
      <c r="G109" s="17" t="str">
        <f>IF(LEN(_xlfn.IFNA(IF(IFERROR(IF(FIND("_",$B109)&gt;0,MID($B109,FIND("_",$B109)+1,LEN($B109)),IF(FIND("-",$B109)&gt;0,MID($B109,FIND("-",$B109)+1,LEN($B109)))),"")="",IFERROR(VLOOKUP($F109,WP!$B$2:$C$23,2,0),VLOOKUP($C109,Series!$A$3:$F$11,6,0)),IFERROR(VLOOKUP($F109,WP!$B$2:$C$23,2,0),VLOOKUP($C109,Series!$A$3:$F$11,6,0))&amp;" - "&amp;(IFERROR(IF(FIND("_",$B109)&gt;0,MID($B109,FIND("_",$B109)+1,LEN($B109)),IF(FIND("-",$B109)&gt;0,MID($B109,FIND("-",$B109)+1,LEN($B109)))),""))),""))&lt;64,_xlfn.IFNA(IF(IFERROR(IF(FIND("_",$B109)&gt;0,MID($B109,FIND("_",$B109)+1,LEN($B109)),IF(FIND("-",$B109)&gt;0,MID($B109,FIND("-",$B109)+1,LEN($B109)))),"")="",IFERROR(VLOOKUP($F109,WP!$B$2:$C$23,2,0),VLOOKUP($C109,Series!$A$3:$F$11,6,0)),IFERROR(VLOOKUP($F109,WP!$B$2:$C$23,2,0),VLOOKUP($C109,Series!$A$3:$F$11,6,0))&amp;" - "&amp;(IFERROR(IF(FIND("_",$B109)&gt;0,MID($B109,FIND("_",$B109)+1,LEN($B109)),IF(FIND("-",$B109)&gt;0,MID($B109,FIND("-",$B109)+1,LEN($B109)))),""))),""),LEFT((_xlfn.IFNA(IF(IFERROR(IF(FIND("_",$B109)&gt;0,MID($B109,FIND("_",$B109)+1,LEN($B109)),IF(FIND("-",$B109)&gt;0,MID($B109,FIND("-",$B109)+1,LEN($B109)))),"")="",IFERROR(VLOOKUP($F109,WP!$B$2:$C$23,2,0),VLOOKUP($C109,Series!$A$3:$F$11,6,0)),IFERROR(VLOOKUP($F109,WP!$B$2:$C$23,2,0),VLOOKUP($C109,Series!$A$3:$F$11,6,0))&amp;" - "&amp;(IFERROR(IF(FIND("_",$B109)&gt;0,MID($B109,FIND("_",$B109)+1,LEN($B109)),IF(FIND("-",$B109)&gt;0,MID($B109,FIND("-",$B109)+1,LEN($B109)))),""))),"")),64))</f>
        <v/>
      </c>
      <c r="H109" s="12"/>
      <c r="I109" s="12" t="str">
        <f>IF($D109&lt;&gt;"",COUNTIF($D$7:$D109,"="&amp;$D109),"")</f>
        <v/>
      </c>
      <c r="J109"/>
      <c r="K109" s="8"/>
      <c r="L109"/>
    </row>
    <row r="110" spans="1:12" x14ac:dyDescent="0.3">
      <c r="A110" s="1"/>
      <c r="B110" s="26"/>
      <c r="C110" s="12" t="str">
        <f>_xlfn.IFNA(IFERROR(IF(FIND("_",$B110)&gt;0,INDEX(WP!$A$2:$F$23,MATCH(LEFT($B110,FIND("_",$B110)-1),WP!$E$2:$E$23,0),1),IF(FIND("-",$B110)&gt;0,INDEX(WP!$A$2:$F$23,MATCH(LEFT($B110,FIND("_",$B110)-1),WP!$E$2:$E$23,0),1))),INDEX(WP!$A$2:$F$23,MATCH(Results!$B110,WP!$E$2:$E$23,0),1)),"")</f>
        <v/>
      </c>
      <c r="D110" s="12" t="str">
        <f>IFERROR(IFERROR(IF(RIGHT(INDEX(WP!$A$2:$F$23,MATCH(IF(FIND("_",$B110)&gt;0,LEFT($B110,FIND("_",$B110)-1)),WP!$E$2:$E$23,0),2),6)="Series",LEFT(INDEX(WP!$A$2:$F$23,MATCH(IF(FIND("_",$B110)&gt;0,LEFT($B110,FIND("_",$B110)-1)),WP!$E$2:$E$23,0),2),5),""),IF(RIGHT(INDEX(WP!$A$2:$F$23,MATCH($B110,WP!$E$2:$E$23,0),2),6)="Series",LEFT(INDEX(WP!$A$2:$F$23,MATCH($B110,WP!$E$2:$E$23,0),2),5),"")),"")</f>
        <v/>
      </c>
      <c r="E110" s="17" t="str">
        <f>IFERROR(VLOOKUP(VALUE($D110),Series!$B$3:$F$11,2,0),"")</f>
        <v/>
      </c>
      <c r="F110" s="12" t="str">
        <f>_xlfn.IFNA(IF(IF($D110&lt;&gt;"",COUNTIF($E:$E,"="&amp;$D110),"")="",IF(RIGHT(IFERROR(IF(FIND("_",$B110)&gt;0,INDEX(WP!$A$2:$F$23,MATCH(LEFT($B110,FIND("_",$B110)-1),WP!$E$2:$E$23,0),2),IF(FIND("-",$B110)&gt;0,INDEX(WP!$A$2:$F$23,MATCH(LEFT($B110,FIND("_",$B110)-1),WP!$E$2:$E$23,0),2))),INDEX(WP!$A$2:$F$23,MATCH(Results!$B110,WP!$E$2:$E$23,0),2)),6)="Series",LEFT(IFERROR(IF(FIND("_",$B110)&gt;0,INDEX(WP!$A$2:$F$23,MATCH(LEFT($B110,FIND("_",$B110)-1),WP!$E$2:$E$23,0),2),IF(FIND("-",$B110)&gt;0,INDEX(WP!$A$2:$F$23,MATCH(LEFT($B110,FIND("_",$B110)-1),WP!$E$2:$E$23,0),2))),INDEX(WP!$A$2:$F$23,MATCH(Results!$B110,WP!$E$2:$E$23,0),2)),5),(IFERROR(IF(FIND("_",$B110)&gt;0,INDEX(WP!$A$2:$F$23,MATCH(LEFT($B110,FIND("_",$B110)-1),WP!$E$2:$E$23,0),2),IF(FIND("-",$B110)&gt;0,INDEX(WP!$A$2:$F$23,MATCH(LEFT($B110,FIND("_",$B110)-1),WP!$E$2:$E$23,0),2))),INDEX(WP!$A$2:$F$23,MATCH(Results!$B110,WP!$E$2:$E$23,0),2)))),IF(RIGHT(IFERROR(IF(FIND("_",$B110)&gt;0,INDEX(WP!$A$2:$F$23,MATCH(LEFT($B110,FIND("_",$B110)-1),WP!$E$2:$E$23,0),2),IF(FIND("-",$B110)&gt;0,INDEX(WP!$A$2:$F$23,MATCH(LEFT($B110,FIND("_",$B110)-1),WP!$E$2:$E$23,0),2))),INDEX(WP!$A$2:$F$23,MATCH(Results!$B110,WP!$E$2:$E$23,0),2)),6)="Series",LEFT(IFERROR(IF(FIND("_",$B110)&gt;0,INDEX(WP!$A$2:$F$23,MATCH(LEFT($B110,FIND("_",$B110)-1),WP!$E$2:$E$23,0),2),IF(FIND("-",$B110)&gt;0,INDEX(WP!$A$2:$F$23,MATCH(LEFT($B110,FIND("_",$B110)-1),WP!$E$2:$E$23,0),2))),INDEX(WP!$A$2:$F$23,MATCH(Results!$B110,WP!$E$2:$E$23,0),2)),5),(IFERROR(IF(FIND("_",$B110)&gt;0,INDEX(WP!$A$2:$F$23,MATCH(LEFT($B110,FIND("_",$B110)-1),WP!$E$2:$E$23,0),2),IF(FIND("-",$B110)&gt;0,INDEX(WP!$A$2:$F$23,MATCH(LEFT($B110,FIND("_",$B110)-1),WP!$E$2:$E$23,0),2))),INDEX(WP!$A$2:$F$23,MATCH(Results!$B110,WP!$E$2:$E$23,0),2))))&amp;"-"&amp;$I110),"")</f>
        <v/>
      </c>
      <c r="G110" s="17" t="str">
        <f>IF(LEN(_xlfn.IFNA(IF(IFERROR(IF(FIND("_",$B110)&gt;0,MID($B110,FIND("_",$B110)+1,LEN($B110)),IF(FIND("-",$B110)&gt;0,MID($B110,FIND("-",$B110)+1,LEN($B110)))),"")="",IFERROR(VLOOKUP($F110,WP!$B$2:$C$23,2,0),VLOOKUP($C110,Series!$A$3:$F$11,6,0)),IFERROR(VLOOKUP($F110,WP!$B$2:$C$23,2,0),VLOOKUP($C110,Series!$A$3:$F$11,6,0))&amp;" - "&amp;(IFERROR(IF(FIND("_",$B110)&gt;0,MID($B110,FIND("_",$B110)+1,LEN($B110)),IF(FIND("-",$B110)&gt;0,MID($B110,FIND("-",$B110)+1,LEN($B110)))),""))),""))&lt;64,_xlfn.IFNA(IF(IFERROR(IF(FIND("_",$B110)&gt;0,MID($B110,FIND("_",$B110)+1,LEN($B110)),IF(FIND("-",$B110)&gt;0,MID($B110,FIND("-",$B110)+1,LEN($B110)))),"")="",IFERROR(VLOOKUP($F110,WP!$B$2:$C$23,2,0),VLOOKUP($C110,Series!$A$3:$F$11,6,0)),IFERROR(VLOOKUP($F110,WP!$B$2:$C$23,2,0),VLOOKUP($C110,Series!$A$3:$F$11,6,0))&amp;" - "&amp;(IFERROR(IF(FIND("_",$B110)&gt;0,MID($B110,FIND("_",$B110)+1,LEN($B110)),IF(FIND("-",$B110)&gt;0,MID($B110,FIND("-",$B110)+1,LEN($B110)))),""))),""),LEFT((_xlfn.IFNA(IF(IFERROR(IF(FIND("_",$B110)&gt;0,MID($B110,FIND("_",$B110)+1,LEN($B110)),IF(FIND("-",$B110)&gt;0,MID($B110,FIND("-",$B110)+1,LEN($B110)))),"")="",IFERROR(VLOOKUP($F110,WP!$B$2:$C$23,2,0),VLOOKUP($C110,Series!$A$3:$F$11,6,0)),IFERROR(VLOOKUP($F110,WP!$B$2:$C$23,2,0),VLOOKUP($C110,Series!$A$3:$F$11,6,0))&amp;" - "&amp;(IFERROR(IF(FIND("_",$B110)&gt;0,MID($B110,FIND("_",$B110)+1,LEN($B110)),IF(FIND("-",$B110)&gt;0,MID($B110,FIND("-",$B110)+1,LEN($B110)))),""))),"")),64))</f>
        <v/>
      </c>
      <c r="H110" s="12"/>
      <c r="I110" s="12" t="str">
        <f>IF($D110&lt;&gt;"",COUNTIF($D$7:$D110,"="&amp;$D110),"")</f>
        <v/>
      </c>
      <c r="J110"/>
      <c r="K110" s="8"/>
      <c r="L110"/>
    </row>
    <row r="111" spans="1:12" x14ac:dyDescent="0.3">
      <c r="A111" s="1"/>
      <c r="B111" s="26"/>
      <c r="C111" s="12" t="str">
        <f>_xlfn.IFNA(IFERROR(IF(FIND("_",$B111)&gt;0,INDEX(WP!$A$2:$F$23,MATCH(LEFT($B111,FIND("_",$B111)-1),WP!$E$2:$E$23,0),1),IF(FIND("-",$B111)&gt;0,INDEX(WP!$A$2:$F$23,MATCH(LEFT($B111,FIND("_",$B111)-1),WP!$E$2:$E$23,0),1))),INDEX(WP!$A$2:$F$23,MATCH(Results!$B111,WP!$E$2:$E$23,0),1)),"")</f>
        <v/>
      </c>
      <c r="D111" s="12" t="str">
        <f>IFERROR(IFERROR(IF(RIGHT(INDEX(WP!$A$2:$F$23,MATCH(IF(FIND("_",$B111)&gt;0,LEFT($B111,FIND("_",$B111)-1)),WP!$E$2:$E$23,0),2),6)="Series",LEFT(INDEX(WP!$A$2:$F$23,MATCH(IF(FIND("_",$B111)&gt;0,LEFT($B111,FIND("_",$B111)-1)),WP!$E$2:$E$23,0),2),5),""),IF(RIGHT(INDEX(WP!$A$2:$F$23,MATCH($B111,WP!$E$2:$E$23,0),2),6)="Series",LEFT(INDEX(WP!$A$2:$F$23,MATCH($B111,WP!$E$2:$E$23,0),2),5),"")),"")</f>
        <v/>
      </c>
      <c r="E111" s="17" t="str">
        <f>IFERROR(VLOOKUP(VALUE($D111),Series!$B$3:$F$11,2,0),"")</f>
        <v/>
      </c>
      <c r="F111" s="12" t="str">
        <f>_xlfn.IFNA(IF(IF($D111&lt;&gt;"",COUNTIF($E:$E,"="&amp;$D111),"")="",IF(RIGHT(IFERROR(IF(FIND("_",$B111)&gt;0,INDEX(WP!$A$2:$F$23,MATCH(LEFT($B111,FIND("_",$B111)-1),WP!$E$2:$E$23,0),2),IF(FIND("-",$B111)&gt;0,INDEX(WP!$A$2:$F$23,MATCH(LEFT($B111,FIND("_",$B111)-1),WP!$E$2:$E$23,0),2))),INDEX(WP!$A$2:$F$23,MATCH(Results!$B111,WP!$E$2:$E$23,0),2)),6)="Series",LEFT(IFERROR(IF(FIND("_",$B111)&gt;0,INDEX(WP!$A$2:$F$23,MATCH(LEFT($B111,FIND("_",$B111)-1),WP!$E$2:$E$23,0),2),IF(FIND("-",$B111)&gt;0,INDEX(WP!$A$2:$F$23,MATCH(LEFT($B111,FIND("_",$B111)-1),WP!$E$2:$E$23,0),2))),INDEX(WP!$A$2:$F$23,MATCH(Results!$B111,WP!$E$2:$E$23,0),2)),5),(IFERROR(IF(FIND("_",$B111)&gt;0,INDEX(WP!$A$2:$F$23,MATCH(LEFT($B111,FIND("_",$B111)-1),WP!$E$2:$E$23,0),2),IF(FIND("-",$B111)&gt;0,INDEX(WP!$A$2:$F$23,MATCH(LEFT($B111,FIND("_",$B111)-1),WP!$E$2:$E$23,0),2))),INDEX(WP!$A$2:$F$23,MATCH(Results!$B111,WP!$E$2:$E$23,0),2)))),IF(RIGHT(IFERROR(IF(FIND("_",$B111)&gt;0,INDEX(WP!$A$2:$F$23,MATCH(LEFT($B111,FIND("_",$B111)-1),WP!$E$2:$E$23,0),2),IF(FIND("-",$B111)&gt;0,INDEX(WP!$A$2:$F$23,MATCH(LEFT($B111,FIND("_",$B111)-1),WP!$E$2:$E$23,0),2))),INDEX(WP!$A$2:$F$23,MATCH(Results!$B111,WP!$E$2:$E$23,0),2)),6)="Series",LEFT(IFERROR(IF(FIND("_",$B111)&gt;0,INDEX(WP!$A$2:$F$23,MATCH(LEFT($B111,FIND("_",$B111)-1),WP!$E$2:$E$23,0),2),IF(FIND("-",$B111)&gt;0,INDEX(WP!$A$2:$F$23,MATCH(LEFT($B111,FIND("_",$B111)-1),WP!$E$2:$E$23,0),2))),INDEX(WP!$A$2:$F$23,MATCH(Results!$B111,WP!$E$2:$E$23,0),2)),5),(IFERROR(IF(FIND("_",$B111)&gt;0,INDEX(WP!$A$2:$F$23,MATCH(LEFT($B111,FIND("_",$B111)-1),WP!$E$2:$E$23,0),2),IF(FIND("-",$B111)&gt;0,INDEX(WP!$A$2:$F$23,MATCH(LEFT($B111,FIND("_",$B111)-1),WP!$E$2:$E$23,0),2))),INDEX(WP!$A$2:$F$23,MATCH(Results!$B111,WP!$E$2:$E$23,0),2))))&amp;"-"&amp;$I111),"")</f>
        <v/>
      </c>
      <c r="G111" s="17" t="str">
        <f>IF(LEN(_xlfn.IFNA(IF(IFERROR(IF(FIND("_",$B111)&gt;0,MID($B111,FIND("_",$B111)+1,LEN($B111)),IF(FIND("-",$B111)&gt;0,MID($B111,FIND("-",$B111)+1,LEN($B111)))),"")="",IFERROR(VLOOKUP($F111,WP!$B$2:$C$23,2,0),VLOOKUP($C111,Series!$A$3:$F$11,6,0)),IFERROR(VLOOKUP($F111,WP!$B$2:$C$23,2,0),VLOOKUP($C111,Series!$A$3:$F$11,6,0))&amp;" - "&amp;(IFERROR(IF(FIND("_",$B111)&gt;0,MID($B111,FIND("_",$B111)+1,LEN($B111)),IF(FIND("-",$B111)&gt;0,MID($B111,FIND("-",$B111)+1,LEN($B111)))),""))),""))&lt;64,_xlfn.IFNA(IF(IFERROR(IF(FIND("_",$B111)&gt;0,MID($B111,FIND("_",$B111)+1,LEN($B111)),IF(FIND("-",$B111)&gt;0,MID($B111,FIND("-",$B111)+1,LEN($B111)))),"")="",IFERROR(VLOOKUP($F111,WP!$B$2:$C$23,2,0),VLOOKUP($C111,Series!$A$3:$F$11,6,0)),IFERROR(VLOOKUP($F111,WP!$B$2:$C$23,2,0),VLOOKUP($C111,Series!$A$3:$F$11,6,0))&amp;" - "&amp;(IFERROR(IF(FIND("_",$B111)&gt;0,MID($B111,FIND("_",$B111)+1,LEN($B111)),IF(FIND("-",$B111)&gt;0,MID($B111,FIND("-",$B111)+1,LEN($B111)))),""))),""),LEFT((_xlfn.IFNA(IF(IFERROR(IF(FIND("_",$B111)&gt;0,MID($B111,FIND("_",$B111)+1,LEN($B111)),IF(FIND("-",$B111)&gt;0,MID($B111,FIND("-",$B111)+1,LEN($B111)))),"")="",IFERROR(VLOOKUP($F111,WP!$B$2:$C$23,2,0),VLOOKUP($C111,Series!$A$3:$F$11,6,0)),IFERROR(VLOOKUP($F111,WP!$B$2:$C$23,2,0),VLOOKUP($C111,Series!$A$3:$F$11,6,0))&amp;" - "&amp;(IFERROR(IF(FIND("_",$B111)&gt;0,MID($B111,FIND("_",$B111)+1,LEN($B111)),IF(FIND("-",$B111)&gt;0,MID($B111,FIND("-",$B111)+1,LEN($B111)))),""))),"")),64))</f>
        <v/>
      </c>
      <c r="H111" s="12"/>
      <c r="I111" s="12" t="str">
        <f>IF($D111&lt;&gt;"",COUNTIF($D$7:$D111,"="&amp;$D111),"")</f>
        <v/>
      </c>
      <c r="J111"/>
      <c r="K111" s="8"/>
      <c r="L111"/>
    </row>
    <row r="112" spans="1:12" x14ac:dyDescent="0.3">
      <c r="A112" s="1"/>
      <c r="B112" s="26"/>
      <c r="C112" s="12" t="str">
        <f>_xlfn.IFNA(IFERROR(IF(FIND("_",$B112)&gt;0,INDEX(WP!$A$2:$F$23,MATCH(LEFT($B112,FIND("_",$B112)-1),WP!$E$2:$E$23,0),1),IF(FIND("-",$B112)&gt;0,INDEX(WP!$A$2:$F$23,MATCH(LEFT($B112,FIND("_",$B112)-1),WP!$E$2:$E$23,0),1))),INDEX(WP!$A$2:$F$23,MATCH(Results!$B112,WP!$E$2:$E$23,0),1)),"")</f>
        <v/>
      </c>
      <c r="D112" s="12" t="str">
        <f>IFERROR(IFERROR(IF(RIGHT(INDEX(WP!$A$2:$F$23,MATCH(IF(FIND("_",$B112)&gt;0,LEFT($B112,FIND("_",$B112)-1)),WP!$E$2:$E$23,0),2),6)="Series",LEFT(INDEX(WP!$A$2:$F$23,MATCH(IF(FIND("_",$B112)&gt;0,LEFT($B112,FIND("_",$B112)-1)),WP!$E$2:$E$23,0),2),5),""),IF(RIGHT(INDEX(WP!$A$2:$F$23,MATCH($B112,WP!$E$2:$E$23,0),2),6)="Series",LEFT(INDEX(WP!$A$2:$F$23,MATCH($B112,WP!$E$2:$E$23,0),2),5),"")),"")</f>
        <v/>
      </c>
      <c r="E112" s="17" t="str">
        <f>IFERROR(VLOOKUP(VALUE($D112),Series!$B$3:$F$11,2,0),"")</f>
        <v/>
      </c>
      <c r="F112" s="12" t="str">
        <f>_xlfn.IFNA(IF(IF($D112&lt;&gt;"",COUNTIF($E:$E,"="&amp;$D112),"")="",IF(RIGHT(IFERROR(IF(FIND("_",$B112)&gt;0,INDEX(WP!$A$2:$F$23,MATCH(LEFT($B112,FIND("_",$B112)-1),WP!$E$2:$E$23,0),2),IF(FIND("-",$B112)&gt;0,INDEX(WP!$A$2:$F$23,MATCH(LEFT($B112,FIND("_",$B112)-1),WP!$E$2:$E$23,0),2))),INDEX(WP!$A$2:$F$23,MATCH(Results!$B112,WP!$E$2:$E$23,0),2)),6)="Series",LEFT(IFERROR(IF(FIND("_",$B112)&gt;0,INDEX(WP!$A$2:$F$23,MATCH(LEFT($B112,FIND("_",$B112)-1),WP!$E$2:$E$23,0),2),IF(FIND("-",$B112)&gt;0,INDEX(WP!$A$2:$F$23,MATCH(LEFT($B112,FIND("_",$B112)-1),WP!$E$2:$E$23,0),2))),INDEX(WP!$A$2:$F$23,MATCH(Results!$B112,WP!$E$2:$E$23,0),2)),5),(IFERROR(IF(FIND("_",$B112)&gt;0,INDEX(WP!$A$2:$F$23,MATCH(LEFT($B112,FIND("_",$B112)-1),WP!$E$2:$E$23,0),2),IF(FIND("-",$B112)&gt;0,INDEX(WP!$A$2:$F$23,MATCH(LEFT($B112,FIND("_",$B112)-1),WP!$E$2:$E$23,0),2))),INDEX(WP!$A$2:$F$23,MATCH(Results!$B112,WP!$E$2:$E$23,0),2)))),IF(RIGHT(IFERROR(IF(FIND("_",$B112)&gt;0,INDEX(WP!$A$2:$F$23,MATCH(LEFT($B112,FIND("_",$B112)-1),WP!$E$2:$E$23,0),2),IF(FIND("-",$B112)&gt;0,INDEX(WP!$A$2:$F$23,MATCH(LEFT($B112,FIND("_",$B112)-1),WP!$E$2:$E$23,0),2))),INDEX(WP!$A$2:$F$23,MATCH(Results!$B112,WP!$E$2:$E$23,0),2)),6)="Series",LEFT(IFERROR(IF(FIND("_",$B112)&gt;0,INDEX(WP!$A$2:$F$23,MATCH(LEFT($B112,FIND("_",$B112)-1),WP!$E$2:$E$23,0),2),IF(FIND("-",$B112)&gt;0,INDEX(WP!$A$2:$F$23,MATCH(LEFT($B112,FIND("_",$B112)-1),WP!$E$2:$E$23,0),2))),INDEX(WP!$A$2:$F$23,MATCH(Results!$B112,WP!$E$2:$E$23,0),2)),5),(IFERROR(IF(FIND("_",$B112)&gt;0,INDEX(WP!$A$2:$F$23,MATCH(LEFT($B112,FIND("_",$B112)-1),WP!$E$2:$E$23,0),2),IF(FIND("-",$B112)&gt;0,INDEX(WP!$A$2:$F$23,MATCH(LEFT($B112,FIND("_",$B112)-1),WP!$E$2:$E$23,0),2))),INDEX(WP!$A$2:$F$23,MATCH(Results!$B112,WP!$E$2:$E$23,0),2))))&amp;"-"&amp;$I112),"")</f>
        <v/>
      </c>
      <c r="G112" s="17" t="str">
        <f>IF(LEN(_xlfn.IFNA(IF(IFERROR(IF(FIND("_",$B112)&gt;0,MID($B112,FIND("_",$B112)+1,LEN($B112)),IF(FIND("-",$B112)&gt;0,MID($B112,FIND("-",$B112)+1,LEN($B112)))),"")="",IFERROR(VLOOKUP($F112,WP!$B$2:$C$23,2,0),VLOOKUP($C112,Series!$A$3:$F$11,6,0)),IFERROR(VLOOKUP($F112,WP!$B$2:$C$23,2,0),VLOOKUP($C112,Series!$A$3:$F$11,6,0))&amp;" - "&amp;(IFERROR(IF(FIND("_",$B112)&gt;0,MID($B112,FIND("_",$B112)+1,LEN($B112)),IF(FIND("-",$B112)&gt;0,MID($B112,FIND("-",$B112)+1,LEN($B112)))),""))),""))&lt;64,_xlfn.IFNA(IF(IFERROR(IF(FIND("_",$B112)&gt;0,MID($B112,FIND("_",$B112)+1,LEN($B112)),IF(FIND("-",$B112)&gt;0,MID($B112,FIND("-",$B112)+1,LEN($B112)))),"")="",IFERROR(VLOOKUP($F112,WP!$B$2:$C$23,2,0),VLOOKUP($C112,Series!$A$3:$F$11,6,0)),IFERROR(VLOOKUP($F112,WP!$B$2:$C$23,2,0),VLOOKUP($C112,Series!$A$3:$F$11,6,0))&amp;" - "&amp;(IFERROR(IF(FIND("_",$B112)&gt;0,MID($B112,FIND("_",$B112)+1,LEN($B112)),IF(FIND("-",$B112)&gt;0,MID($B112,FIND("-",$B112)+1,LEN($B112)))),""))),""),LEFT((_xlfn.IFNA(IF(IFERROR(IF(FIND("_",$B112)&gt;0,MID($B112,FIND("_",$B112)+1,LEN($B112)),IF(FIND("-",$B112)&gt;0,MID($B112,FIND("-",$B112)+1,LEN($B112)))),"")="",IFERROR(VLOOKUP($F112,WP!$B$2:$C$23,2,0),VLOOKUP($C112,Series!$A$3:$F$11,6,0)),IFERROR(VLOOKUP($F112,WP!$B$2:$C$23,2,0),VLOOKUP($C112,Series!$A$3:$F$11,6,0))&amp;" - "&amp;(IFERROR(IF(FIND("_",$B112)&gt;0,MID($B112,FIND("_",$B112)+1,LEN($B112)),IF(FIND("-",$B112)&gt;0,MID($B112,FIND("-",$B112)+1,LEN($B112)))),""))),"")),64))</f>
        <v/>
      </c>
      <c r="H112" s="12"/>
      <c r="I112" s="12" t="str">
        <f>IF($D112&lt;&gt;"",COUNTIF($D$7:$D112,"="&amp;$D112),"")</f>
        <v/>
      </c>
      <c r="J112"/>
      <c r="K112" s="8"/>
      <c r="L112"/>
    </row>
    <row r="113" spans="1:12" x14ac:dyDescent="0.3">
      <c r="A113" s="1"/>
      <c r="B113" s="26"/>
      <c r="C113" s="12" t="str">
        <f>_xlfn.IFNA(IFERROR(IF(FIND("_",$B113)&gt;0,INDEX(WP!$A$2:$F$23,MATCH(LEFT($B113,FIND("_",$B113)-1),WP!$E$2:$E$23,0),1),IF(FIND("-",$B113)&gt;0,INDEX(WP!$A$2:$F$23,MATCH(LEFT($B113,FIND("_",$B113)-1),WP!$E$2:$E$23,0),1))),INDEX(WP!$A$2:$F$23,MATCH(Results!$B113,WP!$E$2:$E$23,0),1)),"")</f>
        <v/>
      </c>
      <c r="D113" s="12" t="str">
        <f>IFERROR(IFERROR(IF(RIGHT(INDEX(WP!$A$2:$F$23,MATCH(IF(FIND("_",$B113)&gt;0,LEFT($B113,FIND("_",$B113)-1)),WP!$E$2:$E$23,0),2),6)="Series",LEFT(INDEX(WP!$A$2:$F$23,MATCH(IF(FIND("_",$B113)&gt;0,LEFT($B113,FIND("_",$B113)-1)),WP!$E$2:$E$23,0),2),5),""),IF(RIGHT(INDEX(WP!$A$2:$F$23,MATCH($B113,WP!$E$2:$E$23,0),2),6)="Series",LEFT(INDEX(WP!$A$2:$F$23,MATCH($B113,WP!$E$2:$E$23,0),2),5),"")),"")</f>
        <v/>
      </c>
      <c r="E113" s="17" t="str">
        <f>IFERROR(VLOOKUP(VALUE($D113),Series!$B$3:$F$11,2,0),"")</f>
        <v/>
      </c>
      <c r="F113" s="12" t="str">
        <f>_xlfn.IFNA(IF(IF($D113&lt;&gt;"",COUNTIF($E:$E,"="&amp;$D113),"")="",IF(RIGHT(IFERROR(IF(FIND("_",$B113)&gt;0,INDEX(WP!$A$2:$F$23,MATCH(LEFT($B113,FIND("_",$B113)-1),WP!$E$2:$E$23,0),2),IF(FIND("-",$B113)&gt;0,INDEX(WP!$A$2:$F$23,MATCH(LEFT($B113,FIND("_",$B113)-1),WP!$E$2:$E$23,0),2))),INDEX(WP!$A$2:$F$23,MATCH(Results!$B113,WP!$E$2:$E$23,0),2)),6)="Series",LEFT(IFERROR(IF(FIND("_",$B113)&gt;0,INDEX(WP!$A$2:$F$23,MATCH(LEFT($B113,FIND("_",$B113)-1),WP!$E$2:$E$23,0),2),IF(FIND("-",$B113)&gt;0,INDEX(WP!$A$2:$F$23,MATCH(LEFT($B113,FIND("_",$B113)-1),WP!$E$2:$E$23,0),2))),INDEX(WP!$A$2:$F$23,MATCH(Results!$B113,WP!$E$2:$E$23,0),2)),5),(IFERROR(IF(FIND("_",$B113)&gt;0,INDEX(WP!$A$2:$F$23,MATCH(LEFT($B113,FIND("_",$B113)-1),WP!$E$2:$E$23,0),2),IF(FIND("-",$B113)&gt;0,INDEX(WP!$A$2:$F$23,MATCH(LEFT($B113,FIND("_",$B113)-1),WP!$E$2:$E$23,0),2))),INDEX(WP!$A$2:$F$23,MATCH(Results!$B113,WP!$E$2:$E$23,0),2)))),IF(RIGHT(IFERROR(IF(FIND("_",$B113)&gt;0,INDEX(WP!$A$2:$F$23,MATCH(LEFT($B113,FIND("_",$B113)-1),WP!$E$2:$E$23,0),2),IF(FIND("-",$B113)&gt;0,INDEX(WP!$A$2:$F$23,MATCH(LEFT($B113,FIND("_",$B113)-1),WP!$E$2:$E$23,0),2))),INDEX(WP!$A$2:$F$23,MATCH(Results!$B113,WP!$E$2:$E$23,0),2)),6)="Series",LEFT(IFERROR(IF(FIND("_",$B113)&gt;0,INDEX(WP!$A$2:$F$23,MATCH(LEFT($B113,FIND("_",$B113)-1),WP!$E$2:$E$23,0),2),IF(FIND("-",$B113)&gt;0,INDEX(WP!$A$2:$F$23,MATCH(LEFT($B113,FIND("_",$B113)-1),WP!$E$2:$E$23,0),2))),INDEX(WP!$A$2:$F$23,MATCH(Results!$B113,WP!$E$2:$E$23,0),2)),5),(IFERROR(IF(FIND("_",$B113)&gt;0,INDEX(WP!$A$2:$F$23,MATCH(LEFT($B113,FIND("_",$B113)-1),WP!$E$2:$E$23,0),2),IF(FIND("-",$B113)&gt;0,INDEX(WP!$A$2:$F$23,MATCH(LEFT($B113,FIND("_",$B113)-1),WP!$E$2:$E$23,0),2))),INDEX(WP!$A$2:$F$23,MATCH(Results!$B113,WP!$E$2:$E$23,0),2))))&amp;"-"&amp;$I113),"")</f>
        <v/>
      </c>
      <c r="G113" s="17" t="str">
        <f>IF(LEN(_xlfn.IFNA(IF(IFERROR(IF(FIND("_",$B113)&gt;0,MID($B113,FIND("_",$B113)+1,LEN($B113)),IF(FIND("-",$B113)&gt;0,MID($B113,FIND("-",$B113)+1,LEN($B113)))),"")="",IFERROR(VLOOKUP($F113,WP!$B$2:$C$23,2,0),VLOOKUP($C113,Series!$A$3:$F$11,6,0)),IFERROR(VLOOKUP($F113,WP!$B$2:$C$23,2,0),VLOOKUP($C113,Series!$A$3:$F$11,6,0))&amp;" - "&amp;(IFERROR(IF(FIND("_",$B113)&gt;0,MID($B113,FIND("_",$B113)+1,LEN($B113)),IF(FIND("-",$B113)&gt;0,MID($B113,FIND("-",$B113)+1,LEN($B113)))),""))),""))&lt;64,_xlfn.IFNA(IF(IFERROR(IF(FIND("_",$B113)&gt;0,MID($B113,FIND("_",$B113)+1,LEN($B113)),IF(FIND("-",$B113)&gt;0,MID($B113,FIND("-",$B113)+1,LEN($B113)))),"")="",IFERROR(VLOOKUP($F113,WP!$B$2:$C$23,2,0),VLOOKUP($C113,Series!$A$3:$F$11,6,0)),IFERROR(VLOOKUP($F113,WP!$B$2:$C$23,2,0),VLOOKUP($C113,Series!$A$3:$F$11,6,0))&amp;" - "&amp;(IFERROR(IF(FIND("_",$B113)&gt;0,MID($B113,FIND("_",$B113)+1,LEN($B113)),IF(FIND("-",$B113)&gt;0,MID($B113,FIND("-",$B113)+1,LEN($B113)))),""))),""),LEFT((_xlfn.IFNA(IF(IFERROR(IF(FIND("_",$B113)&gt;0,MID($B113,FIND("_",$B113)+1,LEN($B113)),IF(FIND("-",$B113)&gt;0,MID($B113,FIND("-",$B113)+1,LEN($B113)))),"")="",IFERROR(VLOOKUP($F113,WP!$B$2:$C$23,2,0),VLOOKUP($C113,Series!$A$3:$F$11,6,0)),IFERROR(VLOOKUP($F113,WP!$B$2:$C$23,2,0),VLOOKUP($C113,Series!$A$3:$F$11,6,0))&amp;" - "&amp;(IFERROR(IF(FIND("_",$B113)&gt;0,MID($B113,FIND("_",$B113)+1,LEN($B113)),IF(FIND("-",$B113)&gt;0,MID($B113,FIND("-",$B113)+1,LEN($B113)))),""))),"")),64))</f>
        <v/>
      </c>
      <c r="H113" s="12"/>
      <c r="I113" s="12" t="str">
        <f>IF($D113&lt;&gt;"",COUNTIF($D$7:$D113,"="&amp;$D113),"")</f>
        <v/>
      </c>
      <c r="J113"/>
      <c r="K113" s="8"/>
      <c r="L113"/>
    </row>
    <row r="114" spans="1:12" x14ac:dyDescent="0.3">
      <c r="A114" s="1"/>
      <c r="B114" s="26"/>
      <c r="C114" s="12" t="str">
        <f>_xlfn.IFNA(IFERROR(IF(FIND("_",$B114)&gt;0,INDEX(WP!$A$2:$F$23,MATCH(LEFT($B114,FIND("_",$B114)-1),WP!$E$2:$E$23,0),1),IF(FIND("-",$B114)&gt;0,INDEX(WP!$A$2:$F$23,MATCH(LEFT($B114,FIND("_",$B114)-1),WP!$E$2:$E$23,0),1))),INDEX(WP!$A$2:$F$23,MATCH(Results!$B114,WP!$E$2:$E$23,0),1)),"")</f>
        <v/>
      </c>
      <c r="D114" s="12" t="str">
        <f>IFERROR(IFERROR(IF(RIGHT(INDEX(WP!$A$2:$F$23,MATCH(IF(FIND("_",$B114)&gt;0,LEFT($B114,FIND("_",$B114)-1)),WP!$E$2:$E$23,0),2),6)="Series",LEFT(INDEX(WP!$A$2:$F$23,MATCH(IF(FIND("_",$B114)&gt;0,LEFT($B114,FIND("_",$B114)-1)),WP!$E$2:$E$23,0),2),5),""),IF(RIGHT(INDEX(WP!$A$2:$F$23,MATCH($B114,WP!$E$2:$E$23,0),2),6)="Series",LEFT(INDEX(WP!$A$2:$F$23,MATCH($B114,WP!$E$2:$E$23,0),2),5),"")),"")</f>
        <v/>
      </c>
      <c r="E114" s="17" t="str">
        <f>IFERROR(VLOOKUP(VALUE($D114),Series!$B$3:$F$11,2,0),"")</f>
        <v/>
      </c>
      <c r="F114" s="12" t="str">
        <f>_xlfn.IFNA(IF(IF($D114&lt;&gt;"",COUNTIF($E:$E,"="&amp;$D114),"")="",IF(RIGHT(IFERROR(IF(FIND("_",$B114)&gt;0,INDEX(WP!$A$2:$F$23,MATCH(LEFT($B114,FIND("_",$B114)-1),WP!$E$2:$E$23,0),2),IF(FIND("-",$B114)&gt;0,INDEX(WP!$A$2:$F$23,MATCH(LEFT($B114,FIND("_",$B114)-1),WP!$E$2:$E$23,0),2))),INDEX(WP!$A$2:$F$23,MATCH(Results!$B114,WP!$E$2:$E$23,0),2)),6)="Series",LEFT(IFERROR(IF(FIND("_",$B114)&gt;0,INDEX(WP!$A$2:$F$23,MATCH(LEFT($B114,FIND("_",$B114)-1),WP!$E$2:$E$23,0),2),IF(FIND("-",$B114)&gt;0,INDEX(WP!$A$2:$F$23,MATCH(LEFT($B114,FIND("_",$B114)-1),WP!$E$2:$E$23,0),2))),INDEX(WP!$A$2:$F$23,MATCH(Results!$B114,WP!$E$2:$E$23,0),2)),5),(IFERROR(IF(FIND("_",$B114)&gt;0,INDEX(WP!$A$2:$F$23,MATCH(LEFT($B114,FIND("_",$B114)-1),WP!$E$2:$E$23,0),2),IF(FIND("-",$B114)&gt;0,INDEX(WP!$A$2:$F$23,MATCH(LEFT($B114,FIND("_",$B114)-1),WP!$E$2:$E$23,0),2))),INDEX(WP!$A$2:$F$23,MATCH(Results!$B114,WP!$E$2:$E$23,0),2)))),IF(RIGHT(IFERROR(IF(FIND("_",$B114)&gt;0,INDEX(WP!$A$2:$F$23,MATCH(LEFT($B114,FIND("_",$B114)-1),WP!$E$2:$E$23,0),2),IF(FIND("-",$B114)&gt;0,INDEX(WP!$A$2:$F$23,MATCH(LEFT($B114,FIND("_",$B114)-1),WP!$E$2:$E$23,0),2))),INDEX(WP!$A$2:$F$23,MATCH(Results!$B114,WP!$E$2:$E$23,0),2)),6)="Series",LEFT(IFERROR(IF(FIND("_",$B114)&gt;0,INDEX(WP!$A$2:$F$23,MATCH(LEFT($B114,FIND("_",$B114)-1),WP!$E$2:$E$23,0),2),IF(FIND("-",$B114)&gt;0,INDEX(WP!$A$2:$F$23,MATCH(LEFT($B114,FIND("_",$B114)-1),WP!$E$2:$E$23,0),2))),INDEX(WP!$A$2:$F$23,MATCH(Results!$B114,WP!$E$2:$E$23,0),2)),5),(IFERROR(IF(FIND("_",$B114)&gt;0,INDEX(WP!$A$2:$F$23,MATCH(LEFT($B114,FIND("_",$B114)-1),WP!$E$2:$E$23,0),2),IF(FIND("-",$B114)&gt;0,INDEX(WP!$A$2:$F$23,MATCH(LEFT($B114,FIND("_",$B114)-1),WP!$E$2:$E$23,0),2))),INDEX(WP!$A$2:$F$23,MATCH(Results!$B114,WP!$E$2:$E$23,0),2))))&amp;"-"&amp;$I114),"")</f>
        <v/>
      </c>
      <c r="G114" s="17" t="str">
        <f>IF(LEN(_xlfn.IFNA(IF(IFERROR(IF(FIND("_",$B114)&gt;0,MID($B114,FIND("_",$B114)+1,LEN($B114)),IF(FIND("-",$B114)&gt;0,MID($B114,FIND("-",$B114)+1,LEN($B114)))),"")="",IFERROR(VLOOKUP($F114,WP!$B$2:$C$23,2,0),VLOOKUP($C114,Series!$A$3:$F$11,6,0)),IFERROR(VLOOKUP($F114,WP!$B$2:$C$23,2,0),VLOOKUP($C114,Series!$A$3:$F$11,6,0))&amp;" - "&amp;(IFERROR(IF(FIND("_",$B114)&gt;0,MID($B114,FIND("_",$B114)+1,LEN($B114)),IF(FIND("-",$B114)&gt;0,MID($B114,FIND("-",$B114)+1,LEN($B114)))),""))),""))&lt;64,_xlfn.IFNA(IF(IFERROR(IF(FIND("_",$B114)&gt;0,MID($B114,FIND("_",$B114)+1,LEN($B114)),IF(FIND("-",$B114)&gt;0,MID($B114,FIND("-",$B114)+1,LEN($B114)))),"")="",IFERROR(VLOOKUP($F114,WP!$B$2:$C$23,2,0),VLOOKUP($C114,Series!$A$3:$F$11,6,0)),IFERROR(VLOOKUP($F114,WP!$B$2:$C$23,2,0),VLOOKUP($C114,Series!$A$3:$F$11,6,0))&amp;" - "&amp;(IFERROR(IF(FIND("_",$B114)&gt;0,MID($B114,FIND("_",$B114)+1,LEN($B114)),IF(FIND("-",$B114)&gt;0,MID($B114,FIND("-",$B114)+1,LEN($B114)))),""))),""),LEFT((_xlfn.IFNA(IF(IFERROR(IF(FIND("_",$B114)&gt;0,MID($B114,FIND("_",$B114)+1,LEN($B114)),IF(FIND("-",$B114)&gt;0,MID($B114,FIND("-",$B114)+1,LEN($B114)))),"")="",IFERROR(VLOOKUP($F114,WP!$B$2:$C$23,2,0),VLOOKUP($C114,Series!$A$3:$F$11,6,0)),IFERROR(VLOOKUP($F114,WP!$B$2:$C$23,2,0),VLOOKUP($C114,Series!$A$3:$F$11,6,0))&amp;" - "&amp;(IFERROR(IF(FIND("_",$B114)&gt;0,MID($B114,FIND("_",$B114)+1,LEN($B114)),IF(FIND("-",$B114)&gt;0,MID($B114,FIND("-",$B114)+1,LEN($B114)))),""))),"")),64))</f>
        <v/>
      </c>
      <c r="H114" s="12"/>
      <c r="I114" s="12" t="str">
        <f>IF($D114&lt;&gt;"",COUNTIF($D$7:$D114,"="&amp;$D114),"")</f>
        <v/>
      </c>
      <c r="J114"/>
      <c r="K114" s="8"/>
      <c r="L114"/>
    </row>
    <row r="115" spans="1:12" x14ac:dyDescent="0.3">
      <c r="A115" s="1"/>
      <c r="B115" s="26"/>
      <c r="C115" s="12" t="str">
        <f>_xlfn.IFNA(IFERROR(IF(FIND("_",$B115)&gt;0,INDEX(WP!$A$2:$F$23,MATCH(LEFT($B115,FIND("_",$B115)-1),WP!$E$2:$E$23,0),1),IF(FIND("-",$B115)&gt;0,INDEX(WP!$A$2:$F$23,MATCH(LEFT($B115,FIND("_",$B115)-1),WP!$E$2:$E$23,0),1))),INDEX(WP!$A$2:$F$23,MATCH(Results!$B115,WP!$E$2:$E$23,0),1)),"")</f>
        <v/>
      </c>
      <c r="D115" s="12" t="str">
        <f>IFERROR(IFERROR(IF(RIGHT(INDEX(WP!$A$2:$F$23,MATCH(IF(FIND("_",$B115)&gt;0,LEFT($B115,FIND("_",$B115)-1)),WP!$E$2:$E$23,0),2),6)="Series",LEFT(INDEX(WP!$A$2:$F$23,MATCH(IF(FIND("_",$B115)&gt;0,LEFT($B115,FIND("_",$B115)-1)),WP!$E$2:$E$23,0),2),5),""),IF(RIGHT(INDEX(WP!$A$2:$F$23,MATCH($B115,WP!$E$2:$E$23,0),2),6)="Series",LEFT(INDEX(WP!$A$2:$F$23,MATCH($B115,WP!$E$2:$E$23,0),2),5),"")),"")</f>
        <v/>
      </c>
      <c r="E115" s="17" t="str">
        <f>IFERROR(VLOOKUP(VALUE($D115),Series!$B$3:$F$11,2,0),"")</f>
        <v/>
      </c>
      <c r="F115" s="12" t="str">
        <f>_xlfn.IFNA(IF(IF($D115&lt;&gt;"",COUNTIF($E:$E,"="&amp;$D115),"")="",IF(RIGHT(IFERROR(IF(FIND("_",$B115)&gt;0,INDEX(WP!$A$2:$F$23,MATCH(LEFT($B115,FIND("_",$B115)-1),WP!$E$2:$E$23,0),2),IF(FIND("-",$B115)&gt;0,INDEX(WP!$A$2:$F$23,MATCH(LEFT($B115,FIND("_",$B115)-1),WP!$E$2:$E$23,0),2))),INDEX(WP!$A$2:$F$23,MATCH(Results!$B115,WP!$E$2:$E$23,0),2)),6)="Series",LEFT(IFERROR(IF(FIND("_",$B115)&gt;0,INDEX(WP!$A$2:$F$23,MATCH(LEFT($B115,FIND("_",$B115)-1),WP!$E$2:$E$23,0),2),IF(FIND("-",$B115)&gt;0,INDEX(WP!$A$2:$F$23,MATCH(LEFT($B115,FIND("_",$B115)-1),WP!$E$2:$E$23,0),2))),INDEX(WP!$A$2:$F$23,MATCH(Results!$B115,WP!$E$2:$E$23,0),2)),5),(IFERROR(IF(FIND("_",$B115)&gt;0,INDEX(WP!$A$2:$F$23,MATCH(LEFT($B115,FIND("_",$B115)-1),WP!$E$2:$E$23,0),2),IF(FIND("-",$B115)&gt;0,INDEX(WP!$A$2:$F$23,MATCH(LEFT($B115,FIND("_",$B115)-1),WP!$E$2:$E$23,0),2))),INDEX(WP!$A$2:$F$23,MATCH(Results!$B115,WP!$E$2:$E$23,0),2)))),IF(RIGHT(IFERROR(IF(FIND("_",$B115)&gt;0,INDEX(WP!$A$2:$F$23,MATCH(LEFT($B115,FIND("_",$B115)-1),WP!$E$2:$E$23,0),2),IF(FIND("-",$B115)&gt;0,INDEX(WP!$A$2:$F$23,MATCH(LEFT($B115,FIND("_",$B115)-1),WP!$E$2:$E$23,0),2))),INDEX(WP!$A$2:$F$23,MATCH(Results!$B115,WP!$E$2:$E$23,0),2)),6)="Series",LEFT(IFERROR(IF(FIND("_",$B115)&gt;0,INDEX(WP!$A$2:$F$23,MATCH(LEFT($B115,FIND("_",$B115)-1),WP!$E$2:$E$23,0),2),IF(FIND("-",$B115)&gt;0,INDEX(WP!$A$2:$F$23,MATCH(LEFT($B115,FIND("_",$B115)-1),WP!$E$2:$E$23,0),2))),INDEX(WP!$A$2:$F$23,MATCH(Results!$B115,WP!$E$2:$E$23,0),2)),5),(IFERROR(IF(FIND("_",$B115)&gt;0,INDEX(WP!$A$2:$F$23,MATCH(LEFT($B115,FIND("_",$B115)-1),WP!$E$2:$E$23,0),2),IF(FIND("-",$B115)&gt;0,INDEX(WP!$A$2:$F$23,MATCH(LEFT($B115,FIND("_",$B115)-1),WP!$E$2:$E$23,0),2))),INDEX(WP!$A$2:$F$23,MATCH(Results!$B115,WP!$E$2:$E$23,0),2))))&amp;"-"&amp;$I115),"")</f>
        <v/>
      </c>
      <c r="G115" s="17" t="str">
        <f>IF(LEN(_xlfn.IFNA(IF(IFERROR(IF(FIND("_",$B115)&gt;0,MID($B115,FIND("_",$B115)+1,LEN($B115)),IF(FIND("-",$B115)&gt;0,MID($B115,FIND("-",$B115)+1,LEN($B115)))),"")="",IFERROR(VLOOKUP($F115,WP!$B$2:$C$23,2,0),VLOOKUP($C115,Series!$A$3:$F$11,6,0)),IFERROR(VLOOKUP($F115,WP!$B$2:$C$23,2,0),VLOOKUP($C115,Series!$A$3:$F$11,6,0))&amp;" - "&amp;(IFERROR(IF(FIND("_",$B115)&gt;0,MID($B115,FIND("_",$B115)+1,LEN($B115)),IF(FIND("-",$B115)&gt;0,MID($B115,FIND("-",$B115)+1,LEN($B115)))),""))),""))&lt;64,_xlfn.IFNA(IF(IFERROR(IF(FIND("_",$B115)&gt;0,MID($B115,FIND("_",$B115)+1,LEN($B115)),IF(FIND("-",$B115)&gt;0,MID($B115,FIND("-",$B115)+1,LEN($B115)))),"")="",IFERROR(VLOOKUP($F115,WP!$B$2:$C$23,2,0),VLOOKUP($C115,Series!$A$3:$F$11,6,0)),IFERROR(VLOOKUP($F115,WP!$B$2:$C$23,2,0),VLOOKUP($C115,Series!$A$3:$F$11,6,0))&amp;" - "&amp;(IFERROR(IF(FIND("_",$B115)&gt;0,MID($B115,FIND("_",$B115)+1,LEN($B115)),IF(FIND("-",$B115)&gt;0,MID($B115,FIND("-",$B115)+1,LEN($B115)))),""))),""),LEFT((_xlfn.IFNA(IF(IFERROR(IF(FIND("_",$B115)&gt;0,MID($B115,FIND("_",$B115)+1,LEN($B115)),IF(FIND("-",$B115)&gt;0,MID($B115,FIND("-",$B115)+1,LEN($B115)))),"")="",IFERROR(VLOOKUP($F115,WP!$B$2:$C$23,2,0),VLOOKUP($C115,Series!$A$3:$F$11,6,0)),IFERROR(VLOOKUP($F115,WP!$B$2:$C$23,2,0),VLOOKUP($C115,Series!$A$3:$F$11,6,0))&amp;" - "&amp;(IFERROR(IF(FIND("_",$B115)&gt;0,MID($B115,FIND("_",$B115)+1,LEN($B115)),IF(FIND("-",$B115)&gt;0,MID($B115,FIND("-",$B115)+1,LEN($B115)))),""))),"")),64))</f>
        <v/>
      </c>
      <c r="H115" s="12"/>
      <c r="I115" s="12" t="str">
        <f>IF($D115&lt;&gt;"",COUNTIF($D$7:$D115,"="&amp;$D115),"")</f>
        <v/>
      </c>
      <c r="J115"/>
      <c r="K115" s="8"/>
      <c r="L115"/>
    </row>
    <row r="116" spans="1:12" x14ac:dyDescent="0.3">
      <c r="A116" s="1"/>
      <c r="B116" s="26"/>
      <c r="C116" s="12" t="str">
        <f>_xlfn.IFNA(IFERROR(IF(FIND("_",$B116)&gt;0,INDEX(WP!$A$2:$F$23,MATCH(LEFT($B116,FIND("_",$B116)-1),WP!$E$2:$E$23,0),1),IF(FIND("-",$B116)&gt;0,INDEX(WP!$A$2:$F$23,MATCH(LEFT($B116,FIND("_",$B116)-1),WP!$E$2:$E$23,0),1))),INDEX(WP!$A$2:$F$23,MATCH(Results!$B116,WP!$E$2:$E$23,0),1)),"")</f>
        <v/>
      </c>
      <c r="D116" s="12" t="str">
        <f>IFERROR(IFERROR(IF(RIGHT(INDEX(WP!$A$2:$F$23,MATCH(IF(FIND("_",$B116)&gt;0,LEFT($B116,FIND("_",$B116)-1)),WP!$E$2:$E$23,0),2),6)="Series",LEFT(INDEX(WP!$A$2:$F$23,MATCH(IF(FIND("_",$B116)&gt;0,LEFT($B116,FIND("_",$B116)-1)),WP!$E$2:$E$23,0),2),5),""),IF(RIGHT(INDEX(WP!$A$2:$F$23,MATCH($B116,WP!$E$2:$E$23,0),2),6)="Series",LEFT(INDEX(WP!$A$2:$F$23,MATCH($B116,WP!$E$2:$E$23,0),2),5),"")),"")</f>
        <v/>
      </c>
      <c r="E116" s="17" t="str">
        <f>IFERROR(VLOOKUP(VALUE($D116),Series!$B$3:$F$11,2,0),"")</f>
        <v/>
      </c>
      <c r="F116" s="12" t="str">
        <f>_xlfn.IFNA(IF(IF($D116&lt;&gt;"",COUNTIF($E:$E,"="&amp;$D116),"")="",IF(RIGHT(IFERROR(IF(FIND("_",$B116)&gt;0,INDEX(WP!$A$2:$F$23,MATCH(LEFT($B116,FIND("_",$B116)-1),WP!$E$2:$E$23,0),2),IF(FIND("-",$B116)&gt;0,INDEX(WP!$A$2:$F$23,MATCH(LEFT($B116,FIND("_",$B116)-1),WP!$E$2:$E$23,0),2))),INDEX(WP!$A$2:$F$23,MATCH(Results!$B116,WP!$E$2:$E$23,0),2)),6)="Series",LEFT(IFERROR(IF(FIND("_",$B116)&gt;0,INDEX(WP!$A$2:$F$23,MATCH(LEFT($B116,FIND("_",$B116)-1),WP!$E$2:$E$23,0),2),IF(FIND("-",$B116)&gt;0,INDEX(WP!$A$2:$F$23,MATCH(LEFT($B116,FIND("_",$B116)-1),WP!$E$2:$E$23,0),2))),INDEX(WP!$A$2:$F$23,MATCH(Results!$B116,WP!$E$2:$E$23,0),2)),5),(IFERROR(IF(FIND("_",$B116)&gt;0,INDEX(WP!$A$2:$F$23,MATCH(LEFT($B116,FIND("_",$B116)-1),WP!$E$2:$E$23,0),2),IF(FIND("-",$B116)&gt;0,INDEX(WP!$A$2:$F$23,MATCH(LEFT($B116,FIND("_",$B116)-1),WP!$E$2:$E$23,0),2))),INDEX(WP!$A$2:$F$23,MATCH(Results!$B116,WP!$E$2:$E$23,0),2)))),IF(RIGHT(IFERROR(IF(FIND("_",$B116)&gt;0,INDEX(WP!$A$2:$F$23,MATCH(LEFT($B116,FIND("_",$B116)-1),WP!$E$2:$E$23,0),2),IF(FIND("-",$B116)&gt;0,INDEX(WP!$A$2:$F$23,MATCH(LEFT($B116,FIND("_",$B116)-1),WP!$E$2:$E$23,0),2))),INDEX(WP!$A$2:$F$23,MATCH(Results!$B116,WP!$E$2:$E$23,0),2)),6)="Series",LEFT(IFERROR(IF(FIND("_",$B116)&gt;0,INDEX(WP!$A$2:$F$23,MATCH(LEFT($B116,FIND("_",$B116)-1),WP!$E$2:$E$23,0),2),IF(FIND("-",$B116)&gt;0,INDEX(WP!$A$2:$F$23,MATCH(LEFT($B116,FIND("_",$B116)-1),WP!$E$2:$E$23,0),2))),INDEX(WP!$A$2:$F$23,MATCH(Results!$B116,WP!$E$2:$E$23,0),2)),5),(IFERROR(IF(FIND("_",$B116)&gt;0,INDEX(WP!$A$2:$F$23,MATCH(LEFT($B116,FIND("_",$B116)-1),WP!$E$2:$E$23,0),2),IF(FIND("-",$B116)&gt;0,INDEX(WP!$A$2:$F$23,MATCH(LEFT($B116,FIND("_",$B116)-1),WP!$E$2:$E$23,0),2))),INDEX(WP!$A$2:$F$23,MATCH(Results!$B116,WP!$E$2:$E$23,0),2))))&amp;"-"&amp;$I116),"")</f>
        <v/>
      </c>
      <c r="G116" s="17" t="str">
        <f>IF(LEN(_xlfn.IFNA(IF(IFERROR(IF(FIND("_",$B116)&gt;0,MID($B116,FIND("_",$B116)+1,LEN($B116)),IF(FIND("-",$B116)&gt;0,MID($B116,FIND("-",$B116)+1,LEN($B116)))),"")="",IFERROR(VLOOKUP($F116,WP!$B$2:$C$23,2,0),VLOOKUP($C116,Series!$A$3:$F$11,6,0)),IFERROR(VLOOKUP($F116,WP!$B$2:$C$23,2,0),VLOOKUP($C116,Series!$A$3:$F$11,6,0))&amp;" - "&amp;(IFERROR(IF(FIND("_",$B116)&gt;0,MID($B116,FIND("_",$B116)+1,LEN($B116)),IF(FIND("-",$B116)&gt;0,MID($B116,FIND("-",$B116)+1,LEN($B116)))),""))),""))&lt;64,_xlfn.IFNA(IF(IFERROR(IF(FIND("_",$B116)&gt;0,MID($B116,FIND("_",$B116)+1,LEN($B116)),IF(FIND("-",$B116)&gt;0,MID($B116,FIND("-",$B116)+1,LEN($B116)))),"")="",IFERROR(VLOOKUP($F116,WP!$B$2:$C$23,2,0),VLOOKUP($C116,Series!$A$3:$F$11,6,0)),IFERROR(VLOOKUP($F116,WP!$B$2:$C$23,2,0),VLOOKUP($C116,Series!$A$3:$F$11,6,0))&amp;" - "&amp;(IFERROR(IF(FIND("_",$B116)&gt;0,MID($B116,FIND("_",$B116)+1,LEN($B116)),IF(FIND("-",$B116)&gt;0,MID($B116,FIND("-",$B116)+1,LEN($B116)))),""))),""),LEFT((_xlfn.IFNA(IF(IFERROR(IF(FIND("_",$B116)&gt;0,MID($B116,FIND("_",$B116)+1,LEN($B116)),IF(FIND("-",$B116)&gt;0,MID($B116,FIND("-",$B116)+1,LEN($B116)))),"")="",IFERROR(VLOOKUP($F116,WP!$B$2:$C$23,2,0),VLOOKUP($C116,Series!$A$3:$F$11,6,0)),IFERROR(VLOOKUP($F116,WP!$B$2:$C$23,2,0),VLOOKUP($C116,Series!$A$3:$F$11,6,0))&amp;" - "&amp;(IFERROR(IF(FIND("_",$B116)&gt;0,MID($B116,FIND("_",$B116)+1,LEN($B116)),IF(FIND("-",$B116)&gt;0,MID($B116,FIND("-",$B116)+1,LEN($B116)))),""))),"")),64))</f>
        <v/>
      </c>
      <c r="H116" s="12"/>
      <c r="I116" s="12" t="str">
        <f>IF($D116&lt;&gt;"",COUNTIF($D$7:$D116,"="&amp;$D116),"")</f>
        <v/>
      </c>
      <c r="J116"/>
      <c r="K116" s="8"/>
      <c r="L116"/>
    </row>
    <row r="117" spans="1:12" x14ac:dyDescent="0.3">
      <c r="A117" s="1"/>
      <c r="B117" s="26"/>
      <c r="C117" s="12" t="str">
        <f>_xlfn.IFNA(IFERROR(IF(FIND("_",$B117)&gt;0,INDEX(WP!$A$2:$F$23,MATCH(LEFT($B117,FIND("_",$B117)-1),WP!$E$2:$E$23,0),1),IF(FIND("-",$B117)&gt;0,INDEX(WP!$A$2:$F$23,MATCH(LEFT($B117,FIND("_",$B117)-1),WP!$E$2:$E$23,0),1))),INDEX(WP!$A$2:$F$23,MATCH(Results!$B117,WP!$E$2:$E$23,0),1)),"")</f>
        <v/>
      </c>
      <c r="D117" s="12" t="str">
        <f>IFERROR(IFERROR(IF(RIGHT(INDEX(WP!$A$2:$F$23,MATCH(IF(FIND("_",$B117)&gt;0,LEFT($B117,FIND("_",$B117)-1)),WP!$E$2:$E$23,0),2),6)="Series",LEFT(INDEX(WP!$A$2:$F$23,MATCH(IF(FIND("_",$B117)&gt;0,LEFT($B117,FIND("_",$B117)-1)),WP!$E$2:$E$23,0),2),5),""),IF(RIGHT(INDEX(WP!$A$2:$F$23,MATCH($B117,WP!$E$2:$E$23,0),2),6)="Series",LEFT(INDEX(WP!$A$2:$F$23,MATCH($B117,WP!$E$2:$E$23,0),2),5),"")),"")</f>
        <v/>
      </c>
      <c r="E117" s="17" t="str">
        <f>IFERROR(VLOOKUP(VALUE($D117),Series!$B$3:$F$11,2,0),"")</f>
        <v/>
      </c>
      <c r="F117" s="12" t="str">
        <f>_xlfn.IFNA(IF(IF($D117&lt;&gt;"",COUNTIF($E:$E,"="&amp;$D117),"")="",IF(RIGHT(IFERROR(IF(FIND("_",$B117)&gt;0,INDEX(WP!$A$2:$F$23,MATCH(LEFT($B117,FIND("_",$B117)-1),WP!$E$2:$E$23,0),2),IF(FIND("-",$B117)&gt;0,INDEX(WP!$A$2:$F$23,MATCH(LEFT($B117,FIND("_",$B117)-1),WP!$E$2:$E$23,0),2))),INDEX(WP!$A$2:$F$23,MATCH(Results!$B117,WP!$E$2:$E$23,0),2)),6)="Series",LEFT(IFERROR(IF(FIND("_",$B117)&gt;0,INDEX(WP!$A$2:$F$23,MATCH(LEFT($B117,FIND("_",$B117)-1),WP!$E$2:$E$23,0),2),IF(FIND("-",$B117)&gt;0,INDEX(WP!$A$2:$F$23,MATCH(LEFT($B117,FIND("_",$B117)-1),WP!$E$2:$E$23,0),2))),INDEX(WP!$A$2:$F$23,MATCH(Results!$B117,WP!$E$2:$E$23,0),2)),5),(IFERROR(IF(FIND("_",$B117)&gt;0,INDEX(WP!$A$2:$F$23,MATCH(LEFT($B117,FIND("_",$B117)-1),WP!$E$2:$E$23,0),2),IF(FIND("-",$B117)&gt;0,INDEX(WP!$A$2:$F$23,MATCH(LEFT($B117,FIND("_",$B117)-1),WP!$E$2:$E$23,0),2))),INDEX(WP!$A$2:$F$23,MATCH(Results!$B117,WP!$E$2:$E$23,0),2)))),IF(RIGHT(IFERROR(IF(FIND("_",$B117)&gt;0,INDEX(WP!$A$2:$F$23,MATCH(LEFT($B117,FIND("_",$B117)-1),WP!$E$2:$E$23,0),2),IF(FIND("-",$B117)&gt;0,INDEX(WP!$A$2:$F$23,MATCH(LEFT($B117,FIND("_",$B117)-1),WP!$E$2:$E$23,0),2))),INDEX(WP!$A$2:$F$23,MATCH(Results!$B117,WP!$E$2:$E$23,0),2)),6)="Series",LEFT(IFERROR(IF(FIND("_",$B117)&gt;0,INDEX(WP!$A$2:$F$23,MATCH(LEFT($B117,FIND("_",$B117)-1),WP!$E$2:$E$23,0),2),IF(FIND("-",$B117)&gt;0,INDEX(WP!$A$2:$F$23,MATCH(LEFT($B117,FIND("_",$B117)-1),WP!$E$2:$E$23,0),2))),INDEX(WP!$A$2:$F$23,MATCH(Results!$B117,WP!$E$2:$E$23,0),2)),5),(IFERROR(IF(FIND("_",$B117)&gt;0,INDEX(WP!$A$2:$F$23,MATCH(LEFT($B117,FIND("_",$B117)-1),WP!$E$2:$E$23,0),2),IF(FIND("-",$B117)&gt;0,INDEX(WP!$A$2:$F$23,MATCH(LEFT($B117,FIND("_",$B117)-1),WP!$E$2:$E$23,0),2))),INDEX(WP!$A$2:$F$23,MATCH(Results!$B117,WP!$E$2:$E$23,0),2))))&amp;"-"&amp;$I117),"")</f>
        <v/>
      </c>
      <c r="G117" s="17" t="str">
        <f>IF(LEN(_xlfn.IFNA(IF(IFERROR(IF(FIND("_",$B117)&gt;0,MID($B117,FIND("_",$B117)+1,LEN($B117)),IF(FIND("-",$B117)&gt;0,MID($B117,FIND("-",$B117)+1,LEN($B117)))),"")="",IFERROR(VLOOKUP($F117,WP!$B$2:$C$23,2,0),VLOOKUP($C117,Series!$A$3:$F$11,6,0)),IFERROR(VLOOKUP($F117,WP!$B$2:$C$23,2,0),VLOOKUP($C117,Series!$A$3:$F$11,6,0))&amp;" - "&amp;(IFERROR(IF(FIND("_",$B117)&gt;0,MID($B117,FIND("_",$B117)+1,LEN($B117)),IF(FIND("-",$B117)&gt;0,MID($B117,FIND("-",$B117)+1,LEN($B117)))),""))),""))&lt;64,_xlfn.IFNA(IF(IFERROR(IF(FIND("_",$B117)&gt;0,MID($B117,FIND("_",$B117)+1,LEN($B117)),IF(FIND("-",$B117)&gt;0,MID($B117,FIND("-",$B117)+1,LEN($B117)))),"")="",IFERROR(VLOOKUP($F117,WP!$B$2:$C$23,2,0),VLOOKUP($C117,Series!$A$3:$F$11,6,0)),IFERROR(VLOOKUP($F117,WP!$B$2:$C$23,2,0),VLOOKUP($C117,Series!$A$3:$F$11,6,0))&amp;" - "&amp;(IFERROR(IF(FIND("_",$B117)&gt;0,MID($B117,FIND("_",$B117)+1,LEN($B117)),IF(FIND("-",$B117)&gt;0,MID($B117,FIND("-",$B117)+1,LEN($B117)))),""))),""),LEFT((_xlfn.IFNA(IF(IFERROR(IF(FIND("_",$B117)&gt;0,MID($B117,FIND("_",$B117)+1,LEN($B117)),IF(FIND("-",$B117)&gt;0,MID($B117,FIND("-",$B117)+1,LEN($B117)))),"")="",IFERROR(VLOOKUP($F117,WP!$B$2:$C$23,2,0),VLOOKUP($C117,Series!$A$3:$F$11,6,0)),IFERROR(VLOOKUP($F117,WP!$B$2:$C$23,2,0),VLOOKUP($C117,Series!$A$3:$F$11,6,0))&amp;" - "&amp;(IFERROR(IF(FIND("_",$B117)&gt;0,MID($B117,FIND("_",$B117)+1,LEN($B117)),IF(FIND("-",$B117)&gt;0,MID($B117,FIND("-",$B117)+1,LEN($B117)))),""))),"")),64))</f>
        <v/>
      </c>
      <c r="H117" s="12"/>
      <c r="I117" s="12" t="str">
        <f>IF($D117&lt;&gt;"",COUNTIF($D$7:$D117,"="&amp;$D117),"")</f>
        <v/>
      </c>
      <c r="J117"/>
      <c r="K117" s="8"/>
      <c r="L117"/>
    </row>
    <row r="118" spans="1:12" x14ac:dyDescent="0.3">
      <c r="A118" s="1"/>
      <c r="B118" s="26"/>
      <c r="C118" s="12" t="str">
        <f>_xlfn.IFNA(IFERROR(IF(FIND("_",$B118)&gt;0,INDEX(WP!$A$2:$F$23,MATCH(LEFT($B118,FIND("_",$B118)-1),WP!$E$2:$E$23,0),1),IF(FIND("-",$B118)&gt;0,INDEX(WP!$A$2:$F$23,MATCH(LEFT($B118,FIND("_",$B118)-1),WP!$E$2:$E$23,0),1))),INDEX(WP!$A$2:$F$23,MATCH(Results!$B118,WP!$E$2:$E$23,0),1)),"")</f>
        <v/>
      </c>
      <c r="D118" s="12" t="str">
        <f>IFERROR(IFERROR(IF(RIGHT(INDEX(WP!$A$2:$F$23,MATCH(IF(FIND("_",$B118)&gt;0,LEFT($B118,FIND("_",$B118)-1)),WP!$E$2:$E$23,0),2),6)="Series",LEFT(INDEX(WP!$A$2:$F$23,MATCH(IF(FIND("_",$B118)&gt;0,LEFT($B118,FIND("_",$B118)-1)),WP!$E$2:$E$23,0),2),5),""),IF(RIGHT(INDEX(WP!$A$2:$F$23,MATCH($B118,WP!$E$2:$E$23,0),2),6)="Series",LEFT(INDEX(WP!$A$2:$F$23,MATCH($B118,WP!$E$2:$E$23,0),2),5),"")),"")</f>
        <v/>
      </c>
      <c r="E118" s="17" t="str">
        <f>IFERROR(VLOOKUP(VALUE($D118),Series!$B$3:$F$11,2,0),"")</f>
        <v/>
      </c>
      <c r="F118" s="12" t="str">
        <f>_xlfn.IFNA(IF(IF($D118&lt;&gt;"",COUNTIF($E:$E,"="&amp;$D118),"")="",IF(RIGHT(IFERROR(IF(FIND("_",$B118)&gt;0,INDEX(WP!$A$2:$F$23,MATCH(LEFT($B118,FIND("_",$B118)-1),WP!$E$2:$E$23,0),2),IF(FIND("-",$B118)&gt;0,INDEX(WP!$A$2:$F$23,MATCH(LEFT($B118,FIND("_",$B118)-1),WP!$E$2:$E$23,0),2))),INDEX(WP!$A$2:$F$23,MATCH(Results!$B118,WP!$E$2:$E$23,0),2)),6)="Series",LEFT(IFERROR(IF(FIND("_",$B118)&gt;0,INDEX(WP!$A$2:$F$23,MATCH(LEFT($B118,FIND("_",$B118)-1),WP!$E$2:$E$23,0),2),IF(FIND("-",$B118)&gt;0,INDEX(WP!$A$2:$F$23,MATCH(LEFT($B118,FIND("_",$B118)-1),WP!$E$2:$E$23,0),2))),INDEX(WP!$A$2:$F$23,MATCH(Results!$B118,WP!$E$2:$E$23,0),2)),5),(IFERROR(IF(FIND("_",$B118)&gt;0,INDEX(WP!$A$2:$F$23,MATCH(LEFT($B118,FIND("_",$B118)-1),WP!$E$2:$E$23,0),2),IF(FIND("-",$B118)&gt;0,INDEX(WP!$A$2:$F$23,MATCH(LEFT($B118,FIND("_",$B118)-1),WP!$E$2:$E$23,0),2))),INDEX(WP!$A$2:$F$23,MATCH(Results!$B118,WP!$E$2:$E$23,0),2)))),IF(RIGHT(IFERROR(IF(FIND("_",$B118)&gt;0,INDEX(WP!$A$2:$F$23,MATCH(LEFT($B118,FIND("_",$B118)-1),WP!$E$2:$E$23,0),2),IF(FIND("-",$B118)&gt;0,INDEX(WP!$A$2:$F$23,MATCH(LEFT($B118,FIND("_",$B118)-1),WP!$E$2:$E$23,0),2))),INDEX(WP!$A$2:$F$23,MATCH(Results!$B118,WP!$E$2:$E$23,0),2)),6)="Series",LEFT(IFERROR(IF(FIND("_",$B118)&gt;0,INDEX(WP!$A$2:$F$23,MATCH(LEFT($B118,FIND("_",$B118)-1),WP!$E$2:$E$23,0),2),IF(FIND("-",$B118)&gt;0,INDEX(WP!$A$2:$F$23,MATCH(LEFT($B118,FIND("_",$B118)-1),WP!$E$2:$E$23,0),2))),INDEX(WP!$A$2:$F$23,MATCH(Results!$B118,WP!$E$2:$E$23,0),2)),5),(IFERROR(IF(FIND("_",$B118)&gt;0,INDEX(WP!$A$2:$F$23,MATCH(LEFT($B118,FIND("_",$B118)-1),WP!$E$2:$E$23,0),2),IF(FIND("-",$B118)&gt;0,INDEX(WP!$A$2:$F$23,MATCH(LEFT($B118,FIND("_",$B118)-1),WP!$E$2:$E$23,0),2))),INDEX(WP!$A$2:$F$23,MATCH(Results!$B118,WP!$E$2:$E$23,0),2))))&amp;"-"&amp;$I118),"")</f>
        <v/>
      </c>
      <c r="G118" s="17" t="str">
        <f>IF(LEN(_xlfn.IFNA(IF(IFERROR(IF(FIND("_",$B118)&gt;0,MID($B118,FIND("_",$B118)+1,LEN($B118)),IF(FIND("-",$B118)&gt;0,MID($B118,FIND("-",$B118)+1,LEN($B118)))),"")="",IFERROR(VLOOKUP($F118,WP!$B$2:$C$23,2,0),VLOOKUP($C118,Series!$A$3:$F$11,6,0)),IFERROR(VLOOKUP($F118,WP!$B$2:$C$23,2,0),VLOOKUP($C118,Series!$A$3:$F$11,6,0))&amp;" - "&amp;(IFERROR(IF(FIND("_",$B118)&gt;0,MID($B118,FIND("_",$B118)+1,LEN($B118)),IF(FIND("-",$B118)&gt;0,MID($B118,FIND("-",$B118)+1,LEN($B118)))),""))),""))&lt;64,_xlfn.IFNA(IF(IFERROR(IF(FIND("_",$B118)&gt;0,MID($B118,FIND("_",$B118)+1,LEN($B118)),IF(FIND("-",$B118)&gt;0,MID($B118,FIND("-",$B118)+1,LEN($B118)))),"")="",IFERROR(VLOOKUP($F118,WP!$B$2:$C$23,2,0),VLOOKUP($C118,Series!$A$3:$F$11,6,0)),IFERROR(VLOOKUP($F118,WP!$B$2:$C$23,2,0),VLOOKUP($C118,Series!$A$3:$F$11,6,0))&amp;" - "&amp;(IFERROR(IF(FIND("_",$B118)&gt;0,MID($B118,FIND("_",$B118)+1,LEN($B118)),IF(FIND("-",$B118)&gt;0,MID($B118,FIND("-",$B118)+1,LEN($B118)))),""))),""),LEFT((_xlfn.IFNA(IF(IFERROR(IF(FIND("_",$B118)&gt;0,MID($B118,FIND("_",$B118)+1,LEN($B118)),IF(FIND("-",$B118)&gt;0,MID($B118,FIND("-",$B118)+1,LEN($B118)))),"")="",IFERROR(VLOOKUP($F118,WP!$B$2:$C$23,2,0),VLOOKUP($C118,Series!$A$3:$F$11,6,0)),IFERROR(VLOOKUP($F118,WP!$B$2:$C$23,2,0),VLOOKUP($C118,Series!$A$3:$F$11,6,0))&amp;" - "&amp;(IFERROR(IF(FIND("_",$B118)&gt;0,MID($B118,FIND("_",$B118)+1,LEN($B118)),IF(FIND("-",$B118)&gt;0,MID($B118,FIND("-",$B118)+1,LEN($B118)))),""))),"")),64))</f>
        <v/>
      </c>
      <c r="H118" s="12"/>
      <c r="I118" s="12" t="str">
        <f>IF($D118&lt;&gt;"",COUNTIF($D$7:$D118,"="&amp;$D118),"")</f>
        <v/>
      </c>
      <c r="J118"/>
      <c r="K118" s="8"/>
      <c r="L118"/>
    </row>
    <row r="119" spans="1:12" x14ac:dyDescent="0.3">
      <c r="A119" s="1"/>
      <c r="B119" s="26"/>
      <c r="C119" s="12" t="str">
        <f>_xlfn.IFNA(IFERROR(IF(FIND("_",$B119)&gt;0,INDEX(WP!$A$2:$F$23,MATCH(LEFT($B119,FIND("_",$B119)-1),WP!$E$2:$E$23,0),1),IF(FIND("-",$B119)&gt;0,INDEX(WP!$A$2:$F$23,MATCH(LEFT($B119,FIND("_",$B119)-1),WP!$E$2:$E$23,0),1))),INDEX(WP!$A$2:$F$23,MATCH(Results!$B119,WP!$E$2:$E$23,0),1)),"")</f>
        <v/>
      </c>
      <c r="D119" s="12" t="str">
        <f>IFERROR(IFERROR(IF(RIGHT(INDEX(WP!$A$2:$F$23,MATCH(IF(FIND("_",$B119)&gt;0,LEFT($B119,FIND("_",$B119)-1)),WP!$E$2:$E$23,0),2),6)="Series",LEFT(INDEX(WP!$A$2:$F$23,MATCH(IF(FIND("_",$B119)&gt;0,LEFT($B119,FIND("_",$B119)-1)),WP!$E$2:$E$23,0),2),5),""),IF(RIGHT(INDEX(WP!$A$2:$F$23,MATCH($B119,WP!$E$2:$E$23,0),2),6)="Series",LEFT(INDEX(WP!$A$2:$F$23,MATCH($B119,WP!$E$2:$E$23,0),2),5),"")),"")</f>
        <v/>
      </c>
      <c r="E119" s="17" t="str">
        <f>IFERROR(VLOOKUP(VALUE($D119),Series!$B$3:$F$11,2,0),"")</f>
        <v/>
      </c>
      <c r="F119" s="12" t="str">
        <f>_xlfn.IFNA(IF(IF($D119&lt;&gt;"",COUNTIF($E:$E,"="&amp;$D119),"")="",IF(RIGHT(IFERROR(IF(FIND("_",$B119)&gt;0,INDEX(WP!$A$2:$F$23,MATCH(LEFT($B119,FIND("_",$B119)-1),WP!$E$2:$E$23,0),2),IF(FIND("-",$B119)&gt;0,INDEX(WP!$A$2:$F$23,MATCH(LEFT($B119,FIND("_",$B119)-1),WP!$E$2:$E$23,0),2))),INDEX(WP!$A$2:$F$23,MATCH(Results!$B119,WP!$E$2:$E$23,0),2)),6)="Series",LEFT(IFERROR(IF(FIND("_",$B119)&gt;0,INDEX(WP!$A$2:$F$23,MATCH(LEFT($B119,FIND("_",$B119)-1),WP!$E$2:$E$23,0),2),IF(FIND("-",$B119)&gt;0,INDEX(WP!$A$2:$F$23,MATCH(LEFT($B119,FIND("_",$B119)-1),WP!$E$2:$E$23,0),2))),INDEX(WP!$A$2:$F$23,MATCH(Results!$B119,WP!$E$2:$E$23,0),2)),5),(IFERROR(IF(FIND("_",$B119)&gt;0,INDEX(WP!$A$2:$F$23,MATCH(LEFT($B119,FIND("_",$B119)-1),WP!$E$2:$E$23,0),2),IF(FIND("-",$B119)&gt;0,INDEX(WP!$A$2:$F$23,MATCH(LEFT($B119,FIND("_",$B119)-1),WP!$E$2:$E$23,0),2))),INDEX(WP!$A$2:$F$23,MATCH(Results!$B119,WP!$E$2:$E$23,0),2)))),IF(RIGHT(IFERROR(IF(FIND("_",$B119)&gt;0,INDEX(WP!$A$2:$F$23,MATCH(LEFT($B119,FIND("_",$B119)-1),WP!$E$2:$E$23,0),2),IF(FIND("-",$B119)&gt;0,INDEX(WP!$A$2:$F$23,MATCH(LEFT($B119,FIND("_",$B119)-1),WP!$E$2:$E$23,0),2))),INDEX(WP!$A$2:$F$23,MATCH(Results!$B119,WP!$E$2:$E$23,0),2)),6)="Series",LEFT(IFERROR(IF(FIND("_",$B119)&gt;0,INDEX(WP!$A$2:$F$23,MATCH(LEFT($B119,FIND("_",$B119)-1),WP!$E$2:$E$23,0),2),IF(FIND("-",$B119)&gt;0,INDEX(WP!$A$2:$F$23,MATCH(LEFT($B119,FIND("_",$B119)-1),WP!$E$2:$E$23,0),2))),INDEX(WP!$A$2:$F$23,MATCH(Results!$B119,WP!$E$2:$E$23,0),2)),5),(IFERROR(IF(FIND("_",$B119)&gt;0,INDEX(WP!$A$2:$F$23,MATCH(LEFT($B119,FIND("_",$B119)-1),WP!$E$2:$E$23,0),2),IF(FIND("-",$B119)&gt;0,INDEX(WP!$A$2:$F$23,MATCH(LEFT($B119,FIND("_",$B119)-1),WP!$E$2:$E$23,0),2))),INDEX(WP!$A$2:$F$23,MATCH(Results!$B119,WP!$E$2:$E$23,0),2))))&amp;"-"&amp;$I119),"")</f>
        <v/>
      </c>
      <c r="G119" s="17" t="str">
        <f>IF(LEN(_xlfn.IFNA(IF(IFERROR(IF(FIND("_",$B119)&gt;0,MID($B119,FIND("_",$B119)+1,LEN($B119)),IF(FIND("-",$B119)&gt;0,MID($B119,FIND("-",$B119)+1,LEN($B119)))),"")="",IFERROR(VLOOKUP($F119,WP!$B$2:$C$23,2,0),VLOOKUP($C119,Series!$A$3:$F$11,6,0)),IFERROR(VLOOKUP($F119,WP!$B$2:$C$23,2,0),VLOOKUP($C119,Series!$A$3:$F$11,6,0))&amp;" - "&amp;(IFERROR(IF(FIND("_",$B119)&gt;0,MID($B119,FIND("_",$B119)+1,LEN($B119)),IF(FIND("-",$B119)&gt;0,MID($B119,FIND("-",$B119)+1,LEN($B119)))),""))),""))&lt;64,_xlfn.IFNA(IF(IFERROR(IF(FIND("_",$B119)&gt;0,MID($B119,FIND("_",$B119)+1,LEN($B119)),IF(FIND("-",$B119)&gt;0,MID($B119,FIND("-",$B119)+1,LEN($B119)))),"")="",IFERROR(VLOOKUP($F119,WP!$B$2:$C$23,2,0),VLOOKUP($C119,Series!$A$3:$F$11,6,0)),IFERROR(VLOOKUP($F119,WP!$B$2:$C$23,2,0),VLOOKUP($C119,Series!$A$3:$F$11,6,0))&amp;" - "&amp;(IFERROR(IF(FIND("_",$B119)&gt;0,MID($B119,FIND("_",$B119)+1,LEN($B119)),IF(FIND("-",$B119)&gt;0,MID($B119,FIND("-",$B119)+1,LEN($B119)))),""))),""),LEFT((_xlfn.IFNA(IF(IFERROR(IF(FIND("_",$B119)&gt;0,MID($B119,FIND("_",$B119)+1,LEN($B119)),IF(FIND("-",$B119)&gt;0,MID($B119,FIND("-",$B119)+1,LEN($B119)))),"")="",IFERROR(VLOOKUP($F119,WP!$B$2:$C$23,2,0),VLOOKUP($C119,Series!$A$3:$F$11,6,0)),IFERROR(VLOOKUP($F119,WP!$B$2:$C$23,2,0),VLOOKUP($C119,Series!$A$3:$F$11,6,0))&amp;" - "&amp;(IFERROR(IF(FIND("_",$B119)&gt;0,MID($B119,FIND("_",$B119)+1,LEN($B119)),IF(FIND("-",$B119)&gt;0,MID($B119,FIND("-",$B119)+1,LEN($B119)))),""))),"")),64))</f>
        <v/>
      </c>
      <c r="H119" s="12"/>
      <c r="I119" s="12" t="str">
        <f>IF($D119&lt;&gt;"",COUNTIF($D$7:$D119,"="&amp;$D119),"")</f>
        <v/>
      </c>
      <c r="J119"/>
      <c r="K119" s="8"/>
      <c r="L119"/>
    </row>
    <row r="120" spans="1:12" x14ac:dyDescent="0.3">
      <c r="A120" s="1"/>
      <c r="B120" s="26"/>
      <c r="C120" s="12" t="str">
        <f>_xlfn.IFNA(IFERROR(IF(FIND("_",$B120)&gt;0,INDEX(WP!$A$2:$F$23,MATCH(LEFT($B120,FIND("_",$B120)-1),WP!$E$2:$E$23,0),1),IF(FIND("-",$B120)&gt;0,INDEX(WP!$A$2:$F$23,MATCH(LEFT($B120,FIND("_",$B120)-1),WP!$E$2:$E$23,0),1))),INDEX(WP!$A$2:$F$23,MATCH(Results!$B120,WP!$E$2:$E$23,0),1)),"")</f>
        <v/>
      </c>
      <c r="D120" s="12" t="str">
        <f>IFERROR(IFERROR(IF(RIGHT(INDEX(WP!$A$2:$F$23,MATCH(IF(FIND("_",$B120)&gt;0,LEFT($B120,FIND("_",$B120)-1)),WP!$E$2:$E$23,0),2),6)="Series",LEFT(INDEX(WP!$A$2:$F$23,MATCH(IF(FIND("_",$B120)&gt;0,LEFT($B120,FIND("_",$B120)-1)),WP!$E$2:$E$23,0),2),5),""),IF(RIGHT(INDEX(WP!$A$2:$F$23,MATCH($B120,WP!$E$2:$E$23,0),2),6)="Series",LEFT(INDEX(WP!$A$2:$F$23,MATCH($B120,WP!$E$2:$E$23,0),2),5),"")),"")</f>
        <v/>
      </c>
      <c r="E120" s="17" t="str">
        <f>IFERROR(VLOOKUP(VALUE($D120),Series!$B$3:$F$11,2,0),"")</f>
        <v/>
      </c>
      <c r="F120" s="12" t="str">
        <f>_xlfn.IFNA(IF(IF($D120&lt;&gt;"",COUNTIF($E:$E,"="&amp;$D120),"")="",IF(RIGHT(IFERROR(IF(FIND("_",$B120)&gt;0,INDEX(WP!$A$2:$F$23,MATCH(LEFT($B120,FIND("_",$B120)-1),WP!$E$2:$E$23,0),2),IF(FIND("-",$B120)&gt;0,INDEX(WP!$A$2:$F$23,MATCH(LEFT($B120,FIND("_",$B120)-1),WP!$E$2:$E$23,0),2))),INDEX(WP!$A$2:$F$23,MATCH(Results!$B120,WP!$E$2:$E$23,0),2)),6)="Series",LEFT(IFERROR(IF(FIND("_",$B120)&gt;0,INDEX(WP!$A$2:$F$23,MATCH(LEFT($B120,FIND("_",$B120)-1),WP!$E$2:$E$23,0),2),IF(FIND("-",$B120)&gt;0,INDEX(WP!$A$2:$F$23,MATCH(LEFT($B120,FIND("_",$B120)-1),WP!$E$2:$E$23,0),2))),INDEX(WP!$A$2:$F$23,MATCH(Results!$B120,WP!$E$2:$E$23,0),2)),5),(IFERROR(IF(FIND("_",$B120)&gt;0,INDEX(WP!$A$2:$F$23,MATCH(LEFT($B120,FIND("_",$B120)-1),WP!$E$2:$E$23,0),2),IF(FIND("-",$B120)&gt;0,INDEX(WP!$A$2:$F$23,MATCH(LEFT($B120,FIND("_",$B120)-1),WP!$E$2:$E$23,0),2))),INDEX(WP!$A$2:$F$23,MATCH(Results!$B120,WP!$E$2:$E$23,0),2)))),IF(RIGHT(IFERROR(IF(FIND("_",$B120)&gt;0,INDEX(WP!$A$2:$F$23,MATCH(LEFT($B120,FIND("_",$B120)-1),WP!$E$2:$E$23,0),2),IF(FIND("-",$B120)&gt;0,INDEX(WP!$A$2:$F$23,MATCH(LEFT($B120,FIND("_",$B120)-1),WP!$E$2:$E$23,0),2))),INDEX(WP!$A$2:$F$23,MATCH(Results!$B120,WP!$E$2:$E$23,0),2)),6)="Series",LEFT(IFERROR(IF(FIND("_",$B120)&gt;0,INDEX(WP!$A$2:$F$23,MATCH(LEFT($B120,FIND("_",$B120)-1),WP!$E$2:$E$23,0),2),IF(FIND("-",$B120)&gt;0,INDEX(WP!$A$2:$F$23,MATCH(LEFT($B120,FIND("_",$B120)-1),WP!$E$2:$E$23,0),2))),INDEX(WP!$A$2:$F$23,MATCH(Results!$B120,WP!$E$2:$E$23,0),2)),5),(IFERROR(IF(FIND("_",$B120)&gt;0,INDEX(WP!$A$2:$F$23,MATCH(LEFT($B120,FIND("_",$B120)-1),WP!$E$2:$E$23,0),2),IF(FIND("-",$B120)&gt;0,INDEX(WP!$A$2:$F$23,MATCH(LEFT($B120,FIND("_",$B120)-1),WP!$E$2:$E$23,0),2))),INDEX(WP!$A$2:$F$23,MATCH(Results!$B120,WP!$E$2:$E$23,0),2))))&amp;"-"&amp;$I120),"")</f>
        <v/>
      </c>
      <c r="G120" s="17" t="str">
        <f>IF(LEN(_xlfn.IFNA(IF(IFERROR(IF(FIND("_",$B120)&gt;0,MID($B120,FIND("_",$B120)+1,LEN($B120)),IF(FIND("-",$B120)&gt;0,MID($B120,FIND("-",$B120)+1,LEN($B120)))),"")="",IFERROR(VLOOKUP($F120,WP!$B$2:$C$23,2,0),VLOOKUP($C120,Series!$A$3:$F$11,6,0)),IFERROR(VLOOKUP($F120,WP!$B$2:$C$23,2,0),VLOOKUP($C120,Series!$A$3:$F$11,6,0))&amp;" - "&amp;(IFERROR(IF(FIND("_",$B120)&gt;0,MID($B120,FIND("_",$B120)+1,LEN($B120)),IF(FIND("-",$B120)&gt;0,MID($B120,FIND("-",$B120)+1,LEN($B120)))),""))),""))&lt;64,_xlfn.IFNA(IF(IFERROR(IF(FIND("_",$B120)&gt;0,MID($B120,FIND("_",$B120)+1,LEN($B120)),IF(FIND("-",$B120)&gt;0,MID($B120,FIND("-",$B120)+1,LEN($B120)))),"")="",IFERROR(VLOOKUP($F120,WP!$B$2:$C$23,2,0),VLOOKUP($C120,Series!$A$3:$F$11,6,0)),IFERROR(VLOOKUP($F120,WP!$B$2:$C$23,2,0),VLOOKUP($C120,Series!$A$3:$F$11,6,0))&amp;" - "&amp;(IFERROR(IF(FIND("_",$B120)&gt;0,MID($B120,FIND("_",$B120)+1,LEN($B120)),IF(FIND("-",$B120)&gt;0,MID($B120,FIND("-",$B120)+1,LEN($B120)))),""))),""),LEFT((_xlfn.IFNA(IF(IFERROR(IF(FIND("_",$B120)&gt;0,MID($B120,FIND("_",$B120)+1,LEN($B120)),IF(FIND("-",$B120)&gt;0,MID($B120,FIND("-",$B120)+1,LEN($B120)))),"")="",IFERROR(VLOOKUP($F120,WP!$B$2:$C$23,2,0),VLOOKUP($C120,Series!$A$3:$F$11,6,0)),IFERROR(VLOOKUP($F120,WP!$B$2:$C$23,2,0),VLOOKUP($C120,Series!$A$3:$F$11,6,0))&amp;" - "&amp;(IFERROR(IF(FIND("_",$B120)&gt;0,MID($B120,FIND("_",$B120)+1,LEN($B120)),IF(FIND("-",$B120)&gt;0,MID($B120,FIND("-",$B120)+1,LEN($B120)))),""))),"")),64))</f>
        <v/>
      </c>
      <c r="H120" s="12"/>
      <c r="I120" s="12" t="str">
        <f>IF($D120&lt;&gt;"",COUNTIF($D$7:$D120,"="&amp;$D120),"")</f>
        <v/>
      </c>
      <c r="J120"/>
      <c r="K120" s="8"/>
      <c r="L120"/>
    </row>
    <row r="121" spans="1:12" x14ac:dyDescent="0.3">
      <c r="A121" s="1"/>
      <c r="B121" s="26"/>
      <c r="C121" s="12" t="str">
        <f>_xlfn.IFNA(IFERROR(IF(FIND("_",$B121)&gt;0,INDEX(WP!$A$2:$F$23,MATCH(LEFT($B121,FIND("_",$B121)-1),WP!$E$2:$E$23,0),1),IF(FIND("-",$B121)&gt;0,INDEX(WP!$A$2:$F$23,MATCH(LEFT($B121,FIND("_",$B121)-1),WP!$E$2:$E$23,0),1))),INDEX(WP!$A$2:$F$23,MATCH(Results!$B121,WP!$E$2:$E$23,0),1)),"")</f>
        <v/>
      </c>
      <c r="D121" s="12" t="str">
        <f>IFERROR(IFERROR(IF(RIGHT(INDEX(WP!$A$2:$F$23,MATCH(IF(FIND("_",$B121)&gt;0,LEFT($B121,FIND("_",$B121)-1)),WP!$E$2:$E$23,0),2),6)="Series",LEFT(INDEX(WP!$A$2:$F$23,MATCH(IF(FIND("_",$B121)&gt;0,LEFT($B121,FIND("_",$B121)-1)),WP!$E$2:$E$23,0),2),5),""),IF(RIGHT(INDEX(WP!$A$2:$F$23,MATCH($B121,WP!$E$2:$E$23,0),2),6)="Series",LEFT(INDEX(WP!$A$2:$F$23,MATCH($B121,WP!$E$2:$E$23,0),2),5),"")),"")</f>
        <v/>
      </c>
      <c r="E121" s="17" t="str">
        <f>IFERROR(VLOOKUP(VALUE($D121),Series!$B$3:$F$11,2,0),"")</f>
        <v/>
      </c>
      <c r="F121" s="12" t="str">
        <f>_xlfn.IFNA(IF(IF($D121&lt;&gt;"",COUNTIF($E:$E,"="&amp;$D121),"")="",IF(RIGHT(IFERROR(IF(FIND("_",$B121)&gt;0,INDEX(WP!$A$2:$F$23,MATCH(LEFT($B121,FIND("_",$B121)-1),WP!$E$2:$E$23,0),2),IF(FIND("-",$B121)&gt;0,INDEX(WP!$A$2:$F$23,MATCH(LEFT($B121,FIND("_",$B121)-1),WP!$E$2:$E$23,0),2))),INDEX(WP!$A$2:$F$23,MATCH(Results!$B121,WP!$E$2:$E$23,0),2)),6)="Series",LEFT(IFERROR(IF(FIND("_",$B121)&gt;0,INDEX(WP!$A$2:$F$23,MATCH(LEFT($B121,FIND("_",$B121)-1),WP!$E$2:$E$23,0),2),IF(FIND("-",$B121)&gt;0,INDEX(WP!$A$2:$F$23,MATCH(LEFT($B121,FIND("_",$B121)-1),WP!$E$2:$E$23,0),2))),INDEX(WP!$A$2:$F$23,MATCH(Results!$B121,WP!$E$2:$E$23,0),2)),5),(IFERROR(IF(FIND("_",$B121)&gt;0,INDEX(WP!$A$2:$F$23,MATCH(LEFT($B121,FIND("_",$B121)-1),WP!$E$2:$E$23,0),2),IF(FIND("-",$B121)&gt;0,INDEX(WP!$A$2:$F$23,MATCH(LEFT($B121,FIND("_",$B121)-1),WP!$E$2:$E$23,0),2))),INDEX(WP!$A$2:$F$23,MATCH(Results!$B121,WP!$E$2:$E$23,0),2)))),IF(RIGHT(IFERROR(IF(FIND("_",$B121)&gt;0,INDEX(WP!$A$2:$F$23,MATCH(LEFT($B121,FIND("_",$B121)-1),WP!$E$2:$E$23,0),2),IF(FIND("-",$B121)&gt;0,INDEX(WP!$A$2:$F$23,MATCH(LEFT($B121,FIND("_",$B121)-1),WP!$E$2:$E$23,0),2))),INDEX(WP!$A$2:$F$23,MATCH(Results!$B121,WP!$E$2:$E$23,0),2)),6)="Series",LEFT(IFERROR(IF(FIND("_",$B121)&gt;0,INDEX(WP!$A$2:$F$23,MATCH(LEFT($B121,FIND("_",$B121)-1),WP!$E$2:$E$23,0),2),IF(FIND("-",$B121)&gt;0,INDEX(WP!$A$2:$F$23,MATCH(LEFT($B121,FIND("_",$B121)-1),WP!$E$2:$E$23,0),2))),INDEX(WP!$A$2:$F$23,MATCH(Results!$B121,WP!$E$2:$E$23,0),2)),5),(IFERROR(IF(FIND("_",$B121)&gt;0,INDEX(WP!$A$2:$F$23,MATCH(LEFT($B121,FIND("_",$B121)-1),WP!$E$2:$E$23,0),2),IF(FIND("-",$B121)&gt;0,INDEX(WP!$A$2:$F$23,MATCH(LEFT($B121,FIND("_",$B121)-1),WP!$E$2:$E$23,0),2))),INDEX(WP!$A$2:$F$23,MATCH(Results!$B121,WP!$E$2:$E$23,0),2))))&amp;"-"&amp;$I121),"")</f>
        <v/>
      </c>
      <c r="G121" s="17" t="str">
        <f>IF(LEN(_xlfn.IFNA(IF(IFERROR(IF(FIND("_",$B121)&gt;0,MID($B121,FIND("_",$B121)+1,LEN($B121)),IF(FIND("-",$B121)&gt;0,MID($B121,FIND("-",$B121)+1,LEN($B121)))),"")="",IFERROR(VLOOKUP($F121,WP!$B$2:$C$23,2,0),VLOOKUP($C121,Series!$A$3:$F$11,6,0)),IFERROR(VLOOKUP($F121,WP!$B$2:$C$23,2,0),VLOOKUP($C121,Series!$A$3:$F$11,6,0))&amp;" - "&amp;(IFERROR(IF(FIND("_",$B121)&gt;0,MID($B121,FIND("_",$B121)+1,LEN($B121)),IF(FIND("-",$B121)&gt;0,MID($B121,FIND("-",$B121)+1,LEN($B121)))),""))),""))&lt;64,_xlfn.IFNA(IF(IFERROR(IF(FIND("_",$B121)&gt;0,MID($B121,FIND("_",$B121)+1,LEN($B121)),IF(FIND("-",$B121)&gt;0,MID($B121,FIND("-",$B121)+1,LEN($B121)))),"")="",IFERROR(VLOOKUP($F121,WP!$B$2:$C$23,2,0),VLOOKUP($C121,Series!$A$3:$F$11,6,0)),IFERROR(VLOOKUP($F121,WP!$B$2:$C$23,2,0),VLOOKUP($C121,Series!$A$3:$F$11,6,0))&amp;" - "&amp;(IFERROR(IF(FIND("_",$B121)&gt;0,MID($B121,FIND("_",$B121)+1,LEN($B121)),IF(FIND("-",$B121)&gt;0,MID($B121,FIND("-",$B121)+1,LEN($B121)))),""))),""),LEFT((_xlfn.IFNA(IF(IFERROR(IF(FIND("_",$B121)&gt;0,MID($B121,FIND("_",$B121)+1,LEN($B121)),IF(FIND("-",$B121)&gt;0,MID($B121,FIND("-",$B121)+1,LEN($B121)))),"")="",IFERROR(VLOOKUP($F121,WP!$B$2:$C$23,2,0),VLOOKUP($C121,Series!$A$3:$F$11,6,0)),IFERROR(VLOOKUP($F121,WP!$B$2:$C$23,2,0),VLOOKUP($C121,Series!$A$3:$F$11,6,0))&amp;" - "&amp;(IFERROR(IF(FIND("_",$B121)&gt;0,MID($B121,FIND("_",$B121)+1,LEN($B121)),IF(FIND("-",$B121)&gt;0,MID($B121,FIND("-",$B121)+1,LEN($B121)))),""))),"")),64))</f>
        <v/>
      </c>
      <c r="H121" s="12"/>
      <c r="I121" s="12" t="str">
        <f>IF($D121&lt;&gt;"",COUNTIF($D$7:$D121,"="&amp;$D121),"")</f>
        <v/>
      </c>
      <c r="J121"/>
      <c r="K121" s="8"/>
      <c r="L121"/>
    </row>
    <row r="122" spans="1:12" x14ac:dyDescent="0.3">
      <c r="A122" s="1"/>
      <c r="B122" s="26"/>
      <c r="C122" s="12" t="str">
        <f>_xlfn.IFNA(IFERROR(IF(FIND("_",$B122)&gt;0,INDEX(WP!$A$2:$F$23,MATCH(LEFT($B122,FIND("_",$B122)-1),WP!$E$2:$E$23,0),1),IF(FIND("-",$B122)&gt;0,INDEX(WP!$A$2:$F$23,MATCH(LEFT($B122,FIND("_",$B122)-1),WP!$E$2:$E$23,0),1))),INDEX(WP!$A$2:$F$23,MATCH(Results!$B122,WP!$E$2:$E$23,0),1)),"")</f>
        <v/>
      </c>
      <c r="D122" s="12" t="str">
        <f>IFERROR(IFERROR(IF(RIGHT(INDEX(WP!$A$2:$F$23,MATCH(IF(FIND("_",$B122)&gt;0,LEFT($B122,FIND("_",$B122)-1)),WP!$E$2:$E$23,0),2),6)="Series",LEFT(INDEX(WP!$A$2:$F$23,MATCH(IF(FIND("_",$B122)&gt;0,LEFT($B122,FIND("_",$B122)-1)),WP!$E$2:$E$23,0),2),5),""),IF(RIGHT(INDEX(WP!$A$2:$F$23,MATCH($B122,WP!$E$2:$E$23,0),2),6)="Series",LEFT(INDEX(WP!$A$2:$F$23,MATCH($B122,WP!$E$2:$E$23,0),2),5),"")),"")</f>
        <v/>
      </c>
      <c r="E122" s="17" t="str">
        <f>IFERROR(VLOOKUP(VALUE($D122),Series!$B$3:$F$11,2,0),"")</f>
        <v/>
      </c>
      <c r="F122" s="12" t="str">
        <f>_xlfn.IFNA(IF(IF($D122&lt;&gt;"",COUNTIF($E:$E,"="&amp;$D122),"")="",IF(RIGHT(IFERROR(IF(FIND("_",$B122)&gt;0,INDEX(WP!$A$2:$F$23,MATCH(LEFT($B122,FIND("_",$B122)-1),WP!$E$2:$E$23,0),2),IF(FIND("-",$B122)&gt;0,INDEX(WP!$A$2:$F$23,MATCH(LEFT($B122,FIND("_",$B122)-1),WP!$E$2:$E$23,0),2))),INDEX(WP!$A$2:$F$23,MATCH(Results!$B122,WP!$E$2:$E$23,0),2)),6)="Series",LEFT(IFERROR(IF(FIND("_",$B122)&gt;0,INDEX(WP!$A$2:$F$23,MATCH(LEFT($B122,FIND("_",$B122)-1),WP!$E$2:$E$23,0),2),IF(FIND("-",$B122)&gt;0,INDEX(WP!$A$2:$F$23,MATCH(LEFT($B122,FIND("_",$B122)-1),WP!$E$2:$E$23,0),2))),INDEX(WP!$A$2:$F$23,MATCH(Results!$B122,WP!$E$2:$E$23,0),2)),5),(IFERROR(IF(FIND("_",$B122)&gt;0,INDEX(WP!$A$2:$F$23,MATCH(LEFT($B122,FIND("_",$B122)-1),WP!$E$2:$E$23,0),2),IF(FIND("-",$B122)&gt;0,INDEX(WP!$A$2:$F$23,MATCH(LEFT($B122,FIND("_",$B122)-1),WP!$E$2:$E$23,0),2))),INDEX(WP!$A$2:$F$23,MATCH(Results!$B122,WP!$E$2:$E$23,0),2)))),IF(RIGHT(IFERROR(IF(FIND("_",$B122)&gt;0,INDEX(WP!$A$2:$F$23,MATCH(LEFT($B122,FIND("_",$B122)-1),WP!$E$2:$E$23,0),2),IF(FIND("-",$B122)&gt;0,INDEX(WP!$A$2:$F$23,MATCH(LEFT($B122,FIND("_",$B122)-1),WP!$E$2:$E$23,0),2))),INDEX(WP!$A$2:$F$23,MATCH(Results!$B122,WP!$E$2:$E$23,0),2)),6)="Series",LEFT(IFERROR(IF(FIND("_",$B122)&gt;0,INDEX(WP!$A$2:$F$23,MATCH(LEFT($B122,FIND("_",$B122)-1),WP!$E$2:$E$23,0),2),IF(FIND("-",$B122)&gt;0,INDEX(WP!$A$2:$F$23,MATCH(LEFT($B122,FIND("_",$B122)-1),WP!$E$2:$E$23,0),2))),INDEX(WP!$A$2:$F$23,MATCH(Results!$B122,WP!$E$2:$E$23,0),2)),5),(IFERROR(IF(FIND("_",$B122)&gt;0,INDEX(WP!$A$2:$F$23,MATCH(LEFT($B122,FIND("_",$B122)-1),WP!$E$2:$E$23,0),2),IF(FIND("-",$B122)&gt;0,INDEX(WP!$A$2:$F$23,MATCH(LEFT($B122,FIND("_",$B122)-1),WP!$E$2:$E$23,0),2))),INDEX(WP!$A$2:$F$23,MATCH(Results!$B122,WP!$E$2:$E$23,0),2))))&amp;"-"&amp;$I122),"")</f>
        <v/>
      </c>
      <c r="G122" s="17" t="str">
        <f>IF(LEN(_xlfn.IFNA(IF(IFERROR(IF(FIND("_",$B122)&gt;0,MID($B122,FIND("_",$B122)+1,LEN($B122)),IF(FIND("-",$B122)&gt;0,MID($B122,FIND("-",$B122)+1,LEN($B122)))),"")="",IFERROR(VLOOKUP($F122,WP!$B$2:$C$23,2,0),VLOOKUP($C122,Series!$A$3:$F$11,6,0)),IFERROR(VLOOKUP($F122,WP!$B$2:$C$23,2,0),VLOOKUP($C122,Series!$A$3:$F$11,6,0))&amp;" - "&amp;(IFERROR(IF(FIND("_",$B122)&gt;0,MID($B122,FIND("_",$B122)+1,LEN($B122)),IF(FIND("-",$B122)&gt;0,MID($B122,FIND("-",$B122)+1,LEN($B122)))),""))),""))&lt;64,_xlfn.IFNA(IF(IFERROR(IF(FIND("_",$B122)&gt;0,MID($B122,FIND("_",$B122)+1,LEN($B122)),IF(FIND("-",$B122)&gt;0,MID($B122,FIND("-",$B122)+1,LEN($B122)))),"")="",IFERROR(VLOOKUP($F122,WP!$B$2:$C$23,2,0),VLOOKUP($C122,Series!$A$3:$F$11,6,0)),IFERROR(VLOOKUP($F122,WP!$B$2:$C$23,2,0),VLOOKUP($C122,Series!$A$3:$F$11,6,0))&amp;" - "&amp;(IFERROR(IF(FIND("_",$B122)&gt;0,MID($B122,FIND("_",$B122)+1,LEN($B122)),IF(FIND("-",$B122)&gt;0,MID($B122,FIND("-",$B122)+1,LEN($B122)))),""))),""),LEFT((_xlfn.IFNA(IF(IFERROR(IF(FIND("_",$B122)&gt;0,MID($B122,FIND("_",$B122)+1,LEN($B122)),IF(FIND("-",$B122)&gt;0,MID($B122,FIND("-",$B122)+1,LEN($B122)))),"")="",IFERROR(VLOOKUP($F122,WP!$B$2:$C$23,2,0),VLOOKUP($C122,Series!$A$3:$F$11,6,0)),IFERROR(VLOOKUP($F122,WP!$B$2:$C$23,2,0),VLOOKUP($C122,Series!$A$3:$F$11,6,0))&amp;" - "&amp;(IFERROR(IF(FIND("_",$B122)&gt;0,MID($B122,FIND("_",$B122)+1,LEN($B122)),IF(FIND("-",$B122)&gt;0,MID($B122,FIND("-",$B122)+1,LEN($B122)))),""))),"")),64))</f>
        <v/>
      </c>
      <c r="H122" s="12"/>
      <c r="I122" s="12" t="str">
        <f>IF($D122&lt;&gt;"",COUNTIF($D$7:$D122,"="&amp;$D122),"")</f>
        <v/>
      </c>
      <c r="J122"/>
      <c r="K122" s="8"/>
      <c r="L122"/>
    </row>
    <row r="123" spans="1:12" x14ac:dyDescent="0.3">
      <c r="A123" s="1"/>
      <c r="B123" s="26"/>
      <c r="C123" s="12" t="str">
        <f>_xlfn.IFNA(IFERROR(IF(FIND("_",$B123)&gt;0,INDEX(WP!$A$2:$F$23,MATCH(LEFT($B123,FIND("_",$B123)-1),WP!$E$2:$E$23,0),1),IF(FIND("-",$B123)&gt;0,INDEX(WP!$A$2:$F$23,MATCH(LEFT($B123,FIND("_",$B123)-1),WP!$E$2:$E$23,0),1))),INDEX(WP!$A$2:$F$23,MATCH(Results!$B123,WP!$E$2:$E$23,0),1)),"")</f>
        <v/>
      </c>
      <c r="D123" s="12" t="str">
        <f>IFERROR(IFERROR(IF(RIGHT(INDEX(WP!$A$2:$F$23,MATCH(IF(FIND("_",$B123)&gt;0,LEFT($B123,FIND("_",$B123)-1)),WP!$E$2:$E$23,0),2),6)="Series",LEFT(INDEX(WP!$A$2:$F$23,MATCH(IF(FIND("_",$B123)&gt;0,LEFT($B123,FIND("_",$B123)-1)),WP!$E$2:$E$23,0),2),5),""),IF(RIGHT(INDEX(WP!$A$2:$F$23,MATCH($B123,WP!$E$2:$E$23,0),2),6)="Series",LEFT(INDEX(WP!$A$2:$F$23,MATCH($B123,WP!$E$2:$E$23,0),2),5),"")),"")</f>
        <v/>
      </c>
      <c r="E123" s="17" t="str">
        <f>IFERROR(VLOOKUP(VALUE($D123),Series!$B$3:$F$11,2,0),"")</f>
        <v/>
      </c>
      <c r="F123" s="12" t="str">
        <f>_xlfn.IFNA(IF(IF($D123&lt;&gt;"",COUNTIF($E:$E,"="&amp;$D123),"")="",IF(RIGHT(IFERROR(IF(FIND("_",$B123)&gt;0,INDEX(WP!$A$2:$F$23,MATCH(LEFT($B123,FIND("_",$B123)-1),WP!$E$2:$E$23,0),2),IF(FIND("-",$B123)&gt;0,INDEX(WP!$A$2:$F$23,MATCH(LEFT($B123,FIND("_",$B123)-1),WP!$E$2:$E$23,0),2))),INDEX(WP!$A$2:$F$23,MATCH(Results!$B123,WP!$E$2:$E$23,0),2)),6)="Series",LEFT(IFERROR(IF(FIND("_",$B123)&gt;0,INDEX(WP!$A$2:$F$23,MATCH(LEFT($B123,FIND("_",$B123)-1),WP!$E$2:$E$23,0),2),IF(FIND("-",$B123)&gt;0,INDEX(WP!$A$2:$F$23,MATCH(LEFT($B123,FIND("_",$B123)-1),WP!$E$2:$E$23,0),2))),INDEX(WP!$A$2:$F$23,MATCH(Results!$B123,WP!$E$2:$E$23,0),2)),5),(IFERROR(IF(FIND("_",$B123)&gt;0,INDEX(WP!$A$2:$F$23,MATCH(LEFT($B123,FIND("_",$B123)-1),WP!$E$2:$E$23,0),2),IF(FIND("-",$B123)&gt;0,INDEX(WP!$A$2:$F$23,MATCH(LEFT($B123,FIND("_",$B123)-1),WP!$E$2:$E$23,0),2))),INDEX(WP!$A$2:$F$23,MATCH(Results!$B123,WP!$E$2:$E$23,0),2)))),IF(RIGHT(IFERROR(IF(FIND("_",$B123)&gt;0,INDEX(WP!$A$2:$F$23,MATCH(LEFT($B123,FIND("_",$B123)-1),WP!$E$2:$E$23,0),2),IF(FIND("-",$B123)&gt;0,INDEX(WP!$A$2:$F$23,MATCH(LEFT($B123,FIND("_",$B123)-1),WP!$E$2:$E$23,0),2))),INDEX(WP!$A$2:$F$23,MATCH(Results!$B123,WP!$E$2:$E$23,0),2)),6)="Series",LEFT(IFERROR(IF(FIND("_",$B123)&gt;0,INDEX(WP!$A$2:$F$23,MATCH(LEFT($B123,FIND("_",$B123)-1),WP!$E$2:$E$23,0),2),IF(FIND("-",$B123)&gt;0,INDEX(WP!$A$2:$F$23,MATCH(LEFT($B123,FIND("_",$B123)-1),WP!$E$2:$E$23,0),2))),INDEX(WP!$A$2:$F$23,MATCH(Results!$B123,WP!$E$2:$E$23,0),2)),5),(IFERROR(IF(FIND("_",$B123)&gt;0,INDEX(WP!$A$2:$F$23,MATCH(LEFT($B123,FIND("_",$B123)-1),WP!$E$2:$E$23,0),2),IF(FIND("-",$B123)&gt;0,INDEX(WP!$A$2:$F$23,MATCH(LEFT($B123,FIND("_",$B123)-1),WP!$E$2:$E$23,0),2))),INDEX(WP!$A$2:$F$23,MATCH(Results!$B123,WP!$E$2:$E$23,0),2))))&amp;"-"&amp;$I123),"")</f>
        <v/>
      </c>
      <c r="G123" s="17" t="str">
        <f>IF(LEN(_xlfn.IFNA(IF(IFERROR(IF(FIND("_",$B123)&gt;0,MID($B123,FIND("_",$B123)+1,LEN($B123)),IF(FIND("-",$B123)&gt;0,MID($B123,FIND("-",$B123)+1,LEN($B123)))),"")="",IFERROR(VLOOKUP($F123,WP!$B$2:$C$23,2,0),VLOOKUP($C123,Series!$A$3:$F$11,6,0)),IFERROR(VLOOKUP($F123,WP!$B$2:$C$23,2,0),VLOOKUP($C123,Series!$A$3:$F$11,6,0))&amp;" - "&amp;(IFERROR(IF(FIND("_",$B123)&gt;0,MID($B123,FIND("_",$B123)+1,LEN($B123)),IF(FIND("-",$B123)&gt;0,MID($B123,FIND("-",$B123)+1,LEN($B123)))),""))),""))&lt;64,_xlfn.IFNA(IF(IFERROR(IF(FIND("_",$B123)&gt;0,MID($B123,FIND("_",$B123)+1,LEN($B123)),IF(FIND("-",$B123)&gt;0,MID($B123,FIND("-",$B123)+1,LEN($B123)))),"")="",IFERROR(VLOOKUP($F123,WP!$B$2:$C$23,2,0),VLOOKUP($C123,Series!$A$3:$F$11,6,0)),IFERROR(VLOOKUP($F123,WP!$B$2:$C$23,2,0),VLOOKUP($C123,Series!$A$3:$F$11,6,0))&amp;" - "&amp;(IFERROR(IF(FIND("_",$B123)&gt;0,MID($B123,FIND("_",$B123)+1,LEN($B123)),IF(FIND("-",$B123)&gt;0,MID($B123,FIND("-",$B123)+1,LEN($B123)))),""))),""),LEFT((_xlfn.IFNA(IF(IFERROR(IF(FIND("_",$B123)&gt;0,MID($B123,FIND("_",$B123)+1,LEN($B123)),IF(FIND("-",$B123)&gt;0,MID($B123,FIND("-",$B123)+1,LEN($B123)))),"")="",IFERROR(VLOOKUP($F123,WP!$B$2:$C$23,2,0),VLOOKUP($C123,Series!$A$3:$F$11,6,0)),IFERROR(VLOOKUP($F123,WP!$B$2:$C$23,2,0),VLOOKUP($C123,Series!$A$3:$F$11,6,0))&amp;" - "&amp;(IFERROR(IF(FIND("_",$B123)&gt;0,MID($B123,FIND("_",$B123)+1,LEN($B123)),IF(FIND("-",$B123)&gt;0,MID($B123,FIND("-",$B123)+1,LEN($B123)))),""))),"")),64))</f>
        <v/>
      </c>
      <c r="H123" s="12"/>
      <c r="I123" s="12" t="str">
        <f>IF($D123&lt;&gt;"",COUNTIF($D$7:$D123,"="&amp;$D123),"")</f>
        <v/>
      </c>
      <c r="J123"/>
      <c r="K123" s="8"/>
      <c r="L123"/>
    </row>
    <row r="124" spans="1:12" x14ac:dyDescent="0.3">
      <c r="A124" s="1"/>
      <c r="B124" s="26"/>
      <c r="C124" s="12" t="str">
        <f>_xlfn.IFNA(IFERROR(IF(FIND("_",$B124)&gt;0,INDEX(WP!$A$2:$F$23,MATCH(LEFT($B124,FIND("_",$B124)-1),WP!$E$2:$E$23,0),1),IF(FIND("-",$B124)&gt;0,INDEX(WP!$A$2:$F$23,MATCH(LEFT($B124,FIND("_",$B124)-1),WP!$E$2:$E$23,0),1))),INDEX(WP!$A$2:$F$23,MATCH(Results!$B124,WP!$E$2:$E$23,0),1)),"")</f>
        <v/>
      </c>
      <c r="D124" s="12" t="str">
        <f>IFERROR(IFERROR(IF(RIGHT(INDEX(WP!$A$2:$F$23,MATCH(IF(FIND("_",$B124)&gt;0,LEFT($B124,FIND("_",$B124)-1)),WP!$E$2:$E$23,0),2),6)="Series",LEFT(INDEX(WP!$A$2:$F$23,MATCH(IF(FIND("_",$B124)&gt;0,LEFT($B124,FIND("_",$B124)-1)),WP!$E$2:$E$23,0),2),5),""),IF(RIGHT(INDEX(WP!$A$2:$F$23,MATCH($B124,WP!$E$2:$E$23,0),2),6)="Series",LEFT(INDEX(WP!$A$2:$F$23,MATCH($B124,WP!$E$2:$E$23,0),2),5),"")),"")</f>
        <v/>
      </c>
      <c r="E124" s="17" t="str">
        <f>IFERROR(VLOOKUP(VALUE($D124),Series!$B$3:$F$11,2,0),"")</f>
        <v/>
      </c>
      <c r="F124" s="12" t="str">
        <f>_xlfn.IFNA(IF(IF($D124&lt;&gt;"",COUNTIF($E:$E,"="&amp;$D124),"")="",IF(RIGHT(IFERROR(IF(FIND("_",$B124)&gt;0,INDEX(WP!$A$2:$F$23,MATCH(LEFT($B124,FIND("_",$B124)-1),WP!$E$2:$E$23,0),2),IF(FIND("-",$B124)&gt;0,INDEX(WP!$A$2:$F$23,MATCH(LEFT($B124,FIND("_",$B124)-1),WP!$E$2:$E$23,0),2))),INDEX(WP!$A$2:$F$23,MATCH(Results!$B124,WP!$E$2:$E$23,0),2)),6)="Series",LEFT(IFERROR(IF(FIND("_",$B124)&gt;0,INDEX(WP!$A$2:$F$23,MATCH(LEFT($B124,FIND("_",$B124)-1),WP!$E$2:$E$23,0),2),IF(FIND("-",$B124)&gt;0,INDEX(WP!$A$2:$F$23,MATCH(LEFT($B124,FIND("_",$B124)-1),WP!$E$2:$E$23,0),2))),INDEX(WP!$A$2:$F$23,MATCH(Results!$B124,WP!$E$2:$E$23,0),2)),5),(IFERROR(IF(FIND("_",$B124)&gt;0,INDEX(WP!$A$2:$F$23,MATCH(LEFT($B124,FIND("_",$B124)-1),WP!$E$2:$E$23,0),2),IF(FIND("-",$B124)&gt;0,INDEX(WP!$A$2:$F$23,MATCH(LEFT($B124,FIND("_",$B124)-1),WP!$E$2:$E$23,0),2))),INDEX(WP!$A$2:$F$23,MATCH(Results!$B124,WP!$E$2:$E$23,0),2)))),IF(RIGHT(IFERROR(IF(FIND("_",$B124)&gt;0,INDEX(WP!$A$2:$F$23,MATCH(LEFT($B124,FIND("_",$B124)-1),WP!$E$2:$E$23,0),2),IF(FIND("-",$B124)&gt;0,INDEX(WP!$A$2:$F$23,MATCH(LEFT($B124,FIND("_",$B124)-1),WP!$E$2:$E$23,0),2))),INDEX(WP!$A$2:$F$23,MATCH(Results!$B124,WP!$E$2:$E$23,0),2)),6)="Series",LEFT(IFERROR(IF(FIND("_",$B124)&gt;0,INDEX(WP!$A$2:$F$23,MATCH(LEFT($B124,FIND("_",$B124)-1),WP!$E$2:$E$23,0),2),IF(FIND("-",$B124)&gt;0,INDEX(WP!$A$2:$F$23,MATCH(LEFT($B124,FIND("_",$B124)-1),WP!$E$2:$E$23,0),2))),INDEX(WP!$A$2:$F$23,MATCH(Results!$B124,WP!$E$2:$E$23,0),2)),5),(IFERROR(IF(FIND("_",$B124)&gt;0,INDEX(WP!$A$2:$F$23,MATCH(LEFT($B124,FIND("_",$B124)-1),WP!$E$2:$E$23,0),2),IF(FIND("-",$B124)&gt;0,INDEX(WP!$A$2:$F$23,MATCH(LEFT($B124,FIND("_",$B124)-1),WP!$E$2:$E$23,0),2))),INDEX(WP!$A$2:$F$23,MATCH(Results!$B124,WP!$E$2:$E$23,0),2))))&amp;"-"&amp;$I124),"")</f>
        <v/>
      </c>
      <c r="G124" s="17" t="str">
        <f>IF(LEN(_xlfn.IFNA(IF(IFERROR(IF(FIND("_",$B124)&gt;0,MID($B124,FIND("_",$B124)+1,LEN($B124)),IF(FIND("-",$B124)&gt;0,MID($B124,FIND("-",$B124)+1,LEN($B124)))),"")="",IFERROR(VLOOKUP($F124,WP!$B$2:$C$23,2,0),VLOOKUP($C124,Series!$A$3:$F$11,6,0)),IFERROR(VLOOKUP($F124,WP!$B$2:$C$23,2,0),VLOOKUP($C124,Series!$A$3:$F$11,6,0))&amp;" - "&amp;(IFERROR(IF(FIND("_",$B124)&gt;0,MID($B124,FIND("_",$B124)+1,LEN($B124)),IF(FIND("-",$B124)&gt;0,MID($B124,FIND("-",$B124)+1,LEN($B124)))),""))),""))&lt;64,_xlfn.IFNA(IF(IFERROR(IF(FIND("_",$B124)&gt;0,MID($B124,FIND("_",$B124)+1,LEN($B124)),IF(FIND("-",$B124)&gt;0,MID($B124,FIND("-",$B124)+1,LEN($B124)))),"")="",IFERROR(VLOOKUP($F124,WP!$B$2:$C$23,2,0),VLOOKUP($C124,Series!$A$3:$F$11,6,0)),IFERROR(VLOOKUP($F124,WP!$B$2:$C$23,2,0),VLOOKUP($C124,Series!$A$3:$F$11,6,0))&amp;" - "&amp;(IFERROR(IF(FIND("_",$B124)&gt;0,MID($B124,FIND("_",$B124)+1,LEN($B124)),IF(FIND("-",$B124)&gt;0,MID($B124,FIND("-",$B124)+1,LEN($B124)))),""))),""),LEFT((_xlfn.IFNA(IF(IFERROR(IF(FIND("_",$B124)&gt;0,MID($B124,FIND("_",$B124)+1,LEN($B124)),IF(FIND("-",$B124)&gt;0,MID($B124,FIND("-",$B124)+1,LEN($B124)))),"")="",IFERROR(VLOOKUP($F124,WP!$B$2:$C$23,2,0),VLOOKUP($C124,Series!$A$3:$F$11,6,0)),IFERROR(VLOOKUP($F124,WP!$B$2:$C$23,2,0),VLOOKUP($C124,Series!$A$3:$F$11,6,0))&amp;" - "&amp;(IFERROR(IF(FIND("_",$B124)&gt;0,MID($B124,FIND("_",$B124)+1,LEN($B124)),IF(FIND("-",$B124)&gt;0,MID($B124,FIND("-",$B124)+1,LEN($B124)))),""))),"")),64))</f>
        <v/>
      </c>
      <c r="H124" s="12"/>
      <c r="I124" s="12" t="str">
        <f>IF($D124&lt;&gt;"",COUNTIF($D$7:$D124,"="&amp;$D124),"")</f>
        <v/>
      </c>
      <c r="J124"/>
      <c r="K124" s="8"/>
      <c r="L124"/>
    </row>
    <row r="125" spans="1:12" x14ac:dyDescent="0.3">
      <c r="A125" s="1"/>
      <c r="B125" s="26"/>
      <c r="C125" s="12" t="str">
        <f>_xlfn.IFNA(IFERROR(IF(FIND("_",$B125)&gt;0,INDEX(WP!$A$2:$F$23,MATCH(LEFT($B125,FIND("_",$B125)-1),WP!$E$2:$E$23,0),1),IF(FIND("-",$B125)&gt;0,INDEX(WP!$A$2:$F$23,MATCH(LEFT($B125,FIND("_",$B125)-1),WP!$E$2:$E$23,0),1))),INDEX(WP!$A$2:$F$23,MATCH(Results!$B125,WP!$E$2:$E$23,0),1)),"")</f>
        <v/>
      </c>
      <c r="D125" s="12" t="str">
        <f>IFERROR(IFERROR(IF(RIGHT(INDEX(WP!$A$2:$F$23,MATCH(IF(FIND("_",$B125)&gt;0,LEFT($B125,FIND("_",$B125)-1)),WP!$E$2:$E$23,0),2),6)="Series",LEFT(INDEX(WP!$A$2:$F$23,MATCH(IF(FIND("_",$B125)&gt;0,LEFT($B125,FIND("_",$B125)-1)),WP!$E$2:$E$23,0),2),5),""),IF(RIGHT(INDEX(WP!$A$2:$F$23,MATCH($B125,WP!$E$2:$E$23,0),2),6)="Series",LEFT(INDEX(WP!$A$2:$F$23,MATCH($B125,WP!$E$2:$E$23,0),2),5),"")),"")</f>
        <v/>
      </c>
      <c r="E125" s="17" t="str">
        <f>IFERROR(VLOOKUP(VALUE($D125),Series!$B$3:$F$11,2,0),"")</f>
        <v/>
      </c>
      <c r="F125" s="12" t="str">
        <f>_xlfn.IFNA(IF(IF($D125&lt;&gt;"",COUNTIF($E:$E,"="&amp;$D125),"")="",IF(RIGHT(IFERROR(IF(FIND("_",$B125)&gt;0,INDEX(WP!$A$2:$F$23,MATCH(LEFT($B125,FIND("_",$B125)-1),WP!$E$2:$E$23,0),2),IF(FIND("-",$B125)&gt;0,INDEX(WP!$A$2:$F$23,MATCH(LEFT($B125,FIND("_",$B125)-1),WP!$E$2:$E$23,0),2))),INDEX(WP!$A$2:$F$23,MATCH(Results!$B125,WP!$E$2:$E$23,0),2)),6)="Series",LEFT(IFERROR(IF(FIND("_",$B125)&gt;0,INDEX(WP!$A$2:$F$23,MATCH(LEFT($B125,FIND("_",$B125)-1),WP!$E$2:$E$23,0),2),IF(FIND("-",$B125)&gt;0,INDEX(WP!$A$2:$F$23,MATCH(LEFT($B125,FIND("_",$B125)-1),WP!$E$2:$E$23,0),2))),INDEX(WP!$A$2:$F$23,MATCH(Results!$B125,WP!$E$2:$E$23,0),2)),5),(IFERROR(IF(FIND("_",$B125)&gt;0,INDEX(WP!$A$2:$F$23,MATCH(LEFT($B125,FIND("_",$B125)-1),WP!$E$2:$E$23,0),2),IF(FIND("-",$B125)&gt;0,INDEX(WP!$A$2:$F$23,MATCH(LEFT($B125,FIND("_",$B125)-1),WP!$E$2:$E$23,0),2))),INDEX(WP!$A$2:$F$23,MATCH(Results!$B125,WP!$E$2:$E$23,0),2)))),IF(RIGHT(IFERROR(IF(FIND("_",$B125)&gt;0,INDEX(WP!$A$2:$F$23,MATCH(LEFT($B125,FIND("_",$B125)-1),WP!$E$2:$E$23,0),2),IF(FIND("-",$B125)&gt;0,INDEX(WP!$A$2:$F$23,MATCH(LEFT($B125,FIND("_",$B125)-1),WP!$E$2:$E$23,0),2))),INDEX(WP!$A$2:$F$23,MATCH(Results!$B125,WP!$E$2:$E$23,0),2)),6)="Series",LEFT(IFERROR(IF(FIND("_",$B125)&gt;0,INDEX(WP!$A$2:$F$23,MATCH(LEFT($B125,FIND("_",$B125)-1),WP!$E$2:$E$23,0),2),IF(FIND("-",$B125)&gt;0,INDEX(WP!$A$2:$F$23,MATCH(LEFT($B125,FIND("_",$B125)-1),WP!$E$2:$E$23,0),2))),INDEX(WP!$A$2:$F$23,MATCH(Results!$B125,WP!$E$2:$E$23,0),2)),5),(IFERROR(IF(FIND("_",$B125)&gt;0,INDEX(WP!$A$2:$F$23,MATCH(LEFT($B125,FIND("_",$B125)-1),WP!$E$2:$E$23,0),2),IF(FIND("-",$B125)&gt;0,INDEX(WP!$A$2:$F$23,MATCH(LEFT($B125,FIND("_",$B125)-1),WP!$E$2:$E$23,0),2))),INDEX(WP!$A$2:$F$23,MATCH(Results!$B125,WP!$E$2:$E$23,0),2))))&amp;"-"&amp;$I125),"")</f>
        <v/>
      </c>
      <c r="G125" s="17" t="str">
        <f>IF(LEN(_xlfn.IFNA(IF(IFERROR(IF(FIND("_",$B125)&gt;0,MID($B125,FIND("_",$B125)+1,LEN($B125)),IF(FIND("-",$B125)&gt;0,MID($B125,FIND("-",$B125)+1,LEN($B125)))),"")="",IFERROR(VLOOKUP($F125,WP!$B$2:$C$23,2,0),VLOOKUP($C125,Series!$A$3:$F$11,6,0)),IFERROR(VLOOKUP($F125,WP!$B$2:$C$23,2,0),VLOOKUP($C125,Series!$A$3:$F$11,6,0))&amp;" - "&amp;(IFERROR(IF(FIND("_",$B125)&gt;0,MID($B125,FIND("_",$B125)+1,LEN($B125)),IF(FIND("-",$B125)&gt;0,MID($B125,FIND("-",$B125)+1,LEN($B125)))),""))),""))&lt;64,_xlfn.IFNA(IF(IFERROR(IF(FIND("_",$B125)&gt;0,MID($B125,FIND("_",$B125)+1,LEN($B125)),IF(FIND("-",$B125)&gt;0,MID($B125,FIND("-",$B125)+1,LEN($B125)))),"")="",IFERROR(VLOOKUP($F125,WP!$B$2:$C$23,2,0),VLOOKUP($C125,Series!$A$3:$F$11,6,0)),IFERROR(VLOOKUP($F125,WP!$B$2:$C$23,2,0),VLOOKUP($C125,Series!$A$3:$F$11,6,0))&amp;" - "&amp;(IFERROR(IF(FIND("_",$B125)&gt;0,MID($B125,FIND("_",$B125)+1,LEN($B125)),IF(FIND("-",$B125)&gt;0,MID($B125,FIND("-",$B125)+1,LEN($B125)))),""))),""),LEFT((_xlfn.IFNA(IF(IFERROR(IF(FIND("_",$B125)&gt;0,MID($B125,FIND("_",$B125)+1,LEN($B125)),IF(FIND("-",$B125)&gt;0,MID($B125,FIND("-",$B125)+1,LEN($B125)))),"")="",IFERROR(VLOOKUP($F125,WP!$B$2:$C$23,2,0),VLOOKUP($C125,Series!$A$3:$F$11,6,0)),IFERROR(VLOOKUP($F125,WP!$B$2:$C$23,2,0),VLOOKUP($C125,Series!$A$3:$F$11,6,0))&amp;" - "&amp;(IFERROR(IF(FIND("_",$B125)&gt;0,MID($B125,FIND("_",$B125)+1,LEN($B125)),IF(FIND("-",$B125)&gt;0,MID($B125,FIND("-",$B125)+1,LEN($B125)))),""))),"")),64))</f>
        <v/>
      </c>
      <c r="H125" s="12"/>
      <c r="I125" s="12" t="str">
        <f>IF($D125&lt;&gt;"",COUNTIF($D$7:$D125,"="&amp;$D125),"")</f>
        <v/>
      </c>
      <c r="J125"/>
      <c r="K125" s="8"/>
      <c r="L125"/>
    </row>
    <row r="126" spans="1:12" x14ac:dyDescent="0.3">
      <c r="A126" s="1"/>
      <c r="B126" s="26"/>
      <c r="C126" s="12" t="str">
        <f>_xlfn.IFNA(IFERROR(IF(FIND("_",$B126)&gt;0,INDEX(WP!$A$2:$F$23,MATCH(LEFT($B126,FIND("_",$B126)-1),WP!$E$2:$E$23,0),1),IF(FIND("-",$B126)&gt;0,INDEX(WP!$A$2:$F$23,MATCH(LEFT($B126,FIND("_",$B126)-1),WP!$E$2:$E$23,0),1))),INDEX(WP!$A$2:$F$23,MATCH(Results!$B126,WP!$E$2:$E$23,0),1)),"")</f>
        <v/>
      </c>
      <c r="D126" s="12" t="str">
        <f>IFERROR(IFERROR(IF(RIGHT(INDEX(WP!$A$2:$F$23,MATCH(IF(FIND("_",$B126)&gt;0,LEFT($B126,FIND("_",$B126)-1)),WP!$E$2:$E$23,0),2),6)="Series",LEFT(INDEX(WP!$A$2:$F$23,MATCH(IF(FIND("_",$B126)&gt;0,LEFT($B126,FIND("_",$B126)-1)),WP!$E$2:$E$23,0),2),5),""),IF(RIGHT(INDEX(WP!$A$2:$F$23,MATCH($B126,WP!$E$2:$E$23,0),2),6)="Series",LEFT(INDEX(WP!$A$2:$F$23,MATCH($B126,WP!$E$2:$E$23,0),2),5),"")),"")</f>
        <v/>
      </c>
      <c r="E126" s="17" t="str">
        <f>IFERROR(VLOOKUP(VALUE($D126),Series!$B$3:$F$11,2,0),"")</f>
        <v/>
      </c>
      <c r="F126" s="12" t="str">
        <f>_xlfn.IFNA(IF(IF($D126&lt;&gt;"",COUNTIF($E:$E,"="&amp;$D126),"")="",IF(RIGHT(IFERROR(IF(FIND("_",$B126)&gt;0,INDEX(WP!$A$2:$F$23,MATCH(LEFT($B126,FIND("_",$B126)-1),WP!$E$2:$E$23,0),2),IF(FIND("-",$B126)&gt;0,INDEX(WP!$A$2:$F$23,MATCH(LEFT($B126,FIND("_",$B126)-1),WP!$E$2:$E$23,0),2))),INDEX(WP!$A$2:$F$23,MATCH(Results!$B126,WP!$E$2:$E$23,0),2)),6)="Series",LEFT(IFERROR(IF(FIND("_",$B126)&gt;0,INDEX(WP!$A$2:$F$23,MATCH(LEFT($B126,FIND("_",$B126)-1),WP!$E$2:$E$23,0),2),IF(FIND("-",$B126)&gt;0,INDEX(WP!$A$2:$F$23,MATCH(LEFT($B126,FIND("_",$B126)-1),WP!$E$2:$E$23,0),2))),INDEX(WP!$A$2:$F$23,MATCH(Results!$B126,WP!$E$2:$E$23,0),2)),5),(IFERROR(IF(FIND("_",$B126)&gt;0,INDEX(WP!$A$2:$F$23,MATCH(LEFT($B126,FIND("_",$B126)-1),WP!$E$2:$E$23,0),2),IF(FIND("-",$B126)&gt;0,INDEX(WP!$A$2:$F$23,MATCH(LEFT($B126,FIND("_",$B126)-1),WP!$E$2:$E$23,0),2))),INDEX(WP!$A$2:$F$23,MATCH(Results!$B126,WP!$E$2:$E$23,0),2)))),IF(RIGHT(IFERROR(IF(FIND("_",$B126)&gt;0,INDEX(WP!$A$2:$F$23,MATCH(LEFT($B126,FIND("_",$B126)-1),WP!$E$2:$E$23,0),2),IF(FIND("-",$B126)&gt;0,INDEX(WP!$A$2:$F$23,MATCH(LEFT($B126,FIND("_",$B126)-1),WP!$E$2:$E$23,0),2))),INDEX(WP!$A$2:$F$23,MATCH(Results!$B126,WP!$E$2:$E$23,0),2)),6)="Series",LEFT(IFERROR(IF(FIND("_",$B126)&gt;0,INDEX(WP!$A$2:$F$23,MATCH(LEFT($B126,FIND("_",$B126)-1),WP!$E$2:$E$23,0),2),IF(FIND("-",$B126)&gt;0,INDEX(WP!$A$2:$F$23,MATCH(LEFT($B126,FIND("_",$B126)-1),WP!$E$2:$E$23,0),2))),INDEX(WP!$A$2:$F$23,MATCH(Results!$B126,WP!$E$2:$E$23,0),2)),5),(IFERROR(IF(FIND("_",$B126)&gt;0,INDEX(WP!$A$2:$F$23,MATCH(LEFT($B126,FIND("_",$B126)-1),WP!$E$2:$E$23,0),2),IF(FIND("-",$B126)&gt;0,INDEX(WP!$A$2:$F$23,MATCH(LEFT($B126,FIND("_",$B126)-1),WP!$E$2:$E$23,0),2))),INDEX(WP!$A$2:$F$23,MATCH(Results!$B126,WP!$E$2:$E$23,0),2))))&amp;"-"&amp;$I126),"")</f>
        <v/>
      </c>
      <c r="G126" s="17" t="str">
        <f>IF(LEN(_xlfn.IFNA(IF(IFERROR(IF(FIND("_",$B126)&gt;0,MID($B126,FIND("_",$B126)+1,LEN($B126)),IF(FIND("-",$B126)&gt;0,MID($B126,FIND("-",$B126)+1,LEN($B126)))),"")="",IFERROR(VLOOKUP($F126,WP!$B$2:$C$23,2,0),VLOOKUP($C126,Series!$A$3:$F$11,6,0)),IFERROR(VLOOKUP($F126,WP!$B$2:$C$23,2,0),VLOOKUP($C126,Series!$A$3:$F$11,6,0))&amp;" - "&amp;(IFERROR(IF(FIND("_",$B126)&gt;0,MID($B126,FIND("_",$B126)+1,LEN($B126)),IF(FIND("-",$B126)&gt;0,MID($B126,FIND("-",$B126)+1,LEN($B126)))),""))),""))&lt;64,_xlfn.IFNA(IF(IFERROR(IF(FIND("_",$B126)&gt;0,MID($B126,FIND("_",$B126)+1,LEN($B126)),IF(FIND("-",$B126)&gt;0,MID($B126,FIND("-",$B126)+1,LEN($B126)))),"")="",IFERROR(VLOOKUP($F126,WP!$B$2:$C$23,2,0),VLOOKUP($C126,Series!$A$3:$F$11,6,0)),IFERROR(VLOOKUP($F126,WP!$B$2:$C$23,2,0),VLOOKUP($C126,Series!$A$3:$F$11,6,0))&amp;" - "&amp;(IFERROR(IF(FIND("_",$B126)&gt;0,MID($B126,FIND("_",$B126)+1,LEN($B126)),IF(FIND("-",$B126)&gt;0,MID($B126,FIND("-",$B126)+1,LEN($B126)))),""))),""),LEFT((_xlfn.IFNA(IF(IFERROR(IF(FIND("_",$B126)&gt;0,MID($B126,FIND("_",$B126)+1,LEN($B126)),IF(FIND("-",$B126)&gt;0,MID($B126,FIND("-",$B126)+1,LEN($B126)))),"")="",IFERROR(VLOOKUP($F126,WP!$B$2:$C$23,2,0),VLOOKUP($C126,Series!$A$3:$F$11,6,0)),IFERROR(VLOOKUP($F126,WP!$B$2:$C$23,2,0),VLOOKUP($C126,Series!$A$3:$F$11,6,0))&amp;" - "&amp;(IFERROR(IF(FIND("_",$B126)&gt;0,MID($B126,FIND("_",$B126)+1,LEN($B126)),IF(FIND("-",$B126)&gt;0,MID($B126,FIND("-",$B126)+1,LEN($B126)))),""))),"")),64))</f>
        <v/>
      </c>
      <c r="H126" s="12"/>
      <c r="I126" s="12" t="str">
        <f>IF($D126&lt;&gt;"",COUNTIF($D$7:$D126,"="&amp;$D126),"")</f>
        <v/>
      </c>
      <c r="J126"/>
      <c r="K126" s="8"/>
      <c r="L126"/>
    </row>
    <row r="127" spans="1:12" x14ac:dyDescent="0.3">
      <c r="A127" s="1"/>
      <c r="B127" s="26"/>
      <c r="C127" s="12" t="str">
        <f>_xlfn.IFNA(IFERROR(IF(FIND("_",$B127)&gt;0,INDEX(WP!$A$2:$F$23,MATCH(LEFT($B127,FIND("_",$B127)-1),WP!$E$2:$E$23,0),1),IF(FIND("-",$B127)&gt;0,INDEX(WP!$A$2:$F$23,MATCH(LEFT($B127,FIND("_",$B127)-1),WP!$E$2:$E$23,0),1))),INDEX(WP!$A$2:$F$23,MATCH(Results!$B127,WP!$E$2:$E$23,0),1)),"")</f>
        <v/>
      </c>
      <c r="D127" s="12" t="str">
        <f>IFERROR(IFERROR(IF(RIGHT(INDEX(WP!$A$2:$F$23,MATCH(IF(FIND("_",$B127)&gt;0,LEFT($B127,FIND("_",$B127)-1)),WP!$E$2:$E$23,0),2),6)="Series",LEFT(INDEX(WP!$A$2:$F$23,MATCH(IF(FIND("_",$B127)&gt;0,LEFT($B127,FIND("_",$B127)-1)),WP!$E$2:$E$23,0),2),5),""),IF(RIGHT(INDEX(WP!$A$2:$F$23,MATCH($B127,WP!$E$2:$E$23,0),2),6)="Series",LEFT(INDEX(WP!$A$2:$F$23,MATCH($B127,WP!$E$2:$E$23,0),2),5),"")),"")</f>
        <v/>
      </c>
      <c r="E127" s="17" t="str">
        <f>IFERROR(VLOOKUP(VALUE($D127),Series!$B$3:$F$11,2,0),"")</f>
        <v/>
      </c>
      <c r="F127" s="12" t="str">
        <f>_xlfn.IFNA(IF(IF($D127&lt;&gt;"",COUNTIF($E:$E,"="&amp;$D127),"")="",IF(RIGHT(IFERROR(IF(FIND("_",$B127)&gt;0,INDEX(WP!$A$2:$F$23,MATCH(LEFT($B127,FIND("_",$B127)-1),WP!$E$2:$E$23,0),2),IF(FIND("-",$B127)&gt;0,INDEX(WP!$A$2:$F$23,MATCH(LEFT($B127,FIND("_",$B127)-1),WP!$E$2:$E$23,0),2))),INDEX(WP!$A$2:$F$23,MATCH(Results!$B127,WP!$E$2:$E$23,0),2)),6)="Series",LEFT(IFERROR(IF(FIND("_",$B127)&gt;0,INDEX(WP!$A$2:$F$23,MATCH(LEFT($B127,FIND("_",$B127)-1),WP!$E$2:$E$23,0),2),IF(FIND("-",$B127)&gt;0,INDEX(WP!$A$2:$F$23,MATCH(LEFT($B127,FIND("_",$B127)-1),WP!$E$2:$E$23,0),2))),INDEX(WP!$A$2:$F$23,MATCH(Results!$B127,WP!$E$2:$E$23,0),2)),5),(IFERROR(IF(FIND("_",$B127)&gt;0,INDEX(WP!$A$2:$F$23,MATCH(LEFT($B127,FIND("_",$B127)-1),WP!$E$2:$E$23,0),2),IF(FIND("-",$B127)&gt;0,INDEX(WP!$A$2:$F$23,MATCH(LEFT($B127,FIND("_",$B127)-1),WP!$E$2:$E$23,0),2))),INDEX(WP!$A$2:$F$23,MATCH(Results!$B127,WP!$E$2:$E$23,0),2)))),IF(RIGHT(IFERROR(IF(FIND("_",$B127)&gt;0,INDEX(WP!$A$2:$F$23,MATCH(LEFT($B127,FIND("_",$B127)-1),WP!$E$2:$E$23,0),2),IF(FIND("-",$B127)&gt;0,INDEX(WP!$A$2:$F$23,MATCH(LEFT($B127,FIND("_",$B127)-1),WP!$E$2:$E$23,0),2))),INDEX(WP!$A$2:$F$23,MATCH(Results!$B127,WP!$E$2:$E$23,0),2)),6)="Series",LEFT(IFERROR(IF(FIND("_",$B127)&gt;0,INDEX(WP!$A$2:$F$23,MATCH(LEFT($B127,FIND("_",$B127)-1),WP!$E$2:$E$23,0),2),IF(FIND("-",$B127)&gt;0,INDEX(WP!$A$2:$F$23,MATCH(LEFT($B127,FIND("_",$B127)-1),WP!$E$2:$E$23,0),2))),INDEX(WP!$A$2:$F$23,MATCH(Results!$B127,WP!$E$2:$E$23,0),2)),5),(IFERROR(IF(FIND("_",$B127)&gt;0,INDEX(WP!$A$2:$F$23,MATCH(LEFT($B127,FIND("_",$B127)-1),WP!$E$2:$E$23,0),2),IF(FIND("-",$B127)&gt;0,INDEX(WP!$A$2:$F$23,MATCH(LEFT($B127,FIND("_",$B127)-1),WP!$E$2:$E$23,0),2))),INDEX(WP!$A$2:$F$23,MATCH(Results!$B127,WP!$E$2:$E$23,0),2))))&amp;"-"&amp;$I127),"")</f>
        <v/>
      </c>
      <c r="G127" s="17" t="str">
        <f>IF(LEN(_xlfn.IFNA(IF(IFERROR(IF(FIND("_",$B127)&gt;0,MID($B127,FIND("_",$B127)+1,LEN($B127)),IF(FIND("-",$B127)&gt;0,MID($B127,FIND("-",$B127)+1,LEN($B127)))),"")="",IFERROR(VLOOKUP($F127,WP!$B$2:$C$23,2,0),VLOOKUP($C127,Series!$A$3:$F$11,6,0)),IFERROR(VLOOKUP($F127,WP!$B$2:$C$23,2,0),VLOOKUP($C127,Series!$A$3:$F$11,6,0))&amp;" - "&amp;(IFERROR(IF(FIND("_",$B127)&gt;0,MID($B127,FIND("_",$B127)+1,LEN($B127)),IF(FIND("-",$B127)&gt;0,MID($B127,FIND("-",$B127)+1,LEN($B127)))),""))),""))&lt;64,_xlfn.IFNA(IF(IFERROR(IF(FIND("_",$B127)&gt;0,MID($B127,FIND("_",$B127)+1,LEN($B127)),IF(FIND("-",$B127)&gt;0,MID($B127,FIND("-",$B127)+1,LEN($B127)))),"")="",IFERROR(VLOOKUP($F127,WP!$B$2:$C$23,2,0),VLOOKUP($C127,Series!$A$3:$F$11,6,0)),IFERROR(VLOOKUP($F127,WP!$B$2:$C$23,2,0),VLOOKUP($C127,Series!$A$3:$F$11,6,0))&amp;" - "&amp;(IFERROR(IF(FIND("_",$B127)&gt;0,MID($B127,FIND("_",$B127)+1,LEN($B127)),IF(FIND("-",$B127)&gt;0,MID($B127,FIND("-",$B127)+1,LEN($B127)))),""))),""),LEFT((_xlfn.IFNA(IF(IFERROR(IF(FIND("_",$B127)&gt;0,MID($B127,FIND("_",$B127)+1,LEN($B127)),IF(FIND("-",$B127)&gt;0,MID($B127,FIND("-",$B127)+1,LEN($B127)))),"")="",IFERROR(VLOOKUP($F127,WP!$B$2:$C$23,2,0),VLOOKUP($C127,Series!$A$3:$F$11,6,0)),IFERROR(VLOOKUP($F127,WP!$B$2:$C$23,2,0),VLOOKUP($C127,Series!$A$3:$F$11,6,0))&amp;" - "&amp;(IFERROR(IF(FIND("_",$B127)&gt;0,MID($B127,FIND("_",$B127)+1,LEN($B127)),IF(FIND("-",$B127)&gt;0,MID($B127,FIND("-",$B127)+1,LEN($B127)))),""))),"")),64))</f>
        <v/>
      </c>
      <c r="H127" s="12"/>
      <c r="I127" s="12" t="str">
        <f>IF($D127&lt;&gt;"",COUNTIF($D$7:$D127,"="&amp;$D127),"")</f>
        <v/>
      </c>
      <c r="J127"/>
      <c r="K127" s="8"/>
      <c r="L127"/>
    </row>
    <row r="128" spans="1:12" x14ac:dyDescent="0.3">
      <c r="A128" s="1"/>
      <c r="B128" s="26"/>
      <c r="C128" s="12" t="str">
        <f>_xlfn.IFNA(IFERROR(IF(FIND("_",$B128)&gt;0,INDEX(WP!$A$2:$F$23,MATCH(LEFT($B128,FIND("_",$B128)-1),WP!$E$2:$E$23,0),1),IF(FIND("-",$B128)&gt;0,INDEX(WP!$A$2:$F$23,MATCH(LEFT($B128,FIND("_",$B128)-1),WP!$E$2:$E$23,0),1))),INDEX(WP!$A$2:$F$23,MATCH(Results!$B128,WP!$E$2:$E$23,0),1)),"")</f>
        <v/>
      </c>
      <c r="D128" s="12" t="str">
        <f>IFERROR(IFERROR(IF(RIGHT(INDEX(WP!$A$2:$F$23,MATCH(IF(FIND("_",$B128)&gt;0,LEFT($B128,FIND("_",$B128)-1)),WP!$E$2:$E$23,0),2),6)="Series",LEFT(INDEX(WP!$A$2:$F$23,MATCH(IF(FIND("_",$B128)&gt;0,LEFT($B128,FIND("_",$B128)-1)),WP!$E$2:$E$23,0),2),5),""),IF(RIGHT(INDEX(WP!$A$2:$F$23,MATCH($B128,WP!$E$2:$E$23,0),2),6)="Series",LEFT(INDEX(WP!$A$2:$F$23,MATCH($B128,WP!$E$2:$E$23,0),2),5),"")),"")</f>
        <v/>
      </c>
      <c r="E128" s="17" t="str">
        <f>IFERROR(VLOOKUP(VALUE($D128),Series!$B$3:$F$11,2,0),"")</f>
        <v/>
      </c>
      <c r="F128" s="12" t="str">
        <f>_xlfn.IFNA(IF(IF($D128&lt;&gt;"",COUNTIF($E:$E,"="&amp;$D128),"")="",IF(RIGHT(IFERROR(IF(FIND("_",$B128)&gt;0,INDEX(WP!$A$2:$F$23,MATCH(LEFT($B128,FIND("_",$B128)-1),WP!$E$2:$E$23,0),2),IF(FIND("-",$B128)&gt;0,INDEX(WP!$A$2:$F$23,MATCH(LEFT($B128,FIND("_",$B128)-1),WP!$E$2:$E$23,0),2))),INDEX(WP!$A$2:$F$23,MATCH(Results!$B128,WP!$E$2:$E$23,0),2)),6)="Series",LEFT(IFERROR(IF(FIND("_",$B128)&gt;0,INDEX(WP!$A$2:$F$23,MATCH(LEFT($B128,FIND("_",$B128)-1),WP!$E$2:$E$23,0),2),IF(FIND("-",$B128)&gt;0,INDEX(WP!$A$2:$F$23,MATCH(LEFT($B128,FIND("_",$B128)-1),WP!$E$2:$E$23,0),2))),INDEX(WP!$A$2:$F$23,MATCH(Results!$B128,WP!$E$2:$E$23,0),2)),5),(IFERROR(IF(FIND("_",$B128)&gt;0,INDEX(WP!$A$2:$F$23,MATCH(LEFT($B128,FIND("_",$B128)-1),WP!$E$2:$E$23,0),2),IF(FIND("-",$B128)&gt;0,INDEX(WP!$A$2:$F$23,MATCH(LEFT($B128,FIND("_",$B128)-1),WP!$E$2:$E$23,0),2))),INDEX(WP!$A$2:$F$23,MATCH(Results!$B128,WP!$E$2:$E$23,0),2)))),IF(RIGHT(IFERROR(IF(FIND("_",$B128)&gt;0,INDEX(WP!$A$2:$F$23,MATCH(LEFT($B128,FIND("_",$B128)-1),WP!$E$2:$E$23,0),2),IF(FIND("-",$B128)&gt;0,INDEX(WP!$A$2:$F$23,MATCH(LEFT($B128,FIND("_",$B128)-1),WP!$E$2:$E$23,0),2))),INDEX(WP!$A$2:$F$23,MATCH(Results!$B128,WP!$E$2:$E$23,0),2)),6)="Series",LEFT(IFERROR(IF(FIND("_",$B128)&gt;0,INDEX(WP!$A$2:$F$23,MATCH(LEFT($B128,FIND("_",$B128)-1),WP!$E$2:$E$23,0),2),IF(FIND("-",$B128)&gt;0,INDEX(WP!$A$2:$F$23,MATCH(LEFT($B128,FIND("_",$B128)-1),WP!$E$2:$E$23,0),2))),INDEX(WP!$A$2:$F$23,MATCH(Results!$B128,WP!$E$2:$E$23,0),2)),5),(IFERROR(IF(FIND("_",$B128)&gt;0,INDEX(WP!$A$2:$F$23,MATCH(LEFT($B128,FIND("_",$B128)-1),WP!$E$2:$E$23,0),2),IF(FIND("-",$B128)&gt;0,INDEX(WP!$A$2:$F$23,MATCH(LEFT($B128,FIND("_",$B128)-1),WP!$E$2:$E$23,0),2))),INDEX(WP!$A$2:$F$23,MATCH(Results!$B128,WP!$E$2:$E$23,0),2))))&amp;"-"&amp;$I128),"")</f>
        <v/>
      </c>
      <c r="G128" s="17" t="str">
        <f>IF(LEN(_xlfn.IFNA(IF(IFERROR(IF(FIND("_",$B128)&gt;0,MID($B128,FIND("_",$B128)+1,LEN($B128)),IF(FIND("-",$B128)&gt;0,MID($B128,FIND("-",$B128)+1,LEN($B128)))),"")="",IFERROR(VLOOKUP($F128,WP!$B$2:$C$23,2,0),VLOOKUP($C128,Series!$A$3:$F$11,6,0)),IFERROR(VLOOKUP($F128,WP!$B$2:$C$23,2,0),VLOOKUP($C128,Series!$A$3:$F$11,6,0))&amp;" - "&amp;(IFERROR(IF(FIND("_",$B128)&gt;0,MID($B128,FIND("_",$B128)+1,LEN($B128)),IF(FIND("-",$B128)&gt;0,MID($B128,FIND("-",$B128)+1,LEN($B128)))),""))),""))&lt;64,_xlfn.IFNA(IF(IFERROR(IF(FIND("_",$B128)&gt;0,MID($B128,FIND("_",$B128)+1,LEN($B128)),IF(FIND("-",$B128)&gt;0,MID($B128,FIND("-",$B128)+1,LEN($B128)))),"")="",IFERROR(VLOOKUP($F128,WP!$B$2:$C$23,2,0),VLOOKUP($C128,Series!$A$3:$F$11,6,0)),IFERROR(VLOOKUP($F128,WP!$B$2:$C$23,2,0),VLOOKUP($C128,Series!$A$3:$F$11,6,0))&amp;" - "&amp;(IFERROR(IF(FIND("_",$B128)&gt;0,MID($B128,FIND("_",$B128)+1,LEN($B128)),IF(FIND("-",$B128)&gt;0,MID($B128,FIND("-",$B128)+1,LEN($B128)))),""))),""),LEFT((_xlfn.IFNA(IF(IFERROR(IF(FIND("_",$B128)&gt;0,MID($B128,FIND("_",$B128)+1,LEN($B128)),IF(FIND("-",$B128)&gt;0,MID($B128,FIND("-",$B128)+1,LEN($B128)))),"")="",IFERROR(VLOOKUP($F128,WP!$B$2:$C$23,2,0),VLOOKUP($C128,Series!$A$3:$F$11,6,0)),IFERROR(VLOOKUP($F128,WP!$B$2:$C$23,2,0),VLOOKUP($C128,Series!$A$3:$F$11,6,0))&amp;" - "&amp;(IFERROR(IF(FIND("_",$B128)&gt;0,MID($B128,FIND("_",$B128)+1,LEN($B128)),IF(FIND("-",$B128)&gt;0,MID($B128,FIND("-",$B128)+1,LEN($B128)))),""))),"")),64))</f>
        <v/>
      </c>
      <c r="H128" s="12"/>
      <c r="I128" s="12" t="str">
        <f>IF($D128&lt;&gt;"",COUNTIF($D$7:$D128,"="&amp;$D128),"")</f>
        <v/>
      </c>
      <c r="J128"/>
      <c r="K128" s="8"/>
      <c r="L128"/>
    </row>
    <row r="129" spans="1:12" x14ac:dyDescent="0.3">
      <c r="A129" s="1"/>
      <c r="B129" s="26"/>
      <c r="C129" s="12" t="str">
        <f>_xlfn.IFNA(IFERROR(IF(FIND("_",$B129)&gt;0,INDEX(WP!$A$2:$F$23,MATCH(LEFT($B129,FIND("_",$B129)-1),WP!$E$2:$E$23,0),1),IF(FIND("-",$B129)&gt;0,INDEX(WP!$A$2:$F$23,MATCH(LEFT($B129,FIND("_",$B129)-1),WP!$E$2:$E$23,0),1))),INDEX(WP!$A$2:$F$23,MATCH(Results!$B129,WP!$E$2:$E$23,0),1)),"")</f>
        <v/>
      </c>
      <c r="D129" s="12" t="str">
        <f>IFERROR(IFERROR(IF(RIGHT(INDEX(WP!$A$2:$F$23,MATCH(IF(FIND("_",$B129)&gt;0,LEFT($B129,FIND("_",$B129)-1)),WP!$E$2:$E$23,0),2),6)="Series",LEFT(INDEX(WP!$A$2:$F$23,MATCH(IF(FIND("_",$B129)&gt;0,LEFT($B129,FIND("_",$B129)-1)),WP!$E$2:$E$23,0),2),5),""),IF(RIGHT(INDEX(WP!$A$2:$F$23,MATCH($B129,WP!$E$2:$E$23,0),2),6)="Series",LEFT(INDEX(WP!$A$2:$F$23,MATCH($B129,WP!$E$2:$E$23,0),2),5),"")),"")</f>
        <v/>
      </c>
      <c r="E129" s="17" t="str">
        <f>IFERROR(VLOOKUP(VALUE($D129),Series!$B$3:$F$11,2,0),"")</f>
        <v/>
      </c>
      <c r="F129" s="12" t="str">
        <f>_xlfn.IFNA(IF(IF($D129&lt;&gt;"",COUNTIF($E:$E,"="&amp;$D129),"")="",IF(RIGHT(IFERROR(IF(FIND("_",$B129)&gt;0,INDEX(WP!$A$2:$F$23,MATCH(LEFT($B129,FIND("_",$B129)-1),WP!$E$2:$E$23,0),2),IF(FIND("-",$B129)&gt;0,INDEX(WP!$A$2:$F$23,MATCH(LEFT($B129,FIND("_",$B129)-1),WP!$E$2:$E$23,0),2))),INDEX(WP!$A$2:$F$23,MATCH(Results!$B129,WP!$E$2:$E$23,0),2)),6)="Series",LEFT(IFERROR(IF(FIND("_",$B129)&gt;0,INDEX(WP!$A$2:$F$23,MATCH(LEFT($B129,FIND("_",$B129)-1),WP!$E$2:$E$23,0),2),IF(FIND("-",$B129)&gt;0,INDEX(WP!$A$2:$F$23,MATCH(LEFT($B129,FIND("_",$B129)-1),WP!$E$2:$E$23,0),2))),INDEX(WP!$A$2:$F$23,MATCH(Results!$B129,WP!$E$2:$E$23,0),2)),5),(IFERROR(IF(FIND("_",$B129)&gt;0,INDEX(WP!$A$2:$F$23,MATCH(LEFT($B129,FIND("_",$B129)-1),WP!$E$2:$E$23,0),2),IF(FIND("-",$B129)&gt;0,INDEX(WP!$A$2:$F$23,MATCH(LEFT($B129,FIND("_",$B129)-1),WP!$E$2:$E$23,0),2))),INDEX(WP!$A$2:$F$23,MATCH(Results!$B129,WP!$E$2:$E$23,0),2)))),IF(RIGHT(IFERROR(IF(FIND("_",$B129)&gt;0,INDEX(WP!$A$2:$F$23,MATCH(LEFT($B129,FIND("_",$B129)-1),WP!$E$2:$E$23,0),2),IF(FIND("-",$B129)&gt;0,INDEX(WP!$A$2:$F$23,MATCH(LEFT($B129,FIND("_",$B129)-1),WP!$E$2:$E$23,0),2))),INDEX(WP!$A$2:$F$23,MATCH(Results!$B129,WP!$E$2:$E$23,0),2)),6)="Series",LEFT(IFERROR(IF(FIND("_",$B129)&gt;0,INDEX(WP!$A$2:$F$23,MATCH(LEFT($B129,FIND("_",$B129)-1),WP!$E$2:$E$23,0),2),IF(FIND("-",$B129)&gt;0,INDEX(WP!$A$2:$F$23,MATCH(LEFT($B129,FIND("_",$B129)-1),WP!$E$2:$E$23,0),2))),INDEX(WP!$A$2:$F$23,MATCH(Results!$B129,WP!$E$2:$E$23,0),2)),5),(IFERROR(IF(FIND("_",$B129)&gt;0,INDEX(WP!$A$2:$F$23,MATCH(LEFT($B129,FIND("_",$B129)-1),WP!$E$2:$E$23,0),2),IF(FIND("-",$B129)&gt;0,INDEX(WP!$A$2:$F$23,MATCH(LEFT($B129,FIND("_",$B129)-1),WP!$E$2:$E$23,0),2))),INDEX(WP!$A$2:$F$23,MATCH(Results!$B129,WP!$E$2:$E$23,0),2))))&amp;"-"&amp;$I129),"")</f>
        <v/>
      </c>
      <c r="G129" s="17" t="str">
        <f>IF(LEN(_xlfn.IFNA(IF(IFERROR(IF(FIND("_",$B129)&gt;0,MID($B129,FIND("_",$B129)+1,LEN($B129)),IF(FIND("-",$B129)&gt;0,MID($B129,FIND("-",$B129)+1,LEN($B129)))),"")="",IFERROR(VLOOKUP($F129,WP!$B$2:$C$23,2,0),VLOOKUP($C129,Series!$A$3:$F$11,6,0)),IFERROR(VLOOKUP($F129,WP!$B$2:$C$23,2,0),VLOOKUP($C129,Series!$A$3:$F$11,6,0))&amp;" - "&amp;(IFERROR(IF(FIND("_",$B129)&gt;0,MID($B129,FIND("_",$B129)+1,LEN($B129)),IF(FIND("-",$B129)&gt;0,MID($B129,FIND("-",$B129)+1,LEN($B129)))),""))),""))&lt;64,_xlfn.IFNA(IF(IFERROR(IF(FIND("_",$B129)&gt;0,MID($B129,FIND("_",$B129)+1,LEN($B129)),IF(FIND("-",$B129)&gt;0,MID($B129,FIND("-",$B129)+1,LEN($B129)))),"")="",IFERROR(VLOOKUP($F129,WP!$B$2:$C$23,2,0),VLOOKUP($C129,Series!$A$3:$F$11,6,0)),IFERROR(VLOOKUP($F129,WP!$B$2:$C$23,2,0),VLOOKUP($C129,Series!$A$3:$F$11,6,0))&amp;" - "&amp;(IFERROR(IF(FIND("_",$B129)&gt;0,MID($B129,FIND("_",$B129)+1,LEN($B129)),IF(FIND("-",$B129)&gt;0,MID($B129,FIND("-",$B129)+1,LEN($B129)))),""))),""),LEFT((_xlfn.IFNA(IF(IFERROR(IF(FIND("_",$B129)&gt;0,MID($B129,FIND("_",$B129)+1,LEN($B129)),IF(FIND("-",$B129)&gt;0,MID($B129,FIND("-",$B129)+1,LEN($B129)))),"")="",IFERROR(VLOOKUP($F129,WP!$B$2:$C$23,2,0),VLOOKUP($C129,Series!$A$3:$F$11,6,0)),IFERROR(VLOOKUP($F129,WP!$B$2:$C$23,2,0),VLOOKUP($C129,Series!$A$3:$F$11,6,0))&amp;" - "&amp;(IFERROR(IF(FIND("_",$B129)&gt;0,MID($B129,FIND("_",$B129)+1,LEN($B129)),IF(FIND("-",$B129)&gt;0,MID($B129,FIND("-",$B129)+1,LEN($B129)))),""))),"")),64))</f>
        <v/>
      </c>
      <c r="H129" s="12"/>
      <c r="I129" s="12" t="str">
        <f>IF($D129&lt;&gt;"",COUNTIF($D$7:$D129,"="&amp;$D129),"")</f>
        <v/>
      </c>
      <c r="J129"/>
      <c r="K129" s="8"/>
      <c r="L129"/>
    </row>
    <row r="130" spans="1:12" x14ac:dyDescent="0.3">
      <c r="A130" s="1"/>
      <c r="B130" s="26"/>
      <c r="C130" s="12" t="str">
        <f>_xlfn.IFNA(IFERROR(IF(FIND("_",$B130)&gt;0,INDEX(WP!$A$2:$F$23,MATCH(LEFT($B130,FIND("_",$B130)-1),WP!$E$2:$E$23,0),1),IF(FIND("-",$B130)&gt;0,INDEX(WP!$A$2:$F$23,MATCH(LEFT($B130,FIND("_",$B130)-1),WP!$E$2:$E$23,0),1))),INDEX(WP!$A$2:$F$23,MATCH(Results!$B130,WP!$E$2:$E$23,0),1)),"")</f>
        <v/>
      </c>
      <c r="D130" s="12" t="str">
        <f>IFERROR(IFERROR(IF(RIGHT(INDEX(WP!$A$2:$F$23,MATCH(IF(FIND("_",$B130)&gt;0,LEFT($B130,FIND("_",$B130)-1)),WP!$E$2:$E$23,0),2),6)="Series",LEFT(INDEX(WP!$A$2:$F$23,MATCH(IF(FIND("_",$B130)&gt;0,LEFT($B130,FIND("_",$B130)-1)),WP!$E$2:$E$23,0),2),5),""),IF(RIGHT(INDEX(WP!$A$2:$F$23,MATCH($B130,WP!$E$2:$E$23,0),2),6)="Series",LEFT(INDEX(WP!$A$2:$F$23,MATCH($B130,WP!$E$2:$E$23,0),2),5),"")),"")</f>
        <v/>
      </c>
      <c r="E130" s="17" t="str">
        <f>IFERROR(VLOOKUP(VALUE($D130),Series!$B$3:$F$11,2,0),"")</f>
        <v/>
      </c>
      <c r="F130" s="12" t="str">
        <f>_xlfn.IFNA(IF(IF($D130&lt;&gt;"",COUNTIF($E:$E,"="&amp;$D130),"")="",IF(RIGHT(IFERROR(IF(FIND("_",$B130)&gt;0,INDEX(WP!$A$2:$F$23,MATCH(LEFT($B130,FIND("_",$B130)-1),WP!$E$2:$E$23,0),2),IF(FIND("-",$B130)&gt;0,INDEX(WP!$A$2:$F$23,MATCH(LEFT($B130,FIND("_",$B130)-1),WP!$E$2:$E$23,0),2))),INDEX(WP!$A$2:$F$23,MATCH(Results!$B130,WP!$E$2:$E$23,0),2)),6)="Series",LEFT(IFERROR(IF(FIND("_",$B130)&gt;0,INDEX(WP!$A$2:$F$23,MATCH(LEFT($B130,FIND("_",$B130)-1),WP!$E$2:$E$23,0),2),IF(FIND("-",$B130)&gt;0,INDEX(WP!$A$2:$F$23,MATCH(LEFT($B130,FIND("_",$B130)-1),WP!$E$2:$E$23,0),2))),INDEX(WP!$A$2:$F$23,MATCH(Results!$B130,WP!$E$2:$E$23,0),2)),5),(IFERROR(IF(FIND("_",$B130)&gt;0,INDEX(WP!$A$2:$F$23,MATCH(LEFT($B130,FIND("_",$B130)-1),WP!$E$2:$E$23,0),2),IF(FIND("-",$B130)&gt;0,INDEX(WP!$A$2:$F$23,MATCH(LEFT($B130,FIND("_",$B130)-1),WP!$E$2:$E$23,0),2))),INDEX(WP!$A$2:$F$23,MATCH(Results!$B130,WP!$E$2:$E$23,0),2)))),IF(RIGHT(IFERROR(IF(FIND("_",$B130)&gt;0,INDEX(WP!$A$2:$F$23,MATCH(LEFT($B130,FIND("_",$B130)-1),WP!$E$2:$E$23,0),2),IF(FIND("-",$B130)&gt;0,INDEX(WP!$A$2:$F$23,MATCH(LEFT($B130,FIND("_",$B130)-1),WP!$E$2:$E$23,0),2))),INDEX(WP!$A$2:$F$23,MATCH(Results!$B130,WP!$E$2:$E$23,0),2)),6)="Series",LEFT(IFERROR(IF(FIND("_",$B130)&gt;0,INDEX(WP!$A$2:$F$23,MATCH(LEFT($B130,FIND("_",$B130)-1),WP!$E$2:$E$23,0),2),IF(FIND("-",$B130)&gt;0,INDEX(WP!$A$2:$F$23,MATCH(LEFT($B130,FIND("_",$B130)-1),WP!$E$2:$E$23,0),2))),INDEX(WP!$A$2:$F$23,MATCH(Results!$B130,WP!$E$2:$E$23,0),2)),5),(IFERROR(IF(FIND("_",$B130)&gt;0,INDEX(WP!$A$2:$F$23,MATCH(LEFT($B130,FIND("_",$B130)-1),WP!$E$2:$E$23,0),2),IF(FIND("-",$B130)&gt;0,INDEX(WP!$A$2:$F$23,MATCH(LEFT($B130,FIND("_",$B130)-1),WP!$E$2:$E$23,0),2))),INDEX(WP!$A$2:$F$23,MATCH(Results!$B130,WP!$E$2:$E$23,0),2))))&amp;"-"&amp;$I130),"")</f>
        <v/>
      </c>
      <c r="G130" s="17" t="str">
        <f>IF(LEN(_xlfn.IFNA(IF(IFERROR(IF(FIND("_",$B130)&gt;0,MID($B130,FIND("_",$B130)+1,LEN($B130)),IF(FIND("-",$B130)&gt;0,MID($B130,FIND("-",$B130)+1,LEN($B130)))),"")="",IFERROR(VLOOKUP($F130,WP!$B$2:$C$23,2,0),VLOOKUP($C130,Series!$A$3:$F$11,6,0)),IFERROR(VLOOKUP($F130,WP!$B$2:$C$23,2,0),VLOOKUP($C130,Series!$A$3:$F$11,6,0))&amp;" - "&amp;(IFERROR(IF(FIND("_",$B130)&gt;0,MID($B130,FIND("_",$B130)+1,LEN($B130)),IF(FIND("-",$B130)&gt;0,MID($B130,FIND("-",$B130)+1,LEN($B130)))),""))),""))&lt;64,_xlfn.IFNA(IF(IFERROR(IF(FIND("_",$B130)&gt;0,MID($B130,FIND("_",$B130)+1,LEN($B130)),IF(FIND("-",$B130)&gt;0,MID($B130,FIND("-",$B130)+1,LEN($B130)))),"")="",IFERROR(VLOOKUP($F130,WP!$B$2:$C$23,2,0),VLOOKUP($C130,Series!$A$3:$F$11,6,0)),IFERROR(VLOOKUP($F130,WP!$B$2:$C$23,2,0),VLOOKUP($C130,Series!$A$3:$F$11,6,0))&amp;" - "&amp;(IFERROR(IF(FIND("_",$B130)&gt;0,MID($B130,FIND("_",$B130)+1,LEN($B130)),IF(FIND("-",$B130)&gt;0,MID($B130,FIND("-",$B130)+1,LEN($B130)))),""))),""),LEFT((_xlfn.IFNA(IF(IFERROR(IF(FIND("_",$B130)&gt;0,MID($B130,FIND("_",$B130)+1,LEN($B130)),IF(FIND("-",$B130)&gt;0,MID($B130,FIND("-",$B130)+1,LEN($B130)))),"")="",IFERROR(VLOOKUP($F130,WP!$B$2:$C$23,2,0),VLOOKUP($C130,Series!$A$3:$F$11,6,0)),IFERROR(VLOOKUP($F130,WP!$B$2:$C$23,2,0),VLOOKUP($C130,Series!$A$3:$F$11,6,0))&amp;" - "&amp;(IFERROR(IF(FIND("_",$B130)&gt;0,MID($B130,FIND("_",$B130)+1,LEN($B130)),IF(FIND("-",$B130)&gt;0,MID($B130,FIND("-",$B130)+1,LEN($B130)))),""))),"")),64))</f>
        <v/>
      </c>
      <c r="H130" s="12"/>
      <c r="I130" s="12" t="str">
        <f>IF($D130&lt;&gt;"",COUNTIF($D$7:$D130,"="&amp;$D130),"")</f>
        <v/>
      </c>
      <c r="J130"/>
      <c r="K130" s="8"/>
      <c r="L130"/>
    </row>
    <row r="131" spans="1:12" x14ac:dyDescent="0.3">
      <c r="A131" s="1"/>
      <c r="B131" s="26"/>
      <c r="C131" s="12" t="str">
        <f>_xlfn.IFNA(IFERROR(IF(FIND("_",$B131)&gt;0,INDEX(WP!$A$2:$F$23,MATCH(LEFT($B131,FIND("_",$B131)-1),WP!$E$2:$E$23,0),1),IF(FIND("-",$B131)&gt;0,INDEX(WP!$A$2:$F$23,MATCH(LEFT($B131,FIND("_",$B131)-1),WP!$E$2:$E$23,0),1))),INDEX(WP!$A$2:$F$23,MATCH(Results!$B131,WP!$E$2:$E$23,0),1)),"")</f>
        <v/>
      </c>
      <c r="D131" s="12" t="str">
        <f>IFERROR(IFERROR(IF(RIGHT(INDEX(WP!$A$2:$F$23,MATCH(IF(FIND("_",$B131)&gt;0,LEFT($B131,FIND("_",$B131)-1)),WP!$E$2:$E$23,0),2),6)="Series",LEFT(INDEX(WP!$A$2:$F$23,MATCH(IF(FIND("_",$B131)&gt;0,LEFT($B131,FIND("_",$B131)-1)),WP!$E$2:$E$23,0),2),5),""),IF(RIGHT(INDEX(WP!$A$2:$F$23,MATCH($B131,WP!$E$2:$E$23,0),2),6)="Series",LEFT(INDEX(WP!$A$2:$F$23,MATCH($B131,WP!$E$2:$E$23,0),2),5),"")),"")</f>
        <v/>
      </c>
      <c r="E131" s="17" t="str">
        <f>IFERROR(VLOOKUP(VALUE($D131),Series!$B$3:$F$11,2,0),"")</f>
        <v/>
      </c>
      <c r="F131" s="12" t="str">
        <f>_xlfn.IFNA(IF(IF($D131&lt;&gt;"",COUNTIF($E:$E,"="&amp;$D131),"")="",IF(RIGHT(IFERROR(IF(FIND("_",$B131)&gt;0,INDEX(WP!$A$2:$F$23,MATCH(LEFT($B131,FIND("_",$B131)-1),WP!$E$2:$E$23,0),2),IF(FIND("-",$B131)&gt;0,INDEX(WP!$A$2:$F$23,MATCH(LEFT($B131,FIND("_",$B131)-1),WP!$E$2:$E$23,0),2))),INDEX(WP!$A$2:$F$23,MATCH(Results!$B131,WP!$E$2:$E$23,0),2)),6)="Series",LEFT(IFERROR(IF(FIND("_",$B131)&gt;0,INDEX(WP!$A$2:$F$23,MATCH(LEFT($B131,FIND("_",$B131)-1),WP!$E$2:$E$23,0),2),IF(FIND("-",$B131)&gt;0,INDEX(WP!$A$2:$F$23,MATCH(LEFT($B131,FIND("_",$B131)-1),WP!$E$2:$E$23,0),2))),INDEX(WP!$A$2:$F$23,MATCH(Results!$B131,WP!$E$2:$E$23,0),2)),5),(IFERROR(IF(FIND("_",$B131)&gt;0,INDEX(WP!$A$2:$F$23,MATCH(LEFT($B131,FIND("_",$B131)-1),WP!$E$2:$E$23,0),2),IF(FIND("-",$B131)&gt;0,INDEX(WP!$A$2:$F$23,MATCH(LEFT($B131,FIND("_",$B131)-1),WP!$E$2:$E$23,0),2))),INDEX(WP!$A$2:$F$23,MATCH(Results!$B131,WP!$E$2:$E$23,0),2)))),IF(RIGHT(IFERROR(IF(FIND("_",$B131)&gt;0,INDEX(WP!$A$2:$F$23,MATCH(LEFT($B131,FIND("_",$B131)-1),WP!$E$2:$E$23,0),2),IF(FIND("-",$B131)&gt;0,INDEX(WP!$A$2:$F$23,MATCH(LEFT($B131,FIND("_",$B131)-1),WP!$E$2:$E$23,0),2))),INDEX(WP!$A$2:$F$23,MATCH(Results!$B131,WP!$E$2:$E$23,0),2)),6)="Series",LEFT(IFERROR(IF(FIND("_",$B131)&gt;0,INDEX(WP!$A$2:$F$23,MATCH(LEFT($B131,FIND("_",$B131)-1),WP!$E$2:$E$23,0),2),IF(FIND("-",$B131)&gt;0,INDEX(WP!$A$2:$F$23,MATCH(LEFT($B131,FIND("_",$B131)-1),WP!$E$2:$E$23,0),2))),INDEX(WP!$A$2:$F$23,MATCH(Results!$B131,WP!$E$2:$E$23,0),2)),5),(IFERROR(IF(FIND("_",$B131)&gt;0,INDEX(WP!$A$2:$F$23,MATCH(LEFT($B131,FIND("_",$B131)-1),WP!$E$2:$E$23,0),2),IF(FIND("-",$B131)&gt;0,INDEX(WP!$A$2:$F$23,MATCH(LEFT($B131,FIND("_",$B131)-1),WP!$E$2:$E$23,0),2))),INDEX(WP!$A$2:$F$23,MATCH(Results!$B131,WP!$E$2:$E$23,0),2))))&amp;"-"&amp;$I131),"")</f>
        <v/>
      </c>
      <c r="G131" s="17" t="str">
        <f>IF(LEN(_xlfn.IFNA(IF(IFERROR(IF(FIND("_",$B131)&gt;0,MID($B131,FIND("_",$B131)+1,LEN($B131)),IF(FIND("-",$B131)&gt;0,MID($B131,FIND("-",$B131)+1,LEN($B131)))),"")="",IFERROR(VLOOKUP($F131,WP!$B$2:$C$23,2,0),VLOOKUP($C131,Series!$A$3:$F$11,6,0)),IFERROR(VLOOKUP($F131,WP!$B$2:$C$23,2,0),VLOOKUP($C131,Series!$A$3:$F$11,6,0))&amp;" - "&amp;(IFERROR(IF(FIND("_",$B131)&gt;0,MID($B131,FIND("_",$B131)+1,LEN($B131)),IF(FIND("-",$B131)&gt;0,MID($B131,FIND("-",$B131)+1,LEN($B131)))),""))),""))&lt;64,_xlfn.IFNA(IF(IFERROR(IF(FIND("_",$B131)&gt;0,MID($B131,FIND("_",$B131)+1,LEN($B131)),IF(FIND("-",$B131)&gt;0,MID($B131,FIND("-",$B131)+1,LEN($B131)))),"")="",IFERROR(VLOOKUP($F131,WP!$B$2:$C$23,2,0),VLOOKUP($C131,Series!$A$3:$F$11,6,0)),IFERROR(VLOOKUP($F131,WP!$B$2:$C$23,2,0),VLOOKUP($C131,Series!$A$3:$F$11,6,0))&amp;" - "&amp;(IFERROR(IF(FIND("_",$B131)&gt;0,MID($B131,FIND("_",$B131)+1,LEN($B131)),IF(FIND("-",$B131)&gt;0,MID($B131,FIND("-",$B131)+1,LEN($B131)))),""))),""),LEFT((_xlfn.IFNA(IF(IFERROR(IF(FIND("_",$B131)&gt;0,MID($B131,FIND("_",$B131)+1,LEN($B131)),IF(FIND("-",$B131)&gt;0,MID($B131,FIND("-",$B131)+1,LEN($B131)))),"")="",IFERROR(VLOOKUP($F131,WP!$B$2:$C$23,2,0),VLOOKUP($C131,Series!$A$3:$F$11,6,0)),IFERROR(VLOOKUP($F131,WP!$B$2:$C$23,2,0),VLOOKUP($C131,Series!$A$3:$F$11,6,0))&amp;" - "&amp;(IFERROR(IF(FIND("_",$B131)&gt;0,MID($B131,FIND("_",$B131)+1,LEN($B131)),IF(FIND("-",$B131)&gt;0,MID($B131,FIND("-",$B131)+1,LEN($B131)))),""))),"")),64))</f>
        <v/>
      </c>
      <c r="H131" s="12"/>
      <c r="I131" s="12" t="str">
        <f>IF($D131&lt;&gt;"",COUNTIF($D$7:$D131,"="&amp;$D131),"")</f>
        <v/>
      </c>
      <c r="J131"/>
      <c r="K131" s="8"/>
      <c r="L131"/>
    </row>
    <row r="132" spans="1:12" x14ac:dyDescent="0.3">
      <c r="A132" s="1"/>
      <c r="B132" s="26"/>
      <c r="C132" s="12" t="str">
        <f>_xlfn.IFNA(IFERROR(IF(FIND("_",$B132)&gt;0,INDEX(WP!$A$2:$F$23,MATCH(LEFT($B132,FIND("_",$B132)-1),WP!$E$2:$E$23,0),1),IF(FIND("-",$B132)&gt;0,INDEX(WP!$A$2:$F$23,MATCH(LEFT($B132,FIND("_",$B132)-1),WP!$E$2:$E$23,0),1))),INDEX(WP!$A$2:$F$23,MATCH(Results!$B132,WP!$E$2:$E$23,0),1)),"")</f>
        <v/>
      </c>
      <c r="D132" s="12" t="str">
        <f>IFERROR(IFERROR(IF(RIGHT(INDEX(WP!$A$2:$F$23,MATCH(IF(FIND("_",$B132)&gt;0,LEFT($B132,FIND("_",$B132)-1)),WP!$E$2:$E$23,0),2),6)="Series",LEFT(INDEX(WP!$A$2:$F$23,MATCH(IF(FIND("_",$B132)&gt;0,LEFT($B132,FIND("_",$B132)-1)),WP!$E$2:$E$23,0),2),5),""),IF(RIGHT(INDEX(WP!$A$2:$F$23,MATCH($B132,WP!$E$2:$E$23,0),2),6)="Series",LEFT(INDEX(WP!$A$2:$F$23,MATCH($B132,WP!$E$2:$E$23,0),2),5),"")),"")</f>
        <v/>
      </c>
      <c r="E132" s="17" t="str">
        <f>IFERROR(VLOOKUP(VALUE($D132),Series!$B$3:$F$11,2,0),"")</f>
        <v/>
      </c>
      <c r="F132" s="12" t="str">
        <f>_xlfn.IFNA(IF(IF($D132&lt;&gt;"",COUNTIF($E:$E,"="&amp;$D132),"")="",IF(RIGHT(IFERROR(IF(FIND("_",$B132)&gt;0,INDEX(WP!$A$2:$F$23,MATCH(LEFT($B132,FIND("_",$B132)-1),WP!$E$2:$E$23,0),2),IF(FIND("-",$B132)&gt;0,INDEX(WP!$A$2:$F$23,MATCH(LEFT($B132,FIND("_",$B132)-1),WP!$E$2:$E$23,0),2))),INDEX(WP!$A$2:$F$23,MATCH(Results!$B132,WP!$E$2:$E$23,0),2)),6)="Series",LEFT(IFERROR(IF(FIND("_",$B132)&gt;0,INDEX(WP!$A$2:$F$23,MATCH(LEFT($B132,FIND("_",$B132)-1),WP!$E$2:$E$23,0),2),IF(FIND("-",$B132)&gt;0,INDEX(WP!$A$2:$F$23,MATCH(LEFT($B132,FIND("_",$B132)-1),WP!$E$2:$E$23,0),2))),INDEX(WP!$A$2:$F$23,MATCH(Results!$B132,WP!$E$2:$E$23,0),2)),5),(IFERROR(IF(FIND("_",$B132)&gt;0,INDEX(WP!$A$2:$F$23,MATCH(LEFT($B132,FIND("_",$B132)-1),WP!$E$2:$E$23,0),2),IF(FIND("-",$B132)&gt;0,INDEX(WP!$A$2:$F$23,MATCH(LEFT($B132,FIND("_",$B132)-1),WP!$E$2:$E$23,0),2))),INDEX(WP!$A$2:$F$23,MATCH(Results!$B132,WP!$E$2:$E$23,0),2)))),IF(RIGHT(IFERROR(IF(FIND("_",$B132)&gt;0,INDEX(WP!$A$2:$F$23,MATCH(LEFT($B132,FIND("_",$B132)-1),WP!$E$2:$E$23,0),2),IF(FIND("-",$B132)&gt;0,INDEX(WP!$A$2:$F$23,MATCH(LEFT($B132,FIND("_",$B132)-1),WP!$E$2:$E$23,0),2))),INDEX(WP!$A$2:$F$23,MATCH(Results!$B132,WP!$E$2:$E$23,0),2)),6)="Series",LEFT(IFERROR(IF(FIND("_",$B132)&gt;0,INDEX(WP!$A$2:$F$23,MATCH(LEFT($B132,FIND("_",$B132)-1),WP!$E$2:$E$23,0),2),IF(FIND("-",$B132)&gt;0,INDEX(WP!$A$2:$F$23,MATCH(LEFT($B132,FIND("_",$B132)-1),WP!$E$2:$E$23,0),2))),INDEX(WP!$A$2:$F$23,MATCH(Results!$B132,WP!$E$2:$E$23,0),2)),5),(IFERROR(IF(FIND("_",$B132)&gt;0,INDEX(WP!$A$2:$F$23,MATCH(LEFT($B132,FIND("_",$B132)-1),WP!$E$2:$E$23,0),2),IF(FIND("-",$B132)&gt;0,INDEX(WP!$A$2:$F$23,MATCH(LEFT($B132,FIND("_",$B132)-1),WP!$E$2:$E$23,0),2))),INDEX(WP!$A$2:$F$23,MATCH(Results!$B132,WP!$E$2:$E$23,0),2))))&amp;"-"&amp;$I132),"")</f>
        <v/>
      </c>
      <c r="G132" s="17" t="str">
        <f>IF(LEN(_xlfn.IFNA(IF(IFERROR(IF(FIND("_",$B132)&gt;0,MID($B132,FIND("_",$B132)+1,LEN($B132)),IF(FIND("-",$B132)&gt;0,MID($B132,FIND("-",$B132)+1,LEN($B132)))),"")="",IFERROR(VLOOKUP($F132,WP!$B$2:$C$23,2,0),VLOOKUP($C132,Series!$A$3:$F$11,6,0)),IFERROR(VLOOKUP($F132,WP!$B$2:$C$23,2,0),VLOOKUP($C132,Series!$A$3:$F$11,6,0))&amp;" - "&amp;(IFERROR(IF(FIND("_",$B132)&gt;0,MID($B132,FIND("_",$B132)+1,LEN($B132)),IF(FIND("-",$B132)&gt;0,MID($B132,FIND("-",$B132)+1,LEN($B132)))),""))),""))&lt;64,_xlfn.IFNA(IF(IFERROR(IF(FIND("_",$B132)&gt;0,MID($B132,FIND("_",$B132)+1,LEN($B132)),IF(FIND("-",$B132)&gt;0,MID($B132,FIND("-",$B132)+1,LEN($B132)))),"")="",IFERROR(VLOOKUP($F132,WP!$B$2:$C$23,2,0),VLOOKUP($C132,Series!$A$3:$F$11,6,0)),IFERROR(VLOOKUP($F132,WP!$B$2:$C$23,2,0),VLOOKUP($C132,Series!$A$3:$F$11,6,0))&amp;" - "&amp;(IFERROR(IF(FIND("_",$B132)&gt;0,MID($B132,FIND("_",$B132)+1,LEN($B132)),IF(FIND("-",$B132)&gt;0,MID($B132,FIND("-",$B132)+1,LEN($B132)))),""))),""),LEFT((_xlfn.IFNA(IF(IFERROR(IF(FIND("_",$B132)&gt;0,MID($B132,FIND("_",$B132)+1,LEN($B132)),IF(FIND("-",$B132)&gt;0,MID($B132,FIND("-",$B132)+1,LEN($B132)))),"")="",IFERROR(VLOOKUP($F132,WP!$B$2:$C$23,2,0),VLOOKUP($C132,Series!$A$3:$F$11,6,0)),IFERROR(VLOOKUP($F132,WP!$B$2:$C$23,2,0),VLOOKUP($C132,Series!$A$3:$F$11,6,0))&amp;" - "&amp;(IFERROR(IF(FIND("_",$B132)&gt;0,MID($B132,FIND("_",$B132)+1,LEN($B132)),IF(FIND("-",$B132)&gt;0,MID($B132,FIND("-",$B132)+1,LEN($B132)))),""))),"")),64))</f>
        <v/>
      </c>
      <c r="H132" s="12"/>
      <c r="I132" s="12" t="str">
        <f>IF($D132&lt;&gt;"",COUNTIF($D$7:$D132,"="&amp;$D132),"")</f>
        <v/>
      </c>
      <c r="J132"/>
      <c r="K132" s="8"/>
      <c r="L132"/>
    </row>
    <row r="133" spans="1:12" x14ac:dyDescent="0.3">
      <c r="A133" s="1"/>
      <c r="B133" s="26"/>
      <c r="C133" s="12" t="str">
        <f>_xlfn.IFNA(IFERROR(IF(FIND("_",$B133)&gt;0,INDEX(WP!$A$2:$F$23,MATCH(LEFT($B133,FIND("_",$B133)-1),WP!$E$2:$E$23,0),1),IF(FIND("-",$B133)&gt;0,INDEX(WP!$A$2:$F$23,MATCH(LEFT($B133,FIND("_",$B133)-1),WP!$E$2:$E$23,0),1))),INDEX(WP!$A$2:$F$23,MATCH(Results!$B133,WP!$E$2:$E$23,0),1)),"")</f>
        <v/>
      </c>
      <c r="D133" s="12" t="str">
        <f>IFERROR(IFERROR(IF(RIGHT(INDEX(WP!$A$2:$F$23,MATCH(IF(FIND("_",$B133)&gt;0,LEFT($B133,FIND("_",$B133)-1)),WP!$E$2:$E$23,0),2),6)="Series",LEFT(INDEX(WP!$A$2:$F$23,MATCH(IF(FIND("_",$B133)&gt;0,LEFT($B133,FIND("_",$B133)-1)),WP!$E$2:$E$23,0),2),5),""),IF(RIGHT(INDEX(WP!$A$2:$F$23,MATCH($B133,WP!$E$2:$E$23,0),2),6)="Series",LEFT(INDEX(WP!$A$2:$F$23,MATCH($B133,WP!$E$2:$E$23,0),2),5),"")),"")</f>
        <v/>
      </c>
      <c r="E133" s="17" t="str">
        <f>IFERROR(VLOOKUP(VALUE($D133),Series!$B$3:$F$11,2,0),"")</f>
        <v/>
      </c>
      <c r="F133" s="12" t="str">
        <f>_xlfn.IFNA(IF(IF($D133&lt;&gt;"",COUNTIF($E:$E,"="&amp;$D133),"")="",IF(RIGHT(IFERROR(IF(FIND("_",$B133)&gt;0,INDEX(WP!$A$2:$F$23,MATCH(LEFT($B133,FIND("_",$B133)-1),WP!$E$2:$E$23,0),2),IF(FIND("-",$B133)&gt;0,INDEX(WP!$A$2:$F$23,MATCH(LEFT($B133,FIND("_",$B133)-1),WP!$E$2:$E$23,0),2))),INDEX(WP!$A$2:$F$23,MATCH(Results!$B133,WP!$E$2:$E$23,0),2)),6)="Series",LEFT(IFERROR(IF(FIND("_",$B133)&gt;0,INDEX(WP!$A$2:$F$23,MATCH(LEFT($B133,FIND("_",$B133)-1),WP!$E$2:$E$23,0),2),IF(FIND("-",$B133)&gt;0,INDEX(WP!$A$2:$F$23,MATCH(LEFT($B133,FIND("_",$B133)-1),WP!$E$2:$E$23,0),2))),INDEX(WP!$A$2:$F$23,MATCH(Results!$B133,WP!$E$2:$E$23,0),2)),5),(IFERROR(IF(FIND("_",$B133)&gt;0,INDEX(WP!$A$2:$F$23,MATCH(LEFT($B133,FIND("_",$B133)-1),WP!$E$2:$E$23,0),2),IF(FIND("-",$B133)&gt;0,INDEX(WP!$A$2:$F$23,MATCH(LEFT($B133,FIND("_",$B133)-1),WP!$E$2:$E$23,0),2))),INDEX(WP!$A$2:$F$23,MATCH(Results!$B133,WP!$E$2:$E$23,0),2)))),IF(RIGHT(IFERROR(IF(FIND("_",$B133)&gt;0,INDEX(WP!$A$2:$F$23,MATCH(LEFT($B133,FIND("_",$B133)-1),WP!$E$2:$E$23,0),2),IF(FIND("-",$B133)&gt;0,INDEX(WP!$A$2:$F$23,MATCH(LEFT($B133,FIND("_",$B133)-1),WP!$E$2:$E$23,0),2))),INDEX(WP!$A$2:$F$23,MATCH(Results!$B133,WP!$E$2:$E$23,0),2)),6)="Series",LEFT(IFERROR(IF(FIND("_",$B133)&gt;0,INDEX(WP!$A$2:$F$23,MATCH(LEFT($B133,FIND("_",$B133)-1),WP!$E$2:$E$23,0),2),IF(FIND("-",$B133)&gt;0,INDEX(WP!$A$2:$F$23,MATCH(LEFT($B133,FIND("_",$B133)-1),WP!$E$2:$E$23,0),2))),INDEX(WP!$A$2:$F$23,MATCH(Results!$B133,WP!$E$2:$E$23,0),2)),5),(IFERROR(IF(FIND("_",$B133)&gt;0,INDEX(WP!$A$2:$F$23,MATCH(LEFT($B133,FIND("_",$B133)-1),WP!$E$2:$E$23,0),2),IF(FIND("-",$B133)&gt;0,INDEX(WP!$A$2:$F$23,MATCH(LEFT($B133,FIND("_",$B133)-1),WP!$E$2:$E$23,0),2))),INDEX(WP!$A$2:$F$23,MATCH(Results!$B133,WP!$E$2:$E$23,0),2))))&amp;"-"&amp;$I133),"")</f>
        <v/>
      </c>
      <c r="G133" s="17" t="str">
        <f>IF(LEN(_xlfn.IFNA(IF(IFERROR(IF(FIND("_",$B133)&gt;0,MID($B133,FIND("_",$B133)+1,LEN($B133)),IF(FIND("-",$B133)&gt;0,MID($B133,FIND("-",$B133)+1,LEN($B133)))),"")="",IFERROR(VLOOKUP($F133,WP!$B$2:$C$23,2,0),VLOOKUP($C133,Series!$A$3:$F$11,6,0)),IFERROR(VLOOKUP($F133,WP!$B$2:$C$23,2,0),VLOOKUP($C133,Series!$A$3:$F$11,6,0))&amp;" - "&amp;(IFERROR(IF(FIND("_",$B133)&gt;0,MID($B133,FIND("_",$B133)+1,LEN($B133)),IF(FIND("-",$B133)&gt;0,MID($B133,FIND("-",$B133)+1,LEN($B133)))),""))),""))&lt;64,_xlfn.IFNA(IF(IFERROR(IF(FIND("_",$B133)&gt;0,MID($B133,FIND("_",$B133)+1,LEN($B133)),IF(FIND("-",$B133)&gt;0,MID($B133,FIND("-",$B133)+1,LEN($B133)))),"")="",IFERROR(VLOOKUP($F133,WP!$B$2:$C$23,2,0),VLOOKUP($C133,Series!$A$3:$F$11,6,0)),IFERROR(VLOOKUP($F133,WP!$B$2:$C$23,2,0),VLOOKUP($C133,Series!$A$3:$F$11,6,0))&amp;" - "&amp;(IFERROR(IF(FIND("_",$B133)&gt;0,MID($B133,FIND("_",$B133)+1,LEN($B133)),IF(FIND("-",$B133)&gt;0,MID($B133,FIND("-",$B133)+1,LEN($B133)))),""))),""),LEFT((_xlfn.IFNA(IF(IFERROR(IF(FIND("_",$B133)&gt;0,MID($B133,FIND("_",$B133)+1,LEN($B133)),IF(FIND("-",$B133)&gt;0,MID($B133,FIND("-",$B133)+1,LEN($B133)))),"")="",IFERROR(VLOOKUP($F133,WP!$B$2:$C$23,2,0),VLOOKUP($C133,Series!$A$3:$F$11,6,0)),IFERROR(VLOOKUP($F133,WP!$B$2:$C$23,2,0),VLOOKUP($C133,Series!$A$3:$F$11,6,0))&amp;" - "&amp;(IFERROR(IF(FIND("_",$B133)&gt;0,MID($B133,FIND("_",$B133)+1,LEN($B133)),IF(FIND("-",$B133)&gt;0,MID($B133,FIND("-",$B133)+1,LEN($B133)))),""))),"")),64))</f>
        <v/>
      </c>
      <c r="H133" s="12"/>
      <c r="I133" s="12" t="str">
        <f>IF($D133&lt;&gt;"",COUNTIF($D$7:$D133,"="&amp;$D133),"")</f>
        <v/>
      </c>
      <c r="J133"/>
      <c r="K133" s="8"/>
      <c r="L133"/>
    </row>
    <row r="134" spans="1:12" x14ac:dyDescent="0.3">
      <c r="A134" s="1"/>
      <c r="B134" s="26"/>
      <c r="C134" s="12" t="str">
        <f>_xlfn.IFNA(IFERROR(IF(FIND("_",$B134)&gt;0,INDEX(WP!$A$2:$F$23,MATCH(LEFT($B134,FIND("_",$B134)-1),WP!$E$2:$E$23,0),1),IF(FIND("-",$B134)&gt;0,INDEX(WP!$A$2:$F$23,MATCH(LEFT($B134,FIND("_",$B134)-1),WP!$E$2:$E$23,0),1))),INDEX(WP!$A$2:$F$23,MATCH(Results!$B134,WP!$E$2:$E$23,0),1)),"")</f>
        <v/>
      </c>
      <c r="D134" s="12" t="str">
        <f>IFERROR(IFERROR(IF(RIGHT(INDEX(WP!$A$2:$F$23,MATCH(IF(FIND("_",$B134)&gt;0,LEFT($B134,FIND("_",$B134)-1)),WP!$E$2:$E$23,0),2),6)="Series",LEFT(INDEX(WP!$A$2:$F$23,MATCH(IF(FIND("_",$B134)&gt;0,LEFT($B134,FIND("_",$B134)-1)),WP!$E$2:$E$23,0),2),5),""),IF(RIGHT(INDEX(WP!$A$2:$F$23,MATCH($B134,WP!$E$2:$E$23,0),2),6)="Series",LEFT(INDEX(WP!$A$2:$F$23,MATCH($B134,WP!$E$2:$E$23,0),2),5),"")),"")</f>
        <v/>
      </c>
      <c r="E134" s="17" t="str">
        <f>IFERROR(VLOOKUP(VALUE($D134),Series!$B$3:$F$11,2,0),"")</f>
        <v/>
      </c>
      <c r="F134" s="12" t="str">
        <f>_xlfn.IFNA(IF(IF($D134&lt;&gt;"",COUNTIF($E:$E,"="&amp;$D134),"")="",IF(RIGHT(IFERROR(IF(FIND("_",$B134)&gt;0,INDEX(WP!$A$2:$F$23,MATCH(LEFT($B134,FIND("_",$B134)-1),WP!$E$2:$E$23,0),2),IF(FIND("-",$B134)&gt;0,INDEX(WP!$A$2:$F$23,MATCH(LEFT($B134,FIND("_",$B134)-1),WP!$E$2:$E$23,0),2))),INDEX(WP!$A$2:$F$23,MATCH(Results!$B134,WP!$E$2:$E$23,0),2)),6)="Series",LEFT(IFERROR(IF(FIND("_",$B134)&gt;0,INDEX(WP!$A$2:$F$23,MATCH(LEFT($B134,FIND("_",$B134)-1),WP!$E$2:$E$23,0),2),IF(FIND("-",$B134)&gt;0,INDEX(WP!$A$2:$F$23,MATCH(LEFT($B134,FIND("_",$B134)-1),WP!$E$2:$E$23,0),2))),INDEX(WP!$A$2:$F$23,MATCH(Results!$B134,WP!$E$2:$E$23,0),2)),5),(IFERROR(IF(FIND("_",$B134)&gt;0,INDEX(WP!$A$2:$F$23,MATCH(LEFT($B134,FIND("_",$B134)-1),WP!$E$2:$E$23,0),2),IF(FIND("-",$B134)&gt;0,INDEX(WP!$A$2:$F$23,MATCH(LEFT($B134,FIND("_",$B134)-1),WP!$E$2:$E$23,0),2))),INDEX(WP!$A$2:$F$23,MATCH(Results!$B134,WP!$E$2:$E$23,0),2)))),IF(RIGHT(IFERROR(IF(FIND("_",$B134)&gt;0,INDEX(WP!$A$2:$F$23,MATCH(LEFT($B134,FIND("_",$B134)-1),WP!$E$2:$E$23,0),2),IF(FIND("-",$B134)&gt;0,INDEX(WP!$A$2:$F$23,MATCH(LEFT($B134,FIND("_",$B134)-1),WP!$E$2:$E$23,0),2))),INDEX(WP!$A$2:$F$23,MATCH(Results!$B134,WP!$E$2:$E$23,0),2)),6)="Series",LEFT(IFERROR(IF(FIND("_",$B134)&gt;0,INDEX(WP!$A$2:$F$23,MATCH(LEFT($B134,FIND("_",$B134)-1),WP!$E$2:$E$23,0),2),IF(FIND("-",$B134)&gt;0,INDEX(WP!$A$2:$F$23,MATCH(LEFT($B134,FIND("_",$B134)-1),WP!$E$2:$E$23,0),2))),INDEX(WP!$A$2:$F$23,MATCH(Results!$B134,WP!$E$2:$E$23,0),2)),5),(IFERROR(IF(FIND("_",$B134)&gt;0,INDEX(WP!$A$2:$F$23,MATCH(LEFT($B134,FIND("_",$B134)-1),WP!$E$2:$E$23,0),2),IF(FIND("-",$B134)&gt;0,INDEX(WP!$A$2:$F$23,MATCH(LEFT($B134,FIND("_",$B134)-1),WP!$E$2:$E$23,0),2))),INDEX(WP!$A$2:$F$23,MATCH(Results!$B134,WP!$E$2:$E$23,0),2))))&amp;"-"&amp;$I134),"")</f>
        <v/>
      </c>
      <c r="G134" s="17" t="str">
        <f>IF(LEN(_xlfn.IFNA(IF(IFERROR(IF(FIND("_",$B134)&gt;0,MID($B134,FIND("_",$B134)+1,LEN($B134)),IF(FIND("-",$B134)&gt;0,MID($B134,FIND("-",$B134)+1,LEN($B134)))),"")="",IFERROR(VLOOKUP($F134,WP!$B$2:$C$23,2,0),VLOOKUP($C134,Series!$A$3:$F$11,6,0)),IFERROR(VLOOKUP($F134,WP!$B$2:$C$23,2,0),VLOOKUP($C134,Series!$A$3:$F$11,6,0))&amp;" - "&amp;(IFERROR(IF(FIND("_",$B134)&gt;0,MID($B134,FIND("_",$B134)+1,LEN($B134)),IF(FIND("-",$B134)&gt;0,MID($B134,FIND("-",$B134)+1,LEN($B134)))),""))),""))&lt;64,_xlfn.IFNA(IF(IFERROR(IF(FIND("_",$B134)&gt;0,MID($B134,FIND("_",$B134)+1,LEN($B134)),IF(FIND("-",$B134)&gt;0,MID($B134,FIND("-",$B134)+1,LEN($B134)))),"")="",IFERROR(VLOOKUP($F134,WP!$B$2:$C$23,2,0),VLOOKUP($C134,Series!$A$3:$F$11,6,0)),IFERROR(VLOOKUP($F134,WP!$B$2:$C$23,2,0),VLOOKUP($C134,Series!$A$3:$F$11,6,0))&amp;" - "&amp;(IFERROR(IF(FIND("_",$B134)&gt;0,MID($B134,FIND("_",$B134)+1,LEN($B134)),IF(FIND("-",$B134)&gt;0,MID($B134,FIND("-",$B134)+1,LEN($B134)))),""))),""),LEFT((_xlfn.IFNA(IF(IFERROR(IF(FIND("_",$B134)&gt;0,MID($B134,FIND("_",$B134)+1,LEN($B134)),IF(FIND("-",$B134)&gt;0,MID($B134,FIND("-",$B134)+1,LEN($B134)))),"")="",IFERROR(VLOOKUP($F134,WP!$B$2:$C$23,2,0),VLOOKUP($C134,Series!$A$3:$F$11,6,0)),IFERROR(VLOOKUP($F134,WP!$B$2:$C$23,2,0),VLOOKUP($C134,Series!$A$3:$F$11,6,0))&amp;" - "&amp;(IFERROR(IF(FIND("_",$B134)&gt;0,MID($B134,FIND("_",$B134)+1,LEN($B134)),IF(FIND("-",$B134)&gt;0,MID($B134,FIND("-",$B134)+1,LEN($B134)))),""))),"")),64))</f>
        <v/>
      </c>
      <c r="H134" s="12"/>
      <c r="I134" s="12" t="str">
        <f>IF($D134&lt;&gt;"",COUNTIF($D$7:$D134,"="&amp;$D134),"")</f>
        <v/>
      </c>
      <c r="J134"/>
      <c r="K134" s="8"/>
      <c r="L134"/>
    </row>
    <row r="135" spans="1:12" x14ac:dyDescent="0.3">
      <c r="A135" s="1"/>
      <c r="B135" s="26"/>
      <c r="C135" s="12" t="str">
        <f>_xlfn.IFNA(IFERROR(IF(FIND("_",$B135)&gt;0,INDEX(WP!$A$2:$F$23,MATCH(LEFT($B135,FIND("_",$B135)-1),WP!$E$2:$E$23,0),1),IF(FIND("-",$B135)&gt;0,INDEX(WP!$A$2:$F$23,MATCH(LEFT($B135,FIND("_",$B135)-1),WP!$E$2:$E$23,0),1))),INDEX(WP!$A$2:$F$23,MATCH(Results!$B135,WP!$E$2:$E$23,0),1)),"")</f>
        <v/>
      </c>
      <c r="D135" s="12" t="str">
        <f>IFERROR(IFERROR(IF(RIGHT(INDEX(WP!$A$2:$F$23,MATCH(IF(FIND("_",$B135)&gt;0,LEFT($B135,FIND("_",$B135)-1)),WP!$E$2:$E$23,0),2),6)="Series",LEFT(INDEX(WP!$A$2:$F$23,MATCH(IF(FIND("_",$B135)&gt;0,LEFT($B135,FIND("_",$B135)-1)),WP!$E$2:$E$23,0),2),5),""),IF(RIGHT(INDEX(WP!$A$2:$F$23,MATCH($B135,WP!$E$2:$E$23,0),2),6)="Series",LEFT(INDEX(WP!$A$2:$F$23,MATCH($B135,WP!$E$2:$E$23,0),2),5),"")),"")</f>
        <v/>
      </c>
      <c r="E135" s="17" t="str">
        <f>IFERROR(VLOOKUP(VALUE($D135),Series!$B$3:$F$11,2,0),"")</f>
        <v/>
      </c>
      <c r="F135" s="12" t="str">
        <f>_xlfn.IFNA(IF(IF($D135&lt;&gt;"",COUNTIF($E:$E,"="&amp;$D135),"")="",IF(RIGHT(IFERROR(IF(FIND("_",$B135)&gt;0,INDEX(WP!$A$2:$F$23,MATCH(LEFT($B135,FIND("_",$B135)-1),WP!$E$2:$E$23,0),2),IF(FIND("-",$B135)&gt;0,INDEX(WP!$A$2:$F$23,MATCH(LEFT($B135,FIND("_",$B135)-1),WP!$E$2:$E$23,0),2))),INDEX(WP!$A$2:$F$23,MATCH(Results!$B135,WP!$E$2:$E$23,0),2)),6)="Series",LEFT(IFERROR(IF(FIND("_",$B135)&gt;0,INDEX(WP!$A$2:$F$23,MATCH(LEFT($B135,FIND("_",$B135)-1),WP!$E$2:$E$23,0),2),IF(FIND("-",$B135)&gt;0,INDEX(WP!$A$2:$F$23,MATCH(LEFT($B135,FIND("_",$B135)-1),WP!$E$2:$E$23,0),2))),INDEX(WP!$A$2:$F$23,MATCH(Results!$B135,WP!$E$2:$E$23,0),2)),5),(IFERROR(IF(FIND("_",$B135)&gt;0,INDEX(WP!$A$2:$F$23,MATCH(LEFT($B135,FIND("_",$B135)-1),WP!$E$2:$E$23,0),2),IF(FIND("-",$B135)&gt;0,INDEX(WP!$A$2:$F$23,MATCH(LEFT($B135,FIND("_",$B135)-1),WP!$E$2:$E$23,0),2))),INDEX(WP!$A$2:$F$23,MATCH(Results!$B135,WP!$E$2:$E$23,0),2)))),IF(RIGHT(IFERROR(IF(FIND("_",$B135)&gt;0,INDEX(WP!$A$2:$F$23,MATCH(LEFT($B135,FIND("_",$B135)-1),WP!$E$2:$E$23,0),2),IF(FIND("-",$B135)&gt;0,INDEX(WP!$A$2:$F$23,MATCH(LEFT($B135,FIND("_",$B135)-1),WP!$E$2:$E$23,0),2))),INDEX(WP!$A$2:$F$23,MATCH(Results!$B135,WP!$E$2:$E$23,0),2)),6)="Series",LEFT(IFERROR(IF(FIND("_",$B135)&gt;0,INDEX(WP!$A$2:$F$23,MATCH(LEFT($B135,FIND("_",$B135)-1),WP!$E$2:$E$23,0),2),IF(FIND("-",$B135)&gt;0,INDEX(WP!$A$2:$F$23,MATCH(LEFT($B135,FIND("_",$B135)-1),WP!$E$2:$E$23,0),2))),INDEX(WP!$A$2:$F$23,MATCH(Results!$B135,WP!$E$2:$E$23,0),2)),5),(IFERROR(IF(FIND("_",$B135)&gt;0,INDEX(WP!$A$2:$F$23,MATCH(LEFT($B135,FIND("_",$B135)-1),WP!$E$2:$E$23,0),2),IF(FIND("-",$B135)&gt;0,INDEX(WP!$A$2:$F$23,MATCH(LEFT($B135,FIND("_",$B135)-1),WP!$E$2:$E$23,0),2))),INDEX(WP!$A$2:$F$23,MATCH(Results!$B135,WP!$E$2:$E$23,0),2))))&amp;"-"&amp;$I135),"")</f>
        <v/>
      </c>
      <c r="G135" s="17" t="str">
        <f>IF(LEN(_xlfn.IFNA(IF(IFERROR(IF(FIND("_",$B135)&gt;0,MID($B135,FIND("_",$B135)+1,LEN($B135)),IF(FIND("-",$B135)&gt;0,MID($B135,FIND("-",$B135)+1,LEN($B135)))),"")="",IFERROR(VLOOKUP($F135,WP!$B$2:$C$23,2,0),VLOOKUP($C135,Series!$A$3:$F$11,6,0)),IFERROR(VLOOKUP($F135,WP!$B$2:$C$23,2,0),VLOOKUP($C135,Series!$A$3:$F$11,6,0))&amp;" - "&amp;(IFERROR(IF(FIND("_",$B135)&gt;0,MID($B135,FIND("_",$B135)+1,LEN($B135)),IF(FIND("-",$B135)&gt;0,MID($B135,FIND("-",$B135)+1,LEN($B135)))),""))),""))&lt;64,_xlfn.IFNA(IF(IFERROR(IF(FIND("_",$B135)&gt;0,MID($B135,FIND("_",$B135)+1,LEN($B135)),IF(FIND("-",$B135)&gt;0,MID($B135,FIND("-",$B135)+1,LEN($B135)))),"")="",IFERROR(VLOOKUP($F135,WP!$B$2:$C$23,2,0),VLOOKUP($C135,Series!$A$3:$F$11,6,0)),IFERROR(VLOOKUP($F135,WP!$B$2:$C$23,2,0),VLOOKUP($C135,Series!$A$3:$F$11,6,0))&amp;" - "&amp;(IFERROR(IF(FIND("_",$B135)&gt;0,MID($B135,FIND("_",$B135)+1,LEN($B135)),IF(FIND("-",$B135)&gt;0,MID($B135,FIND("-",$B135)+1,LEN($B135)))),""))),""),LEFT((_xlfn.IFNA(IF(IFERROR(IF(FIND("_",$B135)&gt;0,MID($B135,FIND("_",$B135)+1,LEN($B135)),IF(FIND("-",$B135)&gt;0,MID($B135,FIND("-",$B135)+1,LEN($B135)))),"")="",IFERROR(VLOOKUP($F135,WP!$B$2:$C$23,2,0),VLOOKUP($C135,Series!$A$3:$F$11,6,0)),IFERROR(VLOOKUP($F135,WP!$B$2:$C$23,2,0),VLOOKUP($C135,Series!$A$3:$F$11,6,0))&amp;" - "&amp;(IFERROR(IF(FIND("_",$B135)&gt;0,MID($B135,FIND("_",$B135)+1,LEN($B135)),IF(FIND("-",$B135)&gt;0,MID($B135,FIND("-",$B135)+1,LEN($B135)))),""))),"")),64))</f>
        <v/>
      </c>
      <c r="H135" s="12"/>
      <c r="I135" s="12" t="str">
        <f>IF($D135&lt;&gt;"",COUNTIF($D$7:$D135,"="&amp;$D135),"")</f>
        <v/>
      </c>
      <c r="J135"/>
      <c r="K135" s="8"/>
      <c r="L135"/>
    </row>
    <row r="136" spans="1:12" x14ac:dyDescent="0.3">
      <c r="A136" s="1"/>
      <c r="B136" s="26"/>
      <c r="C136" s="12" t="str">
        <f>_xlfn.IFNA(IFERROR(IF(FIND("_",$B136)&gt;0,INDEX(WP!$A$2:$F$23,MATCH(LEFT($B136,FIND("_",$B136)-1),WP!$E$2:$E$23,0),1),IF(FIND("-",$B136)&gt;0,INDEX(WP!$A$2:$F$23,MATCH(LEFT($B136,FIND("_",$B136)-1),WP!$E$2:$E$23,0),1))),INDEX(WP!$A$2:$F$23,MATCH(Results!$B136,WP!$E$2:$E$23,0),1)),"")</f>
        <v/>
      </c>
      <c r="D136" s="12" t="str">
        <f>IFERROR(IFERROR(IF(RIGHT(INDEX(WP!$A$2:$F$23,MATCH(IF(FIND("_",$B136)&gt;0,LEFT($B136,FIND("_",$B136)-1)),WP!$E$2:$E$23,0),2),6)="Series",LEFT(INDEX(WP!$A$2:$F$23,MATCH(IF(FIND("_",$B136)&gt;0,LEFT($B136,FIND("_",$B136)-1)),WP!$E$2:$E$23,0),2),5),""),IF(RIGHT(INDEX(WP!$A$2:$F$23,MATCH($B136,WP!$E$2:$E$23,0),2),6)="Series",LEFT(INDEX(WP!$A$2:$F$23,MATCH($B136,WP!$E$2:$E$23,0),2),5),"")),"")</f>
        <v/>
      </c>
      <c r="E136" s="17" t="str">
        <f>IFERROR(VLOOKUP(VALUE($D136),Series!$B$3:$F$11,2,0),"")</f>
        <v/>
      </c>
      <c r="F136" s="12" t="str">
        <f>_xlfn.IFNA(IF(IF($D136&lt;&gt;"",COUNTIF($E:$E,"="&amp;$D136),"")="",IF(RIGHT(IFERROR(IF(FIND("_",$B136)&gt;0,INDEX(WP!$A$2:$F$23,MATCH(LEFT($B136,FIND("_",$B136)-1),WP!$E$2:$E$23,0),2),IF(FIND("-",$B136)&gt;0,INDEX(WP!$A$2:$F$23,MATCH(LEFT($B136,FIND("_",$B136)-1),WP!$E$2:$E$23,0),2))),INDEX(WP!$A$2:$F$23,MATCH(Results!$B136,WP!$E$2:$E$23,0),2)),6)="Series",LEFT(IFERROR(IF(FIND("_",$B136)&gt;0,INDEX(WP!$A$2:$F$23,MATCH(LEFT($B136,FIND("_",$B136)-1),WP!$E$2:$E$23,0),2),IF(FIND("-",$B136)&gt;0,INDEX(WP!$A$2:$F$23,MATCH(LEFT($B136,FIND("_",$B136)-1),WP!$E$2:$E$23,0),2))),INDEX(WP!$A$2:$F$23,MATCH(Results!$B136,WP!$E$2:$E$23,0),2)),5),(IFERROR(IF(FIND("_",$B136)&gt;0,INDEX(WP!$A$2:$F$23,MATCH(LEFT($B136,FIND("_",$B136)-1),WP!$E$2:$E$23,0),2),IF(FIND("-",$B136)&gt;0,INDEX(WP!$A$2:$F$23,MATCH(LEFT($B136,FIND("_",$B136)-1),WP!$E$2:$E$23,0),2))),INDEX(WP!$A$2:$F$23,MATCH(Results!$B136,WP!$E$2:$E$23,0),2)))),IF(RIGHT(IFERROR(IF(FIND("_",$B136)&gt;0,INDEX(WP!$A$2:$F$23,MATCH(LEFT($B136,FIND("_",$B136)-1),WP!$E$2:$E$23,0),2),IF(FIND("-",$B136)&gt;0,INDEX(WP!$A$2:$F$23,MATCH(LEFT($B136,FIND("_",$B136)-1),WP!$E$2:$E$23,0),2))),INDEX(WP!$A$2:$F$23,MATCH(Results!$B136,WP!$E$2:$E$23,0),2)),6)="Series",LEFT(IFERROR(IF(FIND("_",$B136)&gt;0,INDEX(WP!$A$2:$F$23,MATCH(LEFT($B136,FIND("_",$B136)-1),WP!$E$2:$E$23,0),2),IF(FIND("-",$B136)&gt;0,INDEX(WP!$A$2:$F$23,MATCH(LEFT($B136,FIND("_",$B136)-1),WP!$E$2:$E$23,0),2))),INDEX(WP!$A$2:$F$23,MATCH(Results!$B136,WP!$E$2:$E$23,0),2)),5),(IFERROR(IF(FIND("_",$B136)&gt;0,INDEX(WP!$A$2:$F$23,MATCH(LEFT($B136,FIND("_",$B136)-1),WP!$E$2:$E$23,0),2),IF(FIND("-",$B136)&gt;0,INDEX(WP!$A$2:$F$23,MATCH(LEFT($B136,FIND("_",$B136)-1),WP!$E$2:$E$23,0),2))),INDEX(WP!$A$2:$F$23,MATCH(Results!$B136,WP!$E$2:$E$23,0),2))))&amp;"-"&amp;$I136),"")</f>
        <v/>
      </c>
      <c r="G136" s="17" t="str">
        <f>IF(LEN(_xlfn.IFNA(IF(IFERROR(IF(FIND("_",$B136)&gt;0,MID($B136,FIND("_",$B136)+1,LEN($B136)),IF(FIND("-",$B136)&gt;0,MID($B136,FIND("-",$B136)+1,LEN($B136)))),"")="",IFERROR(VLOOKUP($F136,WP!$B$2:$C$23,2,0),VLOOKUP($C136,Series!$A$3:$F$11,6,0)),IFERROR(VLOOKUP($F136,WP!$B$2:$C$23,2,0),VLOOKUP($C136,Series!$A$3:$F$11,6,0))&amp;" - "&amp;(IFERROR(IF(FIND("_",$B136)&gt;0,MID($B136,FIND("_",$B136)+1,LEN($B136)),IF(FIND("-",$B136)&gt;0,MID($B136,FIND("-",$B136)+1,LEN($B136)))),""))),""))&lt;64,_xlfn.IFNA(IF(IFERROR(IF(FIND("_",$B136)&gt;0,MID($B136,FIND("_",$B136)+1,LEN($B136)),IF(FIND("-",$B136)&gt;0,MID($B136,FIND("-",$B136)+1,LEN($B136)))),"")="",IFERROR(VLOOKUP($F136,WP!$B$2:$C$23,2,0),VLOOKUP($C136,Series!$A$3:$F$11,6,0)),IFERROR(VLOOKUP($F136,WP!$B$2:$C$23,2,0),VLOOKUP($C136,Series!$A$3:$F$11,6,0))&amp;" - "&amp;(IFERROR(IF(FIND("_",$B136)&gt;0,MID($B136,FIND("_",$B136)+1,LEN($B136)),IF(FIND("-",$B136)&gt;0,MID($B136,FIND("-",$B136)+1,LEN($B136)))),""))),""),LEFT((_xlfn.IFNA(IF(IFERROR(IF(FIND("_",$B136)&gt;0,MID($B136,FIND("_",$B136)+1,LEN($B136)),IF(FIND("-",$B136)&gt;0,MID($B136,FIND("-",$B136)+1,LEN($B136)))),"")="",IFERROR(VLOOKUP($F136,WP!$B$2:$C$23,2,0),VLOOKUP($C136,Series!$A$3:$F$11,6,0)),IFERROR(VLOOKUP($F136,WP!$B$2:$C$23,2,0),VLOOKUP($C136,Series!$A$3:$F$11,6,0))&amp;" - "&amp;(IFERROR(IF(FIND("_",$B136)&gt;0,MID($B136,FIND("_",$B136)+1,LEN($B136)),IF(FIND("-",$B136)&gt;0,MID($B136,FIND("-",$B136)+1,LEN($B136)))),""))),"")),64))</f>
        <v/>
      </c>
      <c r="H136" s="12"/>
      <c r="I136" s="12" t="str">
        <f>IF($D136&lt;&gt;"",COUNTIF($D$7:$D136,"="&amp;$D136),"")</f>
        <v/>
      </c>
      <c r="J136"/>
      <c r="K136" s="8"/>
      <c r="L136"/>
    </row>
    <row r="137" spans="1:12" x14ac:dyDescent="0.3">
      <c r="A137" s="1"/>
      <c r="B137" s="26"/>
      <c r="C137" s="12" t="str">
        <f>_xlfn.IFNA(IFERROR(IF(FIND("_",$B137)&gt;0,INDEX(WP!$A$2:$F$23,MATCH(LEFT($B137,FIND("_",$B137)-1),WP!$E$2:$E$23,0),1),IF(FIND("-",$B137)&gt;0,INDEX(WP!$A$2:$F$23,MATCH(LEFT($B137,FIND("_",$B137)-1),WP!$E$2:$E$23,0),1))),INDEX(WP!$A$2:$F$23,MATCH(Results!$B137,WP!$E$2:$E$23,0),1)),"")</f>
        <v/>
      </c>
      <c r="D137" s="12" t="str">
        <f>IFERROR(IFERROR(IF(RIGHT(INDEX(WP!$A$2:$F$23,MATCH(IF(FIND("_",$B137)&gt;0,LEFT($B137,FIND("_",$B137)-1)),WP!$E$2:$E$23,0),2),6)="Series",LEFT(INDEX(WP!$A$2:$F$23,MATCH(IF(FIND("_",$B137)&gt;0,LEFT($B137,FIND("_",$B137)-1)),WP!$E$2:$E$23,0),2),5),""),IF(RIGHT(INDEX(WP!$A$2:$F$23,MATCH($B137,WP!$E$2:$E$23,0),2),6)="Series",LEFT(INDEX(WP!$A$2:$F$23,MATCH($B137,WP!$E$2:$E$23,0),2),5),"")),"")</f>
        <v/>
      </c>
      <c r="E137" s="17" t="str">
        <f>IFERROR(VLOOKUP(VALUE($D137),Series!$B$3:$F$11,2,0),"")</f>
        <v/>
      </c>
      <c r="F137" s="12" t="str">
        <f>_xlfn.IFNA(IF(IF($D137&lt;&gt;"",COUNTIF($E:$E,"="&amp;$D137),"")="",IF(RIGHT(IFERROR(IF(FIND("_",$B137)&gt;0,INDEX(WP!$A$2:$F$23,MATCH(LEFT($B137,FIND("_",$B137)-1),WP!$E$2:$E$23,0),2),IF(FIND("-",$B137)&gt;0,INDEX(WP!$A$2:$F$23,MATCH(LEFT($B137,FIND("_",$B137)-1),WP!$E$2:$E$23,0),2))),INDEX(WP!$A$2:$F$23,MATCH(Results!$B137,WP!$E$2:$E$23,0),2)),6)="Series",LEFT(IFERROR(IF(FIND("_",$B137)&gt;0,INDEX(WP!$A$2:$F$23,MATCH(LEFT($B137,FIND("_",$B137)-1),WP!$E$2:$E$23,0),2),IF(FIND("-",$B137)&gt;0,INDEX(WP!$A$2:$F$23,MATCH(LEFT($B137,FIND("_",$B137)-1),WP!$E$2:$E$23,0),2))),INDEX(WP!$A$2:$F$23,MATCH(Results!$B137,WP!$E$2:$E$23,0),2)),5),(IFERROR(IF(FIND("_",$B137)&gt;0,INDEX(WP!$A$2:$F$23,MATCH(LEFT($B137,FIND("_",$B137)-1),WP!$E$2:$E$23,0),2),IF(FIND("-",$B137)&gt;0,INDEX(WP!$A$2:$F$23,MATCH(LEFT($B137,FIND("_",$B137)-1),WP!$E$2:$E$23,0),2))),INDEX(WP!$A$2:$F$23,MATCH(Results!$B137,WP!$E$2:$E$23,0),2)))),IF(RIGHT(IFERROR(IF(FIND("_",$B137)&gt;0,INDEX(WP!$A$2:$F$23,MATCH(LEFT($B137,FIND("_",$B137)-1),WP!$E$2:$E$23,0),2),IF(FIND("-",$B137)&gt;0,INDEX(WP!$A$2:$F$23,MATCH(LEFT($B137,FIND("_",$B137)-1),WP!$E$2:$E$23,0),2))),INDEX(WP!$A$2:$F$23,MATCH(Results!$B137,WP!$E$2:$E$23,0),2)),6)="Series",LEFT(IFERROR(IF(FIND("_",$B137)&gt;0,INDEX(WP!$A$2:$F$23,MATCH(LEFT($B137,FIND("_",$B137)-1),WP!$E$2:$E$23,0),2),IF(FIND("-",$B137)&gt;0,INDEX(WP!$A$2:$F$23,MATCH(LEFT($B137,FIND("_",$B137)-1),WP!$E$2:$E$23,0),2))),INDEX(WP!$A$2:$F$23,MATCH(Results!$B137,WP!$E$2:$E$23,0),2)),5),(IFERROR(IF(FIND("_",$B137)&gt;0,INDEX(WP!$A$2:$F$23,MATCH(LEFT($B137,FIND("_",$B137)-1),WP!$E$2:$E$23,0),2),IF(FIND("-",$B137)&gt;0,INDEX(WP!$A$2:$F$23,MATCH(LEFT($B137,FIND("_",$B137)-1),WP!$E$2:$E$23,0),2))),INDEX(WP!$A$2:$F$23,MATCH(Results!$B137,WP!$E$2:$E$23,0),2))))&amp;"-"&amp;$I137),"")</f>
        <v/>
      </c>
      <c r="G137" s="17" t="str">
        <f>IF(LEN(_xlfn.IFNA(IF(IFERROR(IF(FIND("_",$B137)&gt;0,MID($B137,FIND("_",$B137)+1,LEN($B137)),IF(FIND("-",$B137)&gt;0,MID($B137,FIND("-",$B137)+1,LEN($B137)))),"")="",IFERROR(VLOOKUP($F137,WP!$B$2:$C$23,2,0),VLOOKUP($C137,Series!$A$3:$F$11,6,0)),IFERROR(VLOOKUP($F137,WP!$B$2:$C$23,2,0),VLOOKUP($C137,Series!$A$3:$F$11,6,0))&amp;" - "&amp;(IFERROR(IF(FIND("_",$B137)&gt;0,MID($B137,FIND("_",$B137)+1,LEN($B137)),IF(FIND("-",$B137)&gt;0,MID($B137,FIND("-",$B137)+1,LEN($B137)))),""))),""))&lt;64,_xlfn.IFNA(IF(IFERROR(IF(FIND("_",$B137)&gt;0,MID($B137,FIND("_",$B137)+1,LEN($B137)),IF(FIND("-",$B137)&gt;0,MID($B137,FIND("-",$B137)+1,LEN($B137)))),"")="",IFERROR(VLOOKUP($F137,WP!$B$2:$C$23,2,0),VLOOKUP($C137,Series!$A$3:$F$11,6,0)),IFERROR(VLOOKUP($F137,WP!$B$2:$C$23,2,0),VLOOKUP($C137,Series!$A$3:$F$11,6,0))&amp;" - "&amp;(IFERROR(IF(FIND("_",$B137)&gt;0,MID($B137,FIND("_",$B137)+1,LEN($B137)),IF(FIND("-",$B137)&gt;0,MID($B137,FIND("-",$B137)+1,LEN($B137)))),""))),""),LEFT((_xlfn.IFNA(IF(IFERROR(IF(FIND("_",$B137)&gt;0,MID($B137,FIND("_",$B137)+1,LEN($B137)),IF(FIND("-",$B137)&gt;0,MID($B137,FIND("-",$B137)+1,LEN($B137)))),"")="",IFERROR(VLOOKUP($F137,WP!$B$2:$C$23,2,0),VLOOKUP($C137,Series!$A$3:$F$11,6,0)),IFERROR(VLOOKUP($F137,WP!$B$2:$C$23,2,0),VLOOKUP($C137,Series!$A$3:$F$11,6,0))&amp;" - "&amp;(IFERROR(IF(FIND("_",$B137)&gt;0,MID($B137,FIND("_",$B137)+1,LEN($B137)),IF(FIND("-",$B137)&gt;0,MID($B137,FIND("-",$B137)+1,LEN($B137)))),""))),"")),64))</f>
        <v/>
      </c>
      <c r="H137" s="12"/>
      <c r="I137" s="12" t="str">
        <f>IF($D137&lt;&gt;"",COUNTIF($D$7:$D137,"="&amp;$D137),"")</f>
        <v/>
      </c>
      <c r="J137"/>
      <c r="K137" s="8"/>
      <c r="L137"/>
    </row>
    <row r="138" spans="1:12" x14ac:dyDescent="0.3">
      <c r="A138" s="1"/>
      <c r="B138" s="26"/>
      <c r="C138" s="12" t="str">
        <f>_xlfn.IFNA(IFERROR(IF(FIND("_",$B138)&gt;0,INDEX(WP!$A$2:$F$23,MATCH(LEFT($B138,FIND("_",$B138)-1),WP!$E$2:$E$23,0),1),IF(FIND("-",$B138)&gt;0,INDEX(WP!$A$2:$F$23,MATCH(LEFT($B138,FIND("_",$B138)-1),WP!$E$2:$E$23,0),1))),INDEX(WP!$A$2:$F$23,MATCH(Results!$B138,WP!$E$2:$E$23,0),1)),"")</f>
        <v/>
      </c>
      <c r="D138" s="12" t="str">
        <f>IFERROR(IFERROR(IF(RIGHT(INDEX(WP!$A$2:$F$23,MATCH(IF(FIND("_",$B138)&gt;0,LEFT($B138,FIND("_",$B138)-1)),WP!$E$2:$E$23,0),2),6)="Series",LEFT(INDEX(WP!$A$2:$F$23,MATCH(IF(FIND("_",$B138)&gt;0,LEFT($B138,FIND("_",$B138)-1)),WP!$E$2:$E$23,0),2),5),""),IF(RIGHT(INDEX(WP!$A$2:$F$23,MATCH($B138,WP!$E$2:$E$23,0),2),6)="Series",LEFT(INDEX(WP!$A$2:$F$23,MATCH($B138,WP!$E$2:$E$23,0),2),5),"")),"")</f>
        <v/>
      </c>
      <c r="E138" s="17" t="str">
        <f>IFERROR(VLOOKUP(VALUE($D138),Series!$B$3:$F$11,2,0),"")</f>
        <v/>
      </c>
      <c r="F138" s="12" t="str">
        <f>_xlfn.IFNA(IF(IF($D138&lt;&gt;"",COUNTIF($E:$E,"="&amp;$D138),"")="",IF(RIGHT(IFERROR(IF(FIND("_",$B138)&gt;0,INDEX(WP!$A$2:$F$23,MATCH(LEFT($B138,FIND("_",$B138)-1),WP!$E$2:$E$23,0),2),IF(FIND("-",$B138)&gt;0,INDEX(WP!$A$2:$F$23,MATCH(LEFT($B138,FIND("_",$B138)-1),WP!$E$2:$E$23,0),2))),INDEX(WP!$A$2:$F$23,MATCH(Results!$B138,WP!$E$2:$E$23,0),2)),6)="Series",LEFT(IFERROR(IF(FIND("_",$B138)&gt;0,INDEX(WP!$A$2:$F$23,MATCH(LEFT($B138,FIND("_",$B138)-1),WP!$E$2:$E$23,0),2),IF(FIND("-",$B138)&gt;0,INDEX(WP!$A$2:$F$23,MATCH(LEFT($B138,FIND("_",$B138)-1),WP!$E$2:$E$23,0),2))),INDEX(WP!$A$2:$F$23,MATCH(Results!$B138,WP!$E$2:$E$23,0),2)),5),(IFERROR(IF(FIND("_",$B138)&gt;0,INDEX(WP!$A$2:$F$23,MATCH(LEFT($B138,FIND("_",$B138)-1),WP!$E$2:$E$23,0),2),IF(FIND("-",$B138)&gt;0,INDEX(WP!$A$2:$F$23,MATCH(LEFT($B138,FIND("_",$B138)-1),WP!$E$2:$E$23,0),2))),INDEX(WP!$A$2:$F$23,MATCH(Results!$B138,WP!$E$2:$E$23,0),2)))),IF(RIGHT(IFERROR(IF(FIND("_",$B138)&gt;0,INDEX(WP!$A$2:$F$23,MATCH(LEFT($B138,FIND("_",$B138)-1),WP!$E$2:$E$23,0),2),IF(FIND("-",$B138)&gt;0,INDEX(WP!$A$2:$F$23,MATCH(LEFT($B138,FIND("_",$B138)-1),WP!$E$2:$E$23,0),2))),INDEX(WP!$A$2:$F$23,MATCH(Results!$B138,WP!$E$2:$E$23,0),2)),6)="Series",LEFT(IFERROR(IF(FIND("_",$B138)&gt;0,INDEX(WP!$A$2:$F$23,MATCH(LEFT($B138,FIND("_",$B138)-1),WP!$E$2:$E$23,0),2),IF(FIND("-",$B138)&gt;0,INDEX(WP!$A$2:$F$23,MATCH(LEFT($B138,FIND("_",$B138)-1),WP!$E$2:$E$23,0),2))),INDEX(WP!$A$2:$F$23,MATCH(Results!$B138,WP!$E$2:$E$23,0),2)),5),(IFERROR(IF(FIND("_",$B138)&gt;0,INDEX(WP!$A$2:$F$23,MATCH(LEFT($B138,FIND("_",$B138)-1),WP!$E$2:$E$23,0),2),IF(FIND("-",$B138)&gt;0,INDEX(WP!$A$2:$F$23,MATCH(LEFT($B138,FIND("_",$B138)-1),WP!$E$2:$E$23,0),2))),INDEX(WP!$A$2:$F$23,MATCH(Results!$B138,WP!$E$2:$E$23,0),2))))&amp;"-"&amp;$I138),"")</f>
        <v/>
      </c>
      <c r="G138" s="17" t="str">
        <f>IF(LEN(_xlfn.IFNA(IF(IFERROR(IF(FIND("_",$B138)&gt;0,MID($B138,FIND("_",$B138)+1,LEN($B138)),IF(FIND("-",$B138)&gt;0,MID($B138,FIND("-",$B138)+1,LEN($B138)))),"")="",IFERROR(VLOOKUP($F138,WP!$B$2:$C$23,2,0),VLOOKUP($C138,Series!$A$3:$F$11,6,0)),IFERROR(VLOOKUP($F138,WP!$B$2:$C$23,2,0),VLOOKUP($C138,Series!$A$3:$F$11,6,0))&amp;" - "&amp;(IFERROR(IF(FIND("_",$B138)&gt;0,MID($B138,FIND("_",$B138)+1,LEN($B138)),IF(FIND("-",$B138)&gt;0,MID($B138,FIND("-",$B138)+1,LEN($B138)))),""))),""))&lt;64,_xlfn.IFNA(IF(IFERROR(IF(FIND("_",$B138)&gt;0,MID($B138,FIND("_",$B138)+1,LEN($B138)),IF(FIND("-",$B138)&gt;0,MID($B138,FIND("-",$B138)+1,LEN($B138)))),"")="",IFERROR(VLOOKUP($F138,WP!$B$2:$C$23,2,0),VLOOKUP($C138,Series!$A$3:$F$11,6,0)),IFERROR(VLOOKUP($F138,WP!$B$2:$C$23,2,0),VLOOKUP($C138,Series!$A$3:$F$11,6,0))&amp;" - "&amp;(IFERROR(IF(FIND("_",$B138)&gt;0,MID($B138,FIND("_",$B138)+1,LEN($B138)),IF(FIND("-",$B138)&gt;0,MID($B138,FIND("-",$B138)+1,LEN($B138)))),""))),""),LEFT((_xlfn.IFNA(IF(IFERROR(IF(FIND("_",$B138)&gt;0,MID($B138,FIND("_",$B138)+1,LEN($B138)),IF(FIND("-",$B138)&gt;0,MID($B138,FIND("-",$B138)+1,LEN($B138)))),"")="",IFERROR(VLOOKUP($F138,WP!$B$2:$C$23,2,0),VLOOKUP($C138,Series!$A$3:$F$11,6,0)),IFERROR(VLOOKUP($F138,WP!$B$2:$C$23,2,0),VLOOKUP($C138,Series!$A$3:$F$11,6,0))&amp;" - "&amp;(IFERROR(IF(FIND("_",$B138)&gt;0,MID($B138,FIND("_",$B138)+1,LEN($B138)),IF(FIND("-",$B138)&gt;0,MID($B138,FIND("-",$B138)+1,LEN($B138)))),""))),"")),64))</f>
        <v/>
      </c>
      <c r="H138" s="12"/>
      <c r="I138" s="12" t="str">
        <f>IF($D138&lt;&gt;"",COUNTIF($D$7:$D138,"="&amp;$D138),"")</f>
        <v/>
      </c>
      <c r="J138"/>
      <c r="K138" s="8"/>
      <c r="L138"/>
    </row>
    <row r="139" spans="1:12" x14ac:dyDescent="0.3">
      <c r="A139" s="1"/>
      <c r="B139" s="26"/>
      <c r="C139" s="12" t="str">
        <f>_xlfn.IFNA(IFERROR(IF(FIND("_",$B139)&gt;0,INDEX(WP!$A$2:$F$23,MATCH(LEFT($B139,FIND("_",$B139)-1),WP!$E$2:$E$23,0),1),IF(FIND("-",$B139)&gt;0,INDEX(WP!$A$2:$F$23,MATCH(LEFT($B139,FIND("_",$B139)-1),WP!$E$2:$E$23,0),1))),INDEX(WP!$A$2:$F$23,MATCH(Results!$B139,WP!$E$2:$E$23,0),1)),"")</f>
        <v/>
      </c>
      <c r="D139" s="12" t="str">
        <f>IFERROR(IFERROR(IF(RIGHT(INDEX(WP!$A$2:$F$23,MATCH(IF(FIND("_",$B139)&gt;0,LEFT($B139,FIND("_",$B139)-1)),WP!$E$2:$E$23,0),2),6)="Series",LEFT(INDEX(WP!$A$2:$F$23,MATCH(IF(FIND("_",$B139)&gt;0,LEFT($B139,FIND("_",$B139)-1)),WP!$E$2:$E$23,0),2),5),""),IF(RIGHT(INDEX(WP!$A$2:$F$23,MATCH($B139,WP!$E$2:$E$23,0),2),6)="Series",LEFT(INDEX(WP!$A$2:$F$23,MATCH($B139,WP!$E$2:$E$23,0),2),5),"")),"")</f>
        <v/>
      </c>
      <c r="E139" s="17" t="str">
        <f>IFERROR(VLOOKUP(VALUE($D139),Series!$B$3:$F$11,2,0),"")</f>
        <v/>
      </c>
      <c r="F139" s="12" t="str">
        <f>_xlfn.IFNA(IF(IF($D139&lt;&gt;"",COUNTIF($E:$E,"="&amp;$D139),"")="",IF(RIGHT(IFERROR(IF(FIND("_",$B139)&gt;0,INDEX(WP!$A$2:$F$23,MATCH(LEFT($B139,FIND("_",$B139)-1),WP!$E$2:$E$23,0),2),IF(FIND("-",$B139)&gt;0,INDEX(WP!$A$2:$F$23,MATCH(LEFT($B139,FIND("_",$B139)-1),WP!$E$2:$E$23,0),2))),INDEX(WP!$A$2:$F$23,MATCH(Results!$B139,WP!$E$2:$E$23,0),2)),6)="Series",LEFT(IFERROR(IF(FIND("_",$B139)&gt;0,INDEX(WP!$A$2:$F$23,MATCH(LEFT($B139,FIND("_",$B139)-1),WP!$E$2:$E$23,0),2),IF(FIND("-",$B139)&gt;0,INDEX(WP!$A$2:$F$23,MATCH(LEFT($B139,FIND("_",$B139)-1),WP!$E$2:$E$23,0),2))),INDEX(WP!$A$2:$F$23,MATCH(Results!$B139,WP!$E$2:$E$23,0),2)),5),(IFERROR(IF(FIND("_",$B139)&gt;0,INDEX(WP!$A$2:$F$23,MATCH(LEFT($B139,FIND("_",$B139)-1),WP!$E$2:$E$23,0),2),IF(FIND("-",$B139)&gt;0,INDEX(WP!$A$2:$F$23,MATCH(LEFT($B139,FIND("_",$B139)-1),WP!$E$2:$E$23,0),2))),INDEX(WP!$A$2:$F$23,MATCH(Results!$B139,WP!$E$2:$E$23,0),2)))),IF(RIGHT(IFERROR(IF(FIND("_",$B139)&gt;0,INDEX(WP!$A$2:$F$23,MATCH(LEFT($B139,FIND("_",$B139)-1),WP!$E$2:$E$23,0),2),IF(FIND("-",$B139)&gt;0,INDEX(WP!$A$2:$F$23,MATCH(LEFT($B139,FIND("_",$B139)-1),WP!$E$2:$E$23,0),2))),INDEX(WP!$A$2:$F$23,MATCH(Results!$B139,WP!$E$2:$E$23,0),2)),6)="Series",LEFT(IFERROR(IF(FIND("_",$B139)&gt;0,INDEX(WP!$A$2:$F$23,MATCH(LEFT($B139,FIND("_",$B139)-1),WP!$E$2:$E$23,0),2),IF(FIND("-",$B139)&gt;0,INDEX(WP!$A$2:$F$23,MATCH(LEFT($B139,FIND("_",$B139)-1),WP!$E$2:$E$23,0),2))),INDEX(WP!$A$2:$F$23,MATCH(Results!$B139,WP!$E$2:$E$23,0),2)),5),(IFERROR(IF(FIND("_",$B139)&gt;0,INDEX(WP!$A$2:$F$23,MATCH(LEFT($B139,FIND("_",$B139)-1),WP!$E$2:$E$23,0),2),IF(FIND("-",$B139)&gt;0,INDEX(WP!$A$2:$F$23,MATCH(LEFT($B139,FIND("_",$B139)-1),WP!$E$2:$E$23,0),2))),INDEX(WP!$A$2:$F$23,MATCH(Results!$B139,WP!$E$2:$E$23,0),2))))&amp;"-"&amp;$I139),"")</f>
        <v/>
      </c>
      <c r="G139" s="17" t="str">
        <f>IF(LEN(_xlfn.IFNA(IF(IFERROR(IF(FIND("_",$B139)&gt;0,MID($B139,FIND("_",$B139)+1,LEN($B139)),IF(FIND("-",$B139)&gt;0,MID($B139,FIND("-",$B139)+1,LEN($B139)))),"")="",IFERROR(VLOOKUP($F139,WP!$B$2:$C$23,2,0),VLOOKUP($C139,Series!$A$3:$F$11,6,0)),IFERROR(VLOOKUP($F139,WP!$B$2:$C$23,2,0),VLOOKUP($C139,Series!$A$3:$F$11,6,0))&amp;" - "&amp;(IFERROR(IF(FIND("_",$B139)&gt;0,MID($B139,FIND("_",$B139)+1,LEN($B139)),IF(FIND("-",$B139)&gt;0,MID($B139,FIND("-",$B139)+1,LEN($B139)))),""))),""))&lt;64,_xlfn.IFNA(IF(IFERROR(IF(FIND("_",$B139)&gt;0,MID($B139,FIND("_",$B139)+1,LEN($B139)),IF(FIND("-",$B139)&gt;0,MID($B139,FIND("-",$B139)+1,LEN($B139)))),"")="",IFERROR(VLOOKUP($F139,WP!$B$2:$C$23,2,0),VLOOKUP($C139,Series!$A$3:$F$11,6,0)),IFERROR(VLOOKUP($F139,WP!$B$2:$C$23,2,0),VLOOKUP($C139,Series!$A$3:$F$11,6,0))&amp;" - "&amp;(IFERROR(IF(FIND("_",$B139)&gt;0,MID($B139,FIND("_",$B139)+1,LEN($B139)),IF(FIND("-",$B139)&gt;0,MID($B139,FIND("-",$B139)+1,LEN($B139)))),""))),""),LEFT((_xlfn.IFNA(IF(IFERROR(IF(FIND("_",$B139)&gt;0,MID($B139,FIND("_",$B139)+1,LEN($B139)),IF(FIND("-",$B139)&gt;0,MID($B139,FIND("-",$B139)+1,LEN($B139)))),"")="",IFERROR(VLOOKUP($F139,WP!$B$2:$C$23,2,0),VLOOKUP($C139,Series!$A$3:$F$11,6,0)),IFERROR(VLOOKUP($F139,WP!$B$2:$C$23,2,0),VLOOKUP($C139,Series!$A$3:$F$11,6,0))&amp;" - "&amp;(IFERROR(IF(FIND("_",$B139)&gt;0,MID($B139,FIND("_",$B139)+1,LEN($B139)),IF(FIND("-",$B139)&gt;0,MID($B139,FIND("-",$B139)+1,LEN($B139)))),""))),"")),64))</f>
        <v/>
      </c>
      <c r="H139" s="12"/>
      <c r="I139" s="12" t="str">
        <f>IF($D139&lt;&gt;"",COUNTIF($D$7:$D139,"="&amp;$D139),"")</f>
        <v/>
      </c>
      <c r="J139"/>
      <c r="K139" s="8"/>
      <c r="L139"/>
    </row>
    <row r="140" spans="1:12" x14ac:dyDescent="0.3">
      <c r="A140" s="1"/>
      <c r="B140" s="26"/>
      <c r="C140" s="12" t="str">
        <f>_xlfn.IFNA(IFERROR(IF(FIND("_",$B140)&gt;0,INDEX(WP!$A$2:$F$23,MATCH(LEFT($B140,FIND("_",$B140)-1),WP!$E$2:$E$23,0),1),IF(FIND("-",$B140)&gt;0,INDEX(WP!$A$2:$F$23,MATCH(LEFT($B140,FIND("_",$B140)-1),WP!$E$2:$E$23,0),1))),INDEX(WP!$A$2:$F$23,MATCH(Results!$B140,WP!$E$2:$E$23,0),1)),"")</f>
        <v/>
      </c>
      <c r="D140" s="12" t="str">
        <f>IFERROR(IFERROR(IF(RIGHT(INDEX(WP!$A$2:$F$23,MATCH(IF(FIND("_",$B140)&gt;0,LEFT($B140,FIND("_",$B140)-1)),WP!$E$2:$E$23,0),2),6)="Series",LEFT(INDEX(WP!$A$2:$F$23,MATCH(IF(FIND("_",$B140)&gt;0,LEFT($B140,FIND("_",$B140)-1)),WP!$E$2:$E$23,0),2),5),""),IF(RIGHT(INDEX(WP!$A$2:$F$23,MATCH($B140,WP!$E$2:$E$23,0),2),6)="Series",LEFT(INDEX(WP!$A$2:$F$23,MATCH($B140,WP!$E$2:$E$23,0),2),5),"")),"")</f>
        <v/>
      </c>
      <c r="E140" s="17" t="str">
        <f>IFERROR(VLOOKUP(VALUE($D140),Series!$B$3:$F$11,2,0),"")</f>
        <v/>
      </c>
      <c r="F140" s="12" t="str">
        <f>_xlfn.IFNA(IF(IF($D140&lt;&gt;"",COUNTIF($E:$E,"="&amp;$D140),"")="",IF(RIGHT(IFERROR(IF(FIND("_",$B140)&gt;0,INDEX(WP!$A$2:$F$23,MATCH(LEFT($B140,FIND("_",$B140)-1),WP!$E$2:$E$23,0),2),IF(FIND("-",$B140)&gt;0,INDEX(WP!$A$2:$F$23,MATCH(LEFT($B140,FIND("_",$B140)-1),WP!$E$2:$E$23,0),2))),INDEX(WP!$A$2:$F$23,MATCH(Results!$B140,WP!$E$2:$E$23,0),2)),6)="Series",LEFT(IFERROR(IF(FIND("_",$B140)&gt;0,INDEX(WP!$A$2:$F$23,MATCH(LEFT($B140,FIND("_",$B140)-1),WP!$E$2:$E$23,0),2),IF(FIND("-",$B140)&gt;0,INDEX(WP!$A$2:$F$23,MATCH(LEFT($B140,FIND("_",$B140)-1),WP!$E$2:$E$23,0),2))),INDEX(WP!$A$2:$F$23,MATCH(Results!$B140,WP!$E$2:$E$23,0),2)),5),(IFERROR(IF(FIND("_",$B140)&gt;0,INDEX(WP!$A$2:$F$23,MATCH(LEFT($B140,FIND("_",$B140)-1),WP!$E$2:$E$23,0),2),IF(FIND("-",$B140)&gt;0,INDEX(WP!$A$2:$F$23,MATCH(LEFT($B140,FIND("_",$B140)-1),WP!$E$2:$E$23,0),2))),INDEX(WP!$A$2:$F$23,MATCH(Results!$B140,WP!$E$2:$E$23,0),2)))),IF(RIGHT(IFERROR(IF(FIND("_",$B140)&gt;0,INDEX(WP!$A$2:$F$23,MATCH(LEFT($B140,FIND("_",$B140)-1),WP!$E$2:$E$23,0),2),IF(FIND("-",$B140)&gt;0,INDEX(WP!$A$2:$F$23,MATCH(LEFT($B140,FIND("_",$B140)-1),WP!$E$2:$E$23,0),2))),INDEX(WP!$A$2:$F$23,MATCH(Results!$B140,WP!$E$2:$E$23,0),2)),6)="Series",LEFT(IFERROR(IF(FIND("_",$B140)&gt;0,INDEX(WP!$A$2:$F$23,MATCH(LEFT($B140,FIND("_",$B140)-1),WP!$E$2:$E$23,0),2),IF(FIND("-",$B140)&gt;0,INDEX(WP!$A$2:$F$23,MATCH(LEFT($B140,FIND("_",$B140)-1),WP!$E$2:$E$23,0),2))),INDEX(WP!$A$2:$F$23,MATCH(Results!$B140,WP!$E$2:$E$23,0),2)),5),(IFERROR(IF(FIND("_",$B140)&gt;0,INDEX(WP!$A$2:$F$23,MATCH(LEFT($B140,FIND("_",$B140)-1),WP!$E$2:$E$23,0),2),IF(FIND("-",$B140)&gt;0,INDEX(WP!$A$2:$F$23,MATCH(LEFT($B140,FIND("_",$B140)-1),WP!$E$2:$E$23,0),2))),INDEX(WP!$A$2:$F$23,MATCH(Results!$B140,WP!$E$2:$E$23,0),2))))&amp;"-"&amp;$I140),"")</f>
        <v/>
      </c>
      <c r="G140" s="17" t="str">
        <f>IF(LEN(_xlfn.IFNA(IF(IFERROR(IF(FIND("_",$B140)&gt;0,MID($B140,FIND("_",$B140)+1,LEN($B140)),IF(FIND("-",$B140)&gt;0,MID($B140,FIND("-",$B140)+1,LEN($B140)))),"")="",IFERROR(VLOOKUP($F140,WP!$B$2:$C$23,2,0),VLOOKUP($C140,Series!$A$3:$F$11,6,0)),IFERROR(VLOOKUP($F140,WP!$B$2:$C$23,2,0),VLOOKUP($C140,Series!$A$3:$F$11,6,0))&amp;" - "&amp;(IFERROR(IF(FIND("_",$B140)&gt;0,MID($B140,FIND("_",$B140)+1,LEN($B140)),IF(FIND("-",$B140)&gt;0,MID($B140,FIND("-",$B140)+1,LEN($B140)))),""))),""))&lt;64,_xlfn.IFNA(IF(IFERROR(IF(FIND("_",$B140)&gt;0,MID($B140,FIND("_",$B140)+1,LEN($B140)),IF(FIND("-",$B140)&gt;0,MID($B140,FIND("-",$B140)+1,LEN($B140)))),"")="",IFERROR(VLOOKUP($F140,WP!$B$2:$C$23,2,0),VLOOKUP($C140,Series!$A$3:$F$11,6,0)),IFERROR(VLOOKUP($F140,WP!$B$2:$C$23,2,0),VLOOKUP($C140,Series!$A$3:$F$11,6,0))&amp;" - "&amp;(IFERROR(IF(FIND("_",$B140)&gt;0,MID($B140,FIND("_",$B140)+1,LEN($B140)),IF(FIND("-",$B140)&gt;0,MID($B140,FIND("-",$B140)+1,LEN($B140)))),""))),""),LEFT((_xlfn.IFNA(IF(IFERROR(IF(FIND("_",$B140)&gt;0,MID($B140,FIND("_",$B140)+1,LEN($B140)),IF(FIND("-",$B140)&gt;0,MID($B140,FIND("-",$B140)+1,LEN($B140)))),"")="",IFERROR(VLOOKUP($F140,WP!$B$2:$C$23,2,0),VLOOKUP($C140,Series!$A$3:$F$11,6,0)),IFERROR(VLOOKUP($F140,WP!$B$2:$C$23,2,0),VLOOKUP($C140,Series!$A$3:$F$11,6,0))&amp;" - "&amp;(IFERROR(IF(FIND("_",$B140)&gt;0,MID($B140,FIND("_",$B140)+1,LEN($B140)),IF(FIND("-",$B140)&gt;0,MID($B140,FIND("-",$B140)+1,LEN($B140)))),""))),"")),64))</f>
        <v/>
      </c>
      <c r="H140" s="12"/>
      <c r="I140" s="12" t="str">
        <f>IF($D140&lt;&gt;"",COUNTIF($D$7:$D140,"="&amp;$D140),"")</f>
        <v/>
      </c>
      <c r="J140"/>
      <c r="K140" s="8"/>
      <c r="L140"/>
    </row>
    <row r="141" spans="1:12" x14ac:dyDescent="0.3">
      <c r="A141" s="1"/>
      <c r="B141" s="26"/>
      <c r="C141" s="12" t="str">
        <f>_xlfn.IFNA(IFERROR(IF(FIND("_",$B141)&gt;0,INDEX(WP!$A$2:$F$23,MATCH(LEFT($B141,FIND("_",$B141)-1),WP!$E$2:$E$23,0),1),IF(FIND("-",$B141)&gt;0,INDEX(WP!$A$2:$F$23,MATCH(LEFT($B141,FIND("_",$B141)-1),WP!$E$2:$E$23,0),1))),INDEX(WP!$A$2:$F$23,MATCH(Results!$B141,WP!$E$2:$E$23,0),1)),"")</f>
        <v/>
      </c>
      <c r="D141" s="12" t="str">
        <f>IFERROR(IFERROR(IF(RIGHT(INDEX(WP!$A$2:$F$23,MATCH(IF(FIND("_",$B141)&gt;0,LEFT($B141,FIND("_",$B141)-1)),WP!$E$2:$E$23,0),2),6)="Series",LEFT(INDEX(WP!$A$2:$F$23,MATCH(IF(FIND("_",$B141)&gt;0,LEFT($B141,FIND("_",$B141)-1)),WP!$E$2:$E$23,0),2),5),""),IF(RIGHT(INDEX(WP!$A$2:$F$23,MATCH($B141,WP!$E$2:$E$23,0),2),6)="Series",LEFT(INDEX(WP!$A$2:$F$23,MATCH($B141,WP!$E$2:$E$23,0),2),5),"")),"")</f>
        <v/>
      </c>
      <c r="E141" s="17" t="str">
        <f>IFERROR(VLOOKUP(VALUE($D141),Series!$B$3:$F$11,2,0),"")</f>
        <v/>
      </c>
      <c r="F141" s="12" t="str">
        <f>_xlfn.IFNA(IF(IF($D141&lt;&gt;"",COUNTIF($E:$E,"="&amp;$D141),"")="",IF(RIGHT(IFERROR(IF(FIND("_",$B141)&gt;0,INDEX(WP!$A$2:$F$23,MATCH(LEFT($B141,FIND("_",$B141)-1),WP!$E$2:$E$23,0),2),IF(FIND("-",$B141)&gt;0,INDEX(WP!$A$2:$F$23,MATCH(LEFT($B141,FIND("_",$B141)-1),WP!$E$2:$E$23,0),2))),INDEX(WP!$A$2:$F$23,MATCH(Results!$B141,WP!$E$2:$E$23,0),2)),6)="Series",LEFT(IFERROR(IF(FIND("_",$B141)&gt;0,INDEX(WP!$A$2:$F$23,MATCH(LEFT($B141,FIND("_",$B141)-1),WP!$E$2:$E$23,0),2),IF(FIND("-",$B141)&gt;0,INDEX(WP!$A$2:$F$23,MATCH(LEFT($B141,FIND("_",$B141)-1),WP!$E$2:$E$23,0),2))),INDEX(WP!$A$2:$F$23,MATCH(Results!$B141,WP!$E$2:$E$23,0),2)),5),(IFERROR(IF(FIND("_",$B141)&gt;0,INDEX(WP!$A$2:$F$23,MATCH(LEFT($B141,FIND("_",$B141)-1),WP!$E$2:$E$23,0),2),IF(FIND("-",$B141)&gt;0,INDEX(WP!$A$2:$F$23,MATCH(LEFT($B141,FIND("_",$B141)-1),WP!$E$2:$E$23,0),2))),INDEX(WP!$A$2:$F$23,MATCH(Results!$B141,WP!$E$2:$E$23,0),2)))),IF(RIGHT(IFERROR(IF(FIND("_",$B141)&gt;0,INDEX(WP!$A$2:$F$23,MATCH(LEFT($B141,FIND("_",$B141)-1),WP!$E$2:$E$23,0),2),IF(FIND("-",$B141)&gt;0,INDEX(WP!$A$2:$F$23,MATCH(LEFT($B141,FIND("_",$B141)-1),WP!$E$2:$E$23,0),2))),INDEX(WP!$A$2:$F$23,MATCH(Results!$B141,WP!$E$2:$E$23,0),2)),6)="Series",LEFT(IFERROR(IF(FIND("_",$B141)&gt;0,INDEX(WP!$A$2:$F$23,MATCH(LEFT($B141,FIND("_",$B141)-1),WP!$E$2:$E$23,0),2),IF(FIND("-",$B141)&gt;0,INDEX(WP!$A$2:$F$23,MATCH(LEFT($B141,FIND("_",$B141)-1),WP!$E$2:$E$23,0),2))),INDEX(WP!$A$2:$F$23,MATCH(Results!$B141,WP!$E$2:$E$23,0),2)),5),(IFERROR(IF(FIND("_",$B141)&gt;0,INDEX(WP!$A$2:$F$23,MATCH(LEFT($B141,FIND("_",$B141)-1),WP!$E$2:$E$23,0),2),IF(FIND("-",$B141)&gt;0,INDEX(WP!$A$2:$F$23,MATCH(LEFT($B141,FIND("_",$B141)-1),WP!$E$2:$E$23,0),2))),INDEX(WP!$A$2:$F$23,MATCH(Results!$B141,WP!$E$2:$E$23,0),2))))&amp;"-"&amp;$I141),"")</f>
        <v/>
      </c>
      <c r="G141" s="17" t="str">
        <f>IF(LEN(_xlfn.IFNA(IF(IFERROR(IF(FIND("_",$B141)&gt;0,MID($B141,FIND("_",$B141)+1,LEN($B141)),IF(FIND("-",$B141)&gt;0,MID($B141,FIND("-",$B141)+1,LEN($B141)))),"")="",IFERROR(VLOOKUP($F141,WP!$B$2:$C$23,2,0),VLOOKUP($C141,Series!$A$3:$F$11,6,0)),IFERROR(VLOOKUP($F141,WP!$B$2:$C$23,2,0),VLOOKUP($C141,Series!$A$3:$F$11,6,0))&amp;" - "&amp;(IFERROR(IF(FIND("_",$B141)&gt;0,MID($B141,FIND("_",$B141)+1,LEN($B141)),IF(FIND("-",$B141)&gt;0,MID($B141,FIND("-",$B141)+1,LEN($B141)))),""))),""))&lt;64,_xlfn.IFNA(IF(IFERROR(IF(FIND("_",$B141)&gt;0,MID($B141,FIND("_",$B141)+1,LEN($B141)),IF(FIND("-",$B141)&gt;0,MID($B141,FIND("-",$B141)+1,LEN($B141)))),"")="",IFERROR(VLOOKUP($F141,WP!$B$2:$C$23,2,0),VLOOKUP($C141,Series!$A$3:$F$11,6,0)),IFERROR(VLOOKUP($F141,WP!$B$2:$C$23,2,0),VLOOKUP($C141,Series!$A$3:$F$11,6,0))&amp;" - "&amp;(IFERROR(IF(FIND("_",$B141)&gt;0,MID($B141,FIND("_",$B141)+1,LEN($B141)),IF(FIND("-",$B141)&gt;0,MID($B141,FIND("-",$B141)+1,LEN($B141)))),""))),""),LEFT((_xlfn.IFNA(IF(IFERROR(IF(FIND("_",$B141)&gt;0,MID($B141,FIND("_",$B141)+1,LEN($B141)),IF(FIND("-",$B141)&gt;0,MID($B141,FIND("-",$B141)+1,LEN($B141)))),"")="",IFERROR(VLOOKUP($F141,WP!$B$2:$C$23,2,0),VLOOKUP($C141,Series!$A$3:$F$11,6,0)),IFERROR(VLOOKUP($F141,WP!$B$2:$C$23,2,0),VLOOKUP($C141,Series!$A$3:$F$11,6,0))&amp;" - "&amp;(IFERROR(IF(FIND("_",$B141)&gt;0,MID($B141,FIND("_",$B141)+1,LEN($B141)),IF(FIND("-",$B141)&gt;0,MID($B141,FIND("-",$B141)+1,LEN($B141)))),""))),"")),64))</f>
        <v/>
      </c>
      <c r="H141" s="12"/>
      <c r="I141" s="12" t="str">
        <f>IF($D141&lt;&gt;"",COUNTIF($D$7:$D141,"="&amp;$D141),"")</f>
        <v/>
      </c>
      <c r="J141"/>
      <c r="K141" s="8"/>
      <c r="L141"/>
    </row>
    <row r="142" spans="1:12" x14ac:dyDescent="0.3">
      <c r="A142" s="1"/>
      <c r="B142" s="26"/>
      <c r="C142" s="12" t="str">
        <f>_xlfn.IFNA(IFERROR(IF(FIND("_",$B142)&gt;0,INDEX(WP!$A$2:$F$23,MATCH(LEFT($B142,FIND("_",$B142)-1),WP!$E$2:$E$23,0),1),IF(FIND("-",$B142)&gt;0,INDEX(WP!$A$2:$F$23,MATCH(LEFT($B142,FIND("_",$B142)-1),WP!$E$2:$E$23,0),1))),INDEX(WP!$A$2:$F$23,MATCH(Results!$B142,WP!$E$2:$E$23,0),1)),"")</f>
        <v/>
      </c>
      <c r="D142" s="12" t="str">
        <f>IFERROR(IFERROR(IF(RIGHT(INDEX(WP!$A$2:$F$23,MATCH(IF(FIND("_",$B142)&gt;0,LEFT($B142,FIND("_",$B142)-1)),WP!$E$2:$E$23,0),2),6)="Series",LEFT(INDEX(WP!$A$2:$F$23,MATCH(IF(FIND("_",$B142)&gt;0,LEFT($B142,FIND("_",$B142)-1)),WP!$E$2:$E$23,0),2),5),""),IF(RIGHT(INDEX(WP!$A$2:$F$23,MATCH($B142,WP!$E$2:$E$23,0),2),6)="Series",LEFT(INDEX(WP!$A$2:$F$23,MATCH($B142,WP!$E$2:$E$23,0),2),5),"")),"")</f>
        <v/>
      </c>
      <c r="E142" s="17" t="str">
        <f>IFERROR(VLOOKUP(VALUE($D142),Series!$B$3:$F$11,2,0),"")</f>
        <v/>
      </c>
      <c r="F142" s="12" t="str">
        <f>_xlfn.IFNA(IF(IF($D142&lt;&gt;"",COUNTIF($E:$E,"="&amp;$D142),"")="",IF(RIGHT(IFERROR(IF(FIND("_",$B142)&gt;0,INDEX(WP!$A$2:$F$23,MATCH(LEFT($B142,FIND("_",$B142)-1),WP!$E$2:$E$23,0),2),IF(FIND("-",$B142)&gt;0,INDEX(WP!$A$2:$F$23,MATCH(LEFT($B142,FIND("_",$B142)-1),WP!$E$2:$E$23,0),2))),INDEX(WP!$A$2:$F$23,MATCH(Results!$B142,WP!$E$2:$E$23,0),2)),6)="Series",LEFT(IFERROR(IF(FIND("_",$B142)&gt;0,INDEX(WP!$A$2:$F$23,MATCH(LEFT($B142,FIND("_",$B142)-1),WP!$E$2:$E$23,0),2),IF(FIND("-",$B142)&gt;0,INDEX(WP!$A$2:$F$23,MATCH(LEFT($B142,FIND("_",$B142)-1),WP!$E$2:$E$23,0),2))),INDEX(WP!$A$2:$F$23,MATCH(Results!$B142,WP!$E$2:$E$23,0),2)),5),(IFERROR(IF(FIND("_",$B142)&gt;0,INDEX(WP!$A$2:$F$23,MATCH(LEFT($B142,FIND("_",$B142)-1),WP!$E$2:$E$23,0),2),IF(FIND("-",$B142)&gt;0,INDEX(WP!$A$2:$F$23,MATCH(LEFT($B142,FIND("_",$B142)-1),WP!$E$2:$E$23,0),2))),INDEX(WP!$A$2:$F$23,MATCH(Results!$B142,WP!$E$2:$E$23,0),2)))),IF(RIGHT(IFERROR(IF(FIND("_",$B142)&gt;0,INDEX(WP!$A$2:$F$23,MATCH(LEFT($B142,FIND("_",$B142)-1),WP!$E$2:$E$23,0),2),IF(FIND("-",$B142)&gt;0,INDEX(WP!$A$2:$F$23,MATCH(LEFT($B142,FIND("_",$B142)-1),WP!$E$2:$E$23,0),2))),INDEX(WP!$A$2:$F$23,MATCH(Results!$B142,WP!$E$2:$E$23,0),2)),6)="Series",LEFT(IFERROR(IF(FIND("_",$B142)&gt;0,INDEX(WP!$A$2:$F$23,MATCH(LEFT($B142,FIND("_",$B142)-1),WP!$E$2:$E$23,0),2),IF(FIND("-",$B142)&gt;0,INDEX(WP!$A$2:$F$23,MATCH(LEFT($B142,FIND("_",$B142)-1),WP!$E$2:$E$23,0),2))),INDEX(WP!$A$2:$F$23,MATCH(Results!$B142,WP!$E$2:$E$23,0),2)),5),(IFERROR(IF(FIND("_",$B142)&gt;0,INDEX(WP!$A$2:$F$23,MATCH(LEFT($B142,FIND("_",$B142)-1),WP!$E$2:$E$23,0),2),IF(FIND("-",$B142)&gt;0,INDEX(WP!$A$2:$F$23,MATCH(LEFT($B142,FIND("_",$B142)-1),WP!$E$2:$E$23,0),2))),INDEX(WP!$A$2:$F$23,MATCH(Results!$B142,WP!$E$2:$E$23,0),2))))&amp;"-"&amp;$I142),"")</f>
        <v/>
      </c>
      <c r="G142" s="17" t="str">
        <f>IF(LEN(_xlfn.IFNA(IF(IFERROR(IF(FIND("_",$B142)&gt;0,MID($B142,FIND("_",$B142)+1,LEN($B142)),IF(FIND("-",$B142)&gt;0,MID($B142,FIND("-",$B142)+1,LEN($B142)))),"")="",IFERROR(VLOOKUP($F142,WP!$B$2:$C$23,2,0),VLOOKUP($C142,Series!$A$3:$F$11,6,0)),IFERROR(VLOOKUP($F142,WP!$B$2:$C$23,2,0),VLOOKUP($C142,Series!$A$3:$F$11,6,0))&amp;" - "&amp;(IFERROR(IF(FIND("_",$B142)&gt;0,MID($B142,FIND("_",$B142)+1,LEN($B142)),IF(FIND("-",$B142)&gt;0,MID($B142,FIND("-",$B142)+1,LEN($B142)))),""))),""))&lt;64,_xlfn.IFNA(IF(IFERROR(IF(FIND("_",$B142)&gt;0,MID($B142,FIND("_",$B142)+1,LEN($B142)),IF(FIND("-",$B142)&gt;0,MID($B142,FIND("-",$B142)+1,LEN($B142)))),"")="",IFERROR(VLOOKUP($F142,WP!$B$2:$C$23,2,0),VLOOKUP($C142,Series!$A$3:$F$11,6,0)),IFERROR(VLOOKUP($F142,WP!$B$2:$C$23,2,0),VLOOKUP($C142,Series!$A$3:$F$11,6,0))&amp;" - "&amp;(IFERROR(IF(FIND("_",$B142)&gt;0,MID($B142,FIND("_",$B142)+1,LEN($B142)),IF(FIND("-",$B142)&gt;0,MID($B142,FIND("-",$B142)+1,LEN($B142)))),""))),""),LEFT((_xlfn.IFNA(IF(IFERROR(IF(FIND("_",$B142)&gt;0,MID($B142,FIND("_",$B142)+1,LEN($B142)),IF(FIND("-",$B142)&gt;0,MID($B142,FIND("-",$B142)+1,LEN($B142)))),"")="",IFERROR(VLOOKUP($F142,WP!$B$2:$C$23,2,0),VLOOKUP($C142,Series!$A$3:$F$11,6,0)),IFERROR(VLOOKUP($F142,WP!$B$2:$C$23,2,0),VLOOKUP($C142,Series!$A$3:$F$11,6,0))&amp;" - "&amp;(IFERROR(IF(FIND("_",$B142)&gt;0,MID($B142,FIND("_",$B142)+1,LEN($B142)),IF(FIND("-",$B142)&gt;0,MID($B142,FIND("-",$B142)+1,LEN($B142)))),""))),"")),64))</f>
        <v/>
      </c>
      <c r="H142" s="12"/>
      <c r="I142" s="12" t="str">
        <f>IF($D142&lt;&gt;"",COUNTIF($D$7:$D142,"="&amp;$D142),"")</f>
        <v/>
      </c>
      <c r="J142"/>
      <c r="K142" s="8"/>
      <c r="L142"/>
    </row>
    <row r="143" spans="1:12" x14ac:dyDescent="0.3">
      <c r="A143" s="1"/>
      <c r="B143" s="26"/>
      <c r="C143" s="12" t="str">
        <f>_xlfn.IFNA(IFERROR(IF(FIND("_",$B143)&gt;0,INDEX(WP!$A$2:$F$23,MATCH(LEFT($B143,FIND("_",$B143)-1),WP!$E$2:$E$23,0),1),IF(FIND("-",$B143)&gt;0,INDEX(WP!$A$2:$F$23,MATCH(LEFT($B143,FIND("_",$B143)-1),WP!$E$2:$E$23,0),1))),INDEX(WP!$A$2:$F$23,MATCH(Results!$B143,WP!$E$2:$E$23,0),1)),"")</f>
        <v/>
      </c>
      <c r="D143" s="12" t="str">
        <f>IFERROR(IFERROR(IF(RIGHT(INDEX(WP!$A$2:$F$23,MATCH(IF(FIND("_",$B143)&gt;0,LEFT($B143,FIND("_",$B143)-1)),WP!$E$2:$E$23,0),2),6)="Series",LEFT(INDEX(WP!$A$2:$F$23,MATCH(IF(FIND("_",$B143)&gt;0,LEFT($B143,FIND("_",$B143)-1)),WP!$E$2:$E$23,0),2),5),""),IF(RIGHT(INDEX(WP!$A$2:$F$23,MATCH($B143,WP!$E$2:$E$23,0),2),6)="Series",LEFT(INDEX(WP!$A$2:$F$23,MATCH($B143,WP!$E$2:$E$23,0),2),5),"")),"")</f>
        <v/>
      </c>
      <c r="E143" s="17" t="str">
        <f>IFERROR(VLOOKUP(VALUE($D143),Series!$B$3:$F$11,2,0),"")</f>
        <v/>
      </c>
      <c r="F143" s="12" t="str">
        <f>_xlfn.IFNA(IF(IF($D143&lt;&gt;"",COUNTIF($E:$E,"="&amp;$D143),"")="",IF(RIGHT(IFERROR(IF(FIND("_",$B143)&gt;0,INDEX(WP!$A$2:$F$23,MATCH(LEFT($B143,FIND("_",$B143)-1),WP!$E$2:$E$23,0),2),IF(FIND("-",$B143)&gt;0,INDEX(WP!$A$2:$F$23,MATCH(LEFT($B143,FIND("_",$B143)-1),WP!$E$2:$E$23,0),2))),INDEX(WP!$A$2:$F$23,MATCH(Results!$B143,WP!$E$2:$E$23,0),2)),6)="Series",LEFT(IFERROR(IF(FIND("_",$B143)&gt;0,INDEX(WP!$A$2:$F$23,MATCH(LEFT($B143,FIND("_",$B143)-1),WP!$E$2:$E$23,0),2),IF(FIND("-",$B143)&gt;0,INDEX(WP!$A$2:$F$23,MATCH(LEFT($B143,FIND("_",$B143)-1),WP!$E$2:$E$23,0),2))),INDEX(WP!$A$2:$F$23,MATCH(Results!$B143,WP!$E$2:$E$23,0),2)),5),(IFERROR(IF(FIND("_",$B143)&gt;0,INDEX(WP!$A$2:$F$23,MATCH(LEFT($B143,FIND("_",$B143)-1),WP!$E$2:$E$23,0),2),IF(FIND("-",$B143)&gt;0,INDEX(WP!$A$2:$F$23,MATCH(LEFT($B143,FIND("_",$B143)-1),WP!$E$2:$E$23,0),2))),INDEX(WP!$A$2:$F$23,MATCH(Results!$B143,WP!$E$2:$E$23,0),2)))),IF(RIGHT(IFERROR(IF(FIND("_",$B143)&gt;0,INDEX(WP!$A$2:$F$23,MATCH(LEFT($B143,FIND("_",$B143)-1),WP!$E$2:$E$23,0),2),IF(FIND("-",$B143)&gt;0,INDEX(WP!$A$2:$F$23,MATCH(LEFT($B143,FIND("_",$B143)-1),WP!$E$2:$E$23,0),2))),INDEX(WP!$A$2:$F$23,MATCH(Results!$B143,WP!$E$2:$E$23,0),2)),6)="Series",LEFT(IFERROR(IF(FIND("_",$B143)&gt;0,INDEX(WP!$A$2:$F$23,MATCH(LEFT($B143,FIND("_",$B143)-1),WP!$E$2:$E$23,0),2),IF(FIND("-",$B143)&gt;0,INDEX(WP!$A$2:$F$23,MATCH(LEFT($B143,FIND("_",$B143)-1),WP!$E$2:$E$23,0),2))),INDEX(WP!$A$2:$F$23,MATCH(Results!$B143,WP!$E$2:$E$23,0),2)),5),(IFERROR(IF(FIND("_",$B143)&gt;0,INDEX(WP!$A$2:$F$23,MATCH(LEFT($B143,FIND("_",$B143)-1),WP!$E$2:$E$23,0),2),IF(FIND("-",$B143)&gt;0,INDEX(WP!$A$2:$F$23,MATCH(LEFT($B143,FIND("_",$B143)-1),WP!$E$2:$E$23,0),2))),INDEX(WP!$A$2:$F$23,MATCH(Results!$B143,WP!$E$2:$E$23,0),2))))&amp;"-"&amp;$I143),"")</f>
        <v/>
      </c>
      <c r="G143" s="17" t="str">
        <f>IF(LEN(_xlfn.IFNA(IF(IFERROR(IF(FIND("_",$B143)&gt;0,MID($B143,FIND("_",$B143)+1,LEN($B143)),IF(FIND("-",$B143)&gt;0,MID($B143,FIND("-",$B143)+1,LEN($B143)))),"")="",IFERROR(VLOOKUP($F143,WP!$B$2:$C$23,2,0),VLOOKUP($C143,Series!$A$3:$F$11,6,0)),IFERROR(VLOOKUP($F143,WP!$B$2:$C$23,2,0),VLOOKUP($C143,Series!$A$3:$F$11,6,0))&amp;" - "&amp;(IFERROR(IF(FIND("_",$B143)&gt;0,MID($B143,FIND("_",$B143)+1,LEN($B143)),IF(FIND("-",$B143)&gt;0,MID($B143,FIND("-",$B143)+1,LEN($B143)))),""))),""))&lt;64,_xlfn.IFNA(IF(IFERROR(IF(FIND("_",$B143)&gt;0,MID($B143,FIND("_",$B143)+1,LEN($B143)),IF(FIND("-",$B143)&gt;0,MID($B143,FIND("-",$B143)+1,LEN($B143)))),"")="",IFERROR(VLOOKUP($F143,WP!$B$2:$C$23,2,0),VLOOKUP($C143,Series!$A$3:$F$11,6,0)),IFERROR(VLOOKUP($F143,WP!$B$2:$C$23,2,0),VLOOKUP($C143,Series!$A$3:$F$11,6,0))&amp;" - "&amp;(IFERROR(IF(FIND("_",$B143)&gt;0,MID($B143,FIND("_",$B143)+1,LEN($B143)),IF(FIND("-",$B143)&gt;0,MID($B143,FIND("-",$B143)+1,LEN($B143)))),""))),""),LEFT((_xlfn.IFNA(IF(IFERROR(IF(FIND("_",$B143)&gt;0,MID($B143,FIND("_",$B143)+1,LEN($B143)),IF(FIND("-",$B143)&gt;0,MID($B143,FIND("-",$B143)+1,LEN($B143)))),"")="",IFERROR(VLOOKUP($F143,WP!$B$2:$C$23,2,0),VLOOKUP($C143,Series!$A$3:$F$11,6,0)),IFERROR(VLOOKUP($F143,WP!$B$2:$C$23,2,0),VLOOKUP($C143,Series!$A$3:$F$11,6,0))&amp;" - "&amp;(IFERROR(IF(FIND("_",$B143)&gt;0,MID($B143,FIND("_",$B143)+1,LEN($B143)),IF(FIND("-",$B143)&gt;0,MID($B143,FIND("-",$B143)+1,LEN($B143)))),""))),"")),64))</f>
        <v/>
      </c>
      <c r="H143" s="12"/>
      <c r="I143" s="12" t="str">
        <f>IF($D143&lt;&gt;"",COUNTIF($D$7:$D143,"="&amp;$D143),"")</f>
        <v/>
      </c>
      <c r="J143"/>
      <c r="K143" s="8"/>
      <c r="L143"/>
    </row>
    <row r="144" spans="1:12" x14ac:dyDescent="0.3">
      <c r="A144" s="1"/>
      <c r="B144" s="26"/>
      <c r="C144" s="12" t="str">
        <f>_xlfn.IFNA(IFERROR(IF(FIND("_",$B144)&gt;0,INDEX(WP!$A$2:$F$23,MATCH(LEFT($B144,FIND("_",$B144)-1),WP!$E$2:$E$23,0),1),IF(FIND("-",$B144)&gt;0,INDEX(WP!$A$2:$F$23,MATCH(LEFT($B144,FIND("_",$B144)-1),WP!$E$2:$E$23,0),1))),INDEX(WP!$A$2:$F$23,MATCH(Results!$B144,WP!$E$2:$E$23,0),1)),"")</f>
        <v/>
      </c>
      <c r="D144" s="12" t="str">
        <f>IFERROR(IFERROR(IF(RIGHT(INDEX(WP!$A$2:$F$23,MATCH(IF(FIND("_",$B144)&gt;0,LEFT($B144,FIND("_",$B144)-1)),WP!$E$2:$E$23,0),2),6)="Series",LEFT(INDEX(WP!$A$2:$F$23,MATCH(IF(FIND("_",$B144)&gt;0,LEFT($B144,FIND("_",$B144)-1)),WP!$E$2:$E$23,0),2),5),""),IF(RIGHT(INDEX(WP!$A$2:$F$23,MATCH($B144,WP!$E$2:$E$23,0),2),6)="Series",LEFT(INDEX(WP!$A$2:$F$23,MATCH($B144,WP!$E$2:$E$23,0),2),5),"")),"")</f>
        <v/>
      </c>
      <c r="E144" s="17" t="str">
        <f>IFERROR(VLOOKUP(VALUE($D144),Series!$B$3:$F$11,2,0),"")</f>
        <v/>
      </c>
      <c r="F144" s="12" t="str">
        <f>_xlfn.IFNA(IF(IF($D144&lt;&gt;"",COUNTIF($E:$E,"="&amp;$D144),"")="",IF(RIGHT(IFERROR(IF(FIND("_",$B144)&gt;0,INDEX(WP!$A$2:$F$23,MATCH(LEFT($B144,FIND("_",$B144)-1),WP!$E$2:$E$23,0),2),IF(FIND("-",$B144)&gt;0,INDEX(WP!$A$2:$F$23,MATCH(LEFT($B144,FIND("_",$B144)-1),WP!$E$2:$E$23,0),2))),INDEX(WP!$A$2:$F$23,MATCH(Results!$B144,WP!$E$2:$E$23,0),2)),6)="Series",LEFT(IFERROR(IF(FIND("_",$B144)&gt;0,INDEX(WP!$A$2:$F$23,MATCH(LEFT($B144,FIND("_",$B144)-1),WP!$E$2:$E$23,0),2),IF(FIND("-",$B144)&gt;0,INDEX(WP!$A$2:$F$23,MATCH(LEFT($B144,FIND("_",$B144)-1),WP!$E$2:$E$23,0),2))),INDEX(WP!$A$2:$F$23,MATCH(Results!$B144,WP!$E$2:$E$23,0),2)),5),(IFERROR(IF(FIND("_",$B144)&gt;0,INDEX(WP!$A$2:$F$23,MATCH(LEFT($B144,FIND("_",$B144)-1),WP!$E$2:$E$23,0),2),IF(FIND("-",$B144)&gt;0,INDEX(WP!$A$2:$F$23,MATCH(LEFT($B144,FIND("_",$B144)-1),WP!$E$2:$E$23,0),2))),INDEX(WP!$A$2:$F$23,MATCH(Results!$B144,WP!$E$2:$E$23,0),2)))),IF(RIGHT(IFERROR(IF(FIND("_",$B144)&gt;0,INDEX(WP!$A$2:$F$23,MATCH(LEFT($B144,FIND("_",$B144)-1),WP!$E$2:$E$23,0),2),IF(FIND("-",$B144)&gt;0,INDEX(WP!$A$2:$F$23,MATCH(LEFT($B144,FIND("_",$B144)-1),WP!$E$2:$E$23,0),2))),INDEX(WP!$A$2:$F$23,MATCH(Results!$B144,WP!$E$2:$E$23,0),2)),6)="Series",LEFT(IFERROR(IF(FIND("_",$B144)&gt;0,INDEX(WP!$A$2:$F$23,MATCH(LEFT($B144,FIND("_",$B144)-1),WP!$E$2:$E$23,0),2),IF(FIND("-",$B144)&gt;0,INDEX(WP!$A$2:$F$23,MATCH(LEFT($B144,FIND("_",$B144)-1),WP!$E$2:$E$23,0),2))),INDEX(WP!$A$2:$F$23,MATCH(Results!$B144,WP!$E$2:$E$23,0),2)),5),(IFERROR(IF(FIND("_",$B144)&gt;0,INDEX(WP!$A$2:$F$23,MATCH(LEFT($B144,FIND("_",$B144)-1),WP!$E$2:$E$23,0),2),IF(FIND("-",$B144)&gt;0,INDEX(WP!$A$2:$F$23,MATCH(LEFT($B144,FIND("_",$B144)-1),WP!$E$2:$E$23,0),2))),INDEX(WP!$A$2:$F$23,MATCH(Results!$B144,WP!$E$2:$E$23,0),2))))&amp;"-"&amp;$I144),"")</f>
        <v/>
      </c>
      <c r="G144" s="17" t="str">
        <f>IF(LEN(_xlfn.IFNA(IF(IFERROR(IF(FIND("_",$B144)&gt;0,MID($B144,FIND("_",$B144)+1,LEN($B144)),IF(FIND("-",$B144)&gt;0,MID($B144,FIND("-",$B144)+1,LEN($B144)))),"")="",IFERROR(VLOOKUP($F144,WP!$B$2:$C$23,2,0),VLOOKUP($C144,Series!$A$3:$F$11,6,0)),IFERROR(VLOOKUP($F144,WP!$B$2:$C$23,2,0),VLOOKUP($C144,Series!$A$3:$F$11,6,0))&amp;" - "&amp;(IFERROR(IF(FIND("_",$B144)&gt;0,MID($B144,FIND("_",$B144)+1,LEN($B144)),IF(FIND("-",$B144)&gt;0,MID($B144,FIND("-",$B144)+1,LEN($B144)))),""))),""))&lt;64,_xlfn.IFNA(IF(IFERROR(IF(FIND("_",$B144)&gt;0,MID($B144,FIND("_",$B144)+1,LEN($B144)),IF(FIND("-",$B144)&gt;0,MID($B144,FIND("-",$B144)+1,LEN($B144)))),"")="",IFERROR(VLOOKUP($F144,WP!$B$2:$C$23,2,0),VLOOKUP($C144,Series!$A$3:$F$11,6,0)),IFERROR(VLOOKUP($F144,WP!$B$2:$C$23,2,0),VLOOKUP($C144,Series!$A$3:$F$11,6,0))&amp;" - "&amp;(IFERROR(IF(FIND("_",$B144)&gt;0,MID($B144,FIND("_",$B144)+1,LEN($B144)),IF(FIND("-",$B144)&gt;0,MID($B144,FIND("-",$B144)+1,LEN($B144)))),""))),""),LEFT((_xlfn.IFNA(IF(IFERROR(IF(FIND("_",$B144)&gt;0,MID($B144,FIND("_",$B144)+1,LEN($B144)),IF(FIND("-",$B144)&gt;0,MID($B144,FIND("-",$B144)+1,LEN($B144)))),"")="",IFERROR(VLOOKUP($F144,WP!$B$2:$C$23,2,0),VLOOKUP($C144,Series!$A$3:$F$11,6,0)),IFERROR(VLOOKUP($F144,WP!$B$2:$C$23,2,0),VLOOKUP($C144,Series!$A$3:$F$11,6,0))&amp;" - "&amp;(IFERROR(IF(FIND("_",$B144)&gt;0,MID($B144,FIND("_",$B144)+1,LEN($B144)),IF(FIND("-",$B144)&gt;0,MID($B144,FIND("-",$B144)+1,LEN($B144)))),""))),"")),64))</f>
        <v/>
      </c>
      <c r="H144" s="12"/>
      <c r="I144" s="12" t="str">
        <f>IF($D144&lt;&gt;"",COUNTIF($D$7:$D144,"="&amp;$D144),"")</f>
        <v/>
      </c>
      <c r="J144"/>
      <c r="K144" s="8"/>
      <c r="L144"/>
    </row>
    <row r="145" spans="1:12" x14ac:dyDescent="0.3">
      <c r="A145" s="1"/>
      <c r="B145" s="26"/>
      <c r="C145" s="12" t="str">
        <f>_xlfn.IFNA(IFERROR(IF(FIND("_",$B145)&gt;0,INDEX(WP!$A$2:$F$23,MATCH(LEFT($B145,FIND("_",$B145)-1),WP!$E$2:$E$23,0),1),IF(FIND("-",$B145)&gt;0,INDEX(WP!$A$2:$F$23,MATCH(LEFT($B145,FIND("_",$B145)-1),WP!$E$2:$E$23,0),1))),INDEX(WP!$A$2:$F$23,MATCH(Results!$B145,WP!$E$2:$E$23,0),1)),"")</f>
        <v/>
      </c>
      <c r="D145" s="12" t="str">
        <f>IFERROR(IFERROR(IF(RIGHT(INDEX(WP!$A$2:$F$23,MATCH(IF(FIND("_",$B145)&gt;0,LEFT($B145,FIND("_",$B145)-1)),WP!$E$2:$E$23,0),2),6)="Series",LEFT(INDEX(WP!$A$2:$F$23,MATCH(IF(FIND("_",$B145)&gt;0,LEFT($B145,FIND("_",$B145)-1)),WP!$E$2:$E$23,0),2),5),""),IF(RIGHT(INDEX(WP!$A$2:$F$23,MATCH($B145,WP!$E$2:$E$23,0),2),6)="Series",LEFT(INDEX(WP!$A$2:$F$23,MATCH($B145,WP!$E$2:$E$23,0),2),5),"")),"")</f>
        <v/>
      </c>
      <c r="E145" s="17" t="str">
        <f>IFERROR(VLOOKUP(VALUE($D145),Series!$B$3:$F$11,2,0),"")</f>
        <v/>
      </c>
      <c r="F145" s="12" t="str">
        <f>_xlfn.IFNA(IF(IF($D145&lt;&gt;"",COUNTIF($E:$E,"="&amp;$D145),"")="",IF(RIGHT(IFERROR(IF(FIND("_",$B145)&gt;0,INDEX(WP!$A$2:$F$23,MATCH(LEFT($B145,FIND("_",$B145)-1),WP!$E$2:$E$23,0),2),IF(FIND("-",$B145)&gt;0,INDEX(WP!$A$2:$F$23,MATCH(LEFT($B145,FIND("_",$B145)-1),WP!$E$2:$E$23,0),2))),INDEX(WP!$A$2:$F$23,MATCH(Results!$B145,WP!$E$2:$E$23,0),2)),6)="Series",LEFT(IFERROR(IF(FIND("_",$B145)&gt;0,INDEX(WP!$A$2:$F$23,MATCH(LEFT($B145,FIND("_",$B145)-1),WP!$E$2:$E$23,0),2),IF(FIND("-",$B145)&gt;0,INDEX(WP!$A$2:$F$23,MATCH(LEFT($B145,FIND("_",$B145)-1),WP!$E$2:$E$23,0),2))),INDEX(WP!$A$2:$F$23,MATCH(Results!$B145,WP!$E$2:$E$23,0),2)),5),(IFERROR(IF(FIND("_",$B145)&gt;0,INDEX(WP!$A$2:$F$23,MATCH(LEFT($B145,FIND("_",$B145)-1),WP!$E$2:$E$23,0),2),IF(FIND("-",$B145)&gt;0,INDEX(WP!$A$2:$F$23,MATCH(LEFT($B145,FIND("_",$B145)-1),WP!$E$2:$E$23,0),2))),INDEX(WP!$A$2:$F$23,MATCH(Results!$B145,WP!$E$2:$E$23,0),2)))),IF(RIGHT(IFERROR(IF(FIND("_",$B145)&gt;0,INDEX(WP!$A$2:$F$23,MATCH(LEFT($B145,FIND("_",$B145)-1),WP!$E$2:$E$23,0),2),IF(FIND("-",$B145)&gt;0,INDEX(WP!$A$2:$F$23,MATCH(LEFT($B145,FIND("_",$B145)-1),WP!$E$2:$E$23,0),2))),INDEX(WP!$A$2:$F$23,MATCH(Results!$B145,WP!$E$2:$E$23,0),2)),6)="Series",LEFT(IFERROR(IF(FIND("_",$B145)&gt;0,INDEX(WP!$A$2:$F$23,MATCH(LEFT($B145,FIND("_",$B145)-1),WP!$E$2:$E$23,0),2),IF(FIND("-",$B145)&gt;0,INDEX(WP!$A$2:$F$23,MATCH(LEFT($B145,FIND("_",$B145)-1),WP!$E$2:$E$23,0),2))),INDEX(WP!$A$2:$F$23,MATCH(Results!$B145,WP!$E$2:$E$23,0),2)),5),(IFERROR(IF(FIND("_",$B145)&gt;0,INDEX(WP!$A$2:$F$23,MATCH(LEFT($B145,FIND("_",$B145)-1),WP!$E$2:$E$23,0),2),IF(FIND("-",$B145)&gt;0,INDEX(WP!$A$2:$F$23,MATCH(LEFT($B145,FIND("_",$B145)-1),WP!$E$2:$E$23,0),2))),INDEX(WP!$A$2:$F$23,MATCH(Results!$B145,WP!$E$2:$E$23,0),2))))&amp;"-"&amp;$I145),"")</f>
        <v/>
      </c>
      <c r="G145" s="17" t="str">
        <f>IF(LEN(_xlfn.IFNA(IF(IFERROR(IF(FIND("_",$B145)&gt;0,MID($B145,FIND("_",$B145)+1,LEN($B145)),IF(FIND("-",$B145)&gt;0,MID($B145,FIND("-",$B145)+1,LEN($B145)))),"")="",IFERROR(VLOOKUP($F145,WP!$B$2:$C$23,2,0),VLOOKUP($C145,Series!$A$3:$F$11,6,0)),IFERROR(VLOOKUP($F145,WP!$B$2:$C$23,2,0),VLOOKUP($C145,Series!$A$3:$F$11,6,0))&amp;" - "&amp;(IFERROR(IF(FIND("_",$B145)&gt;0,MID($B145,FIND("_",$B145)+1,LEN($B145)),IF(FIND("-",$B145)&gt;0,MID($B145,FIND("-",$B145)+1,LEN($B145)))),""))),""))&lt;64,_xlfn.IFNA(IF(IFERROR(IF(FIND("_",$B145)&gt;0,MID($B145,FIND("_",$B145)+1,LEN($B145)),IF(FIND("-",$B145)&gt;0,MID($B145,FIND("-",$B145)+1,LEN($B145)))),"")="",IFERROR(VLOOKUP($F145,WP!$B$2:$C$23,2,0),VLOOKUP($C145,Series!$A$3:$F$11,6,0)),IFERROR(VLOOKUP($F145,WP!$B$2:$C$23,2,0),VLOOKUP($C145,Series!$A$3:$F$11,6,0))&amp;" - "&amp;(IFERROR(IF(FIND("_",$B145)&gt;0,MID($B145,FIND("_",$B145)+1,LEN($B145)),IF(FIND("-",$B145)&gt;0,MID($B145,FIND("-",$B145)+1,LEN($B145)))),""))),""),LEFT((_xlfn.IFNA(IF(IFERROR(IF(FIND("_",$B145)&gt;0,MID($B145,FIND("_",$B145)+1,LEN($B145)),IF(FIND("-",$B145)&gt;0,MID($B145,FIND("-",$B145)+1,LEN($B145)))),"")="",IFERROR(VLOOKUP($F145,WP!$B$2:$C$23,2,0),VLOOKUP($C145,Series!$A$3:$F$11,6,0)),IFERROR(VLOOKUP($F145,WP!$B$2:$C$23,2,0),VLOOKUP($C145,Series!$A$3:$F$11,6,0))&amp;" - "&amp;(IFERROR(IF(FIND("_",$B145)&gt;0,MID($B145,FIND("_",$B145)+1,LEN($B145)),IF(FIND("-",$B145)&gt;0,MID($B145,FIND("-",$B145)+1,LEN($B145)))),""))),"")),64))</f>
        <v/>
      </c>
      <c r="H145" s="12"/>
      <c r="I145" s="12" t="str">
        <f>IF($D145&lt;&gt;"",COUNTIF($D$7:$D145,"="&amp;$D145),"")</f>
        <v/>
      </c>
      <c r="J145"/>
      <c r="K145" s="8"/>
      <c r="L145"/>
    </row>
    <row r="146" spans="1:12" x14ac:dyDescent="0.3">
      <c r="A146" s="1"/>
      <c r="B146" s="26"/>
      <c r="C146" s="12" t="str">
        <f>_xlfn.IFNA(IFERROR(IF(FIND("_",$B146)&gt;0,INDEX(WP!$A$2:$F$23,MATCH(LEFT($B146,FIND("_",$B146)-1),WP!$E$2:$E$23,0),1),IF(FIND("-",$B146)&gt;0,INDEX(WP!$A$2:$F$23,MATCH(LEFT($B146,FIND("_",$B146)-1),WP!$E$2:$E$23,0),1))),INDEX(WP!$A$2:$F$23,MATCH(Results!$B146,WP!$E$2:$E$23,0),1)),"")</f>
        <v/>
      </c>
      <c r="D146" s="12" t="str">
        <f>IFERROR(IFERROR(IF(RIGHT(INDEX(WP!$A$2:$F$23,MATCH(IF(FIND("_",$B146)&gt;0,LEFT($B146,FIND("_",$B146)-1)),WP!$E$2:$E$23,0),2),6)="Series",LEFT(INDEX(WP!$A$2:$F$23,MATCH(IF(FIND("_",$B146)&gt;0,LEFT($B146,FIND("_",$B146)-1)),WP!$E$2:$E$23,0),2),5),""),IF(RIGHT(INDEX(WP!$A$2:$F$23,MATCH($B146,WP!$E$2:$E$23,0),2),6)="Series",LEFT(INDEX(WP!$A$2:$F$23,MATCH($B146,WP!$E$2:$E$23,0),2),5),"")),"")</f>
        <v/>
      </c>
      <c r="E146" s="17" t="str">
        <f>IFERROR(VLOOKUP(VALUE($D146),Series!$B$3:$F$11,2,0),"")</f>
        <v/>
      </c>
      <c r="F146" s="12" t="str">
        <f>_xlfn.IFNA(IF(IF($D146&lt;&gt;"",COUNTIF($E:$E,"="&amp;$D146),"")="",IF(RIGHT(IFERROR(IF(FIND("_",$B146)&gt;0,INDEX(WP!$A$2:$F$23,MATCH(LEFT($B146,FIND("_",$B146)-1),WP!$E$2:$E$23,0),2),IF(FIND("-",$B146)&gt;0,INDEX(WP!$A$2:$F$23,MATCH(LEFT($B146,FIND("_",$B146)-1),WP!$E$2:$E$23,0),2))),INDEX(WP!$A$2:$F$23,MATCH(Results!$B146,WP!$E$2:$E$23,0),2)),6)="Series",LEFT(IFERROR(IF(FIND("_",$B146)&gt;0,INDEX(WP!$A$2:$F$23,MATCH(LEFT($B146,FIND("_",$B146)-1),WP!$E$2:$E$23,0),2),IF(FIND("-",$B146)&gt;0,INDEX(WP!$A$2:$F$23,MATCH(LEFT($B146,FIND("_",$B146)-1),WP!$E$2:$E$23,0),2))),INDEX(WP!$A$2:$F$23,MATCH(Results!$B146,WP!$E$2:$E$23,0),2)),5),(IFERROR(IF(FIND("_",$B146)&gt;0,INDEX(WP!$A$2:$F$23,MATCH(LEFT($B146,FIND("_",$B146)-1),WP!$E$2:$E$23,0),2),IF(FIND("-",$B146)&gt;0,INDEX(WP!$A$2:$F$23,MATCH(LEFT($B146,FIND("_",$B146)-1),WP!$E$2:$E$23,0),2))),INDEX(WP!$A$2:$F$23,MATCH(Results!$B146,WP!$E$2:$E$23,0),2)))),IF(RIGHT(IFERROR(IF(FIND("_",$B146)&gt;0,INDEX(WP!$A$2:$F$23,MATCH(LEFT($B146,FIND("_",$B146)-1),WP!$E$2:$E$23,0),2),IF(FIND("-",$B146)&gt;0,INDEX(WP!$A$2:$F$23,MATCH(LEFT($B146,FIND("_",$B146)-1),WP!$E$2:$E$23,0),2))),INDEX(WP!$A$2:$F$23,MATCH(Results!$B146,WP!$E$2:$E$23,0),2)),6)="Series",LEFT(IFERROR(IF(FIND("_",$B146)&gt;0,INDEX(WP!$A$2:$F$23,MATCH(LEFT($B146,FIND("_",$B146)-1),WP!$E$2:$E$23,0),2),IF(FIND("-",$B146)&gt;0,INDEX(WP!$A$2:$F$23,MATCH(LEFT($B146,FIND("_",$B146)-1),WP!$E$2:$E$23,0),2))),INDEX(WP!$A$2:$F$23,MATCH(Results!$B146,WP!$E$2:$E$23,0),2)),5),(IFERROR(IF(FIND("_",$B146)&gt;0,INDEX(WP!$A$2:$F$23,MATCH(LEFT($B146,FIND("_",$B146)-1),WP!$E$2:$E$23,0),2),IF(FIND("-",$B146)&gt;0,INDEX(WP!$A$2:$F$23,MATCH(LEFT($B146,FIND("_",$B146)-1),WP!$E$2:$E$23,0),2))),INDEX(WP!$A$2:$F$23,MATCH(Results!$B146,WP!$E$2:$E$23,0),2))))&amp;"-"&amp;$I146),"")</f>
        <v/>
      </c>
      <c r="G146" s="17" t="str">
        <f>IF(LEN(_xlfn.IFNA(IF(IFERROR(IF(FIND("_",$B146)&gt;0,MID($B146,FIND("_",$B146)+1,LEN($B146)),IF(FIND("-",$B146)&gt;0,MID($B146,FIND("-",$B146)+1,LEN($B146)))),"")="",IFERROR(VLOOKUP($F146,WP!$B$2:$C$23,2,0),VLOOKUP($C146,Series!$A$3:$F$11,6,0)),IFERROR(VLOOKUP($F146,WP!$B$2:$C$23,2,0),VLOOKUP($C146,Series!$A$3:$F$11,6,0))&amp;" - "&amp;(IFERROR(IF(FIND("_",$B146)&gt;0,MID($B146,FIND("_",$B146)+1,LEN($B146)),IF(FIND("-",$B146)&gt;0,MID($B146,FIND("-",$B146)+1,LEN($B146)))),""))),""))&lt;64,_xlfn.IFNA(IF(IFERROR(IF(FIND("_",$B146)&gt;0,MID($B146,FIND("_",$B146)+1,LEN($B146)),IF(FIND("-",$B146)&gt;0,MID($B146,FIND("-",$B146)+1,LEN($B146)))),"")="",IFERROR(VLOOKUP($F146,WP!$B$2:$C$23,2,0),VLOOKUP($C146,Series!$A$3:$F$11,6,0)),IFERROR(VLOOKUP($F146,WP!$B$2:$C$23,2,0),VLOOKUP($C146,Series!$A$3:$F$11,6,0))&amp;" - "&amp;(IFERROR(IF(FIND("_",$B146)&gt;0,MID($B146,FIND("_",$B146)+1,LEN($B146)),IF(FIND("-",$B146)&gt;0,MID($B146,FIND("-",$B146)+1,LEN($B146)))),""))),""),LEFT((_xlfn.IFNA(IF(IFERROR(IF(FIND("_",$B146)&gt;0,MID($B146,FIND("_",$B146)+1,LEN($B146)),IF(FIND("-",$B146)&gt;0,MID($B146,FIND("-",$B146)+1,LEN($B146)))),"")="",IFERROR(VLOOKUP($F146,WP!$B$2:$C$23,2,0),VLOOKUP($C146,Series!$A$3:$F$11,6,0)),IFERROR(VLOOKUP($F146,WP!$B$2:$C$23,2,0),VLOOKUP($C146,Series!$A$3:$F$11,6,0))&amp;" - "&amp;(IFERROR(IF(FIND("_",$B146)&gt;0,MID($B146,FIND("_",$B146)+1,LEN($B146)),IF(FIND("-",$B146)&gt;0,MID($B146,FIND("-",$B146)+1,LEN($B146)))),""))),"")),64))</f>
        <v/>
      </c>
      <c r="H146" s="12"/>
      <c r="I146" s="12" t="str">
        <f>IF($D146&lt;&gt;"",COUNTIF($D$7:$D146,"="&amp;$D146),"")</f>
        <v/>
      </c>
      <c r="J146"/>
      <c r="K146" s="8"/>
      <c r="L146"/>
    </row>
    <row r="147" spans="1:12" x14ac:dyDescent="0.3">
      <c r="A147" s="1"/>
      <c r="B147" s="26"/>
      <c r="C147" s="12" t="str">
        <f>_xlfn.IFNA(IFERROR(IF(FIND("_",$B147)&gt;0,INDEX(WP!$A$2:$F$23,MATCH(LEFT($B147,FIND("_",$B147)-1),WP!$E$2:$E$23,0),1),IF(FIND("-",$B147)&gt;0,INDEX(WP!$A$2:$F$23,MATCH(LEFT($B147,FIND("_",$B147)-1),WP!$E$2:$E$23,0),1))),INDEX(WP!$A$2:$F$23,MATCH(Results!$B147,WP!$E$2:$E$23,0),1)),"")</f>
        <v/>
      </c>
      <c r="D147" s="12" t="str">
        <f>IFERROR(IFERROR(IF(RIGHT(INDEX(WP!$A$2:$F$23,MATCH(IF(FIND("_",$B147)&gt;0,LEFT($B147,FIND("_",$B147)-1)),WP!$E$2:$E$23,0),2),6)="Series",LEFT(INDEX(WP!$A$2:$F$23,MATCH(IF(FIND("_",$B147)&gt;0,LEFT($B147,FIND("_",$B147)-1)),WP!$E$2:$E$23,0),2),5),""),IF(RIGHT(INDEX(WP!$A$2:$F$23,MATCH($B147,WP!$E$2:$E$23,0),2),6)="Series",LEFT(INDEX(WP!$A$2:$F$23,MATCH($B147,WP!$E$2:$E$23,0),2),5),"")),"")</f>
        <v/>
      </c>
      <c r="E147" s="17" t="str">
        <f>IFERROR(VLOOKUP(VALUE($D147),Series!$B$3:$F$11,2,0),"")</f>
        <v/>
      </c>
      <c r="F147" s="12" t="str">
        <f>_xlfn.IFNA(IF(IF($D147&lt;&gt;"",COUNTIF($E:$E,"="&amp;$D147),"")="",IF(RIGHT(IFERROR(IF(FIND("_",$B147)&gt;0,INDEX(WP!$A$2:$F$23,MATCH(LEFT($B147,FIND("_",$B147)-1),WP!$E$2:$E$23,0),2),IF(FIND("-",$B147)&gt;0,INDEX(WP!$A$2:$F$23,MATCH(LEFT($B147,FIND("_",$B147)-1),WP!$E$2:$E$23,0),2))),INDEX(WP!$A$2:$F$23,MATCH(Results!$B147,WP!$E$2:$E$23,0),2)),6)="Series",LEFT(IFERROR(IF(FIND("_",$B147)&gt;0,INDEX(WP!$A$2:$F$23,MATCH(LEFT($B147,FIND("_",$B147)-1),WP!$E$2:$E$23,0),2),IF(FIND("-",$B147)&gt;0,INDEX(WP!$A$2:$F$23,MATCH(LEFT($B147,FIND("_",$B147)-1),WP!$E$2:$E$23,0),2))),INDEX(WP!$A$2:$F$23,MATCH(Results!$B147,WP!$E$2:$E$23,0),2)),5),(IFERROR(IF(FIND("_",$B147)&gt;0,INDEX(WP!$A$2:$F$23,MATCH(LEFT($B147,FIND("_",$B147)-1),WP!$E$2:$E$23,0),2),IF(FIND("-",$B147)&gt;0,INDEX(WP!$A$2:$F$23,MATCH(LEFT($B147,FIND("_",$B147)-1),WP!$E$2:$E$23,0),2))),INDEX(WP!$A$2:$F$23,MATCH(Results!$B147,WP!$E$2:$E$23,0),2)))),IF(RIGHT(IFERROR(IF(FIND("_",$B147)&gt;0,INDEX(WP!$A$2:$F$23,MATCH(LEFT($B147,FIND("_",$B147)-1),WP!$E$2:$E$23,0),2),IF(FIND("-",$B147)&gt;0,INDEX(WP!$A$2:$F$23,MATCH(LEFT($B147,FIND("_",$B147)-1),WP!$E$2:$E$23,0),2))),INDEX(WP!$A$2:$F$23,MATCH(Results!$B147,WP!$E$2:$E$23,0),2)),6)="Series",LEFT(IFERROR(IF(FIND("_",$B147)&gt;0,INDEX(WP!$A$2:$F$23,MATCH(LEFT($B147,FIND("_",$B147)-1),WP!$E$2:$E$23,0),2),IF(FIND("-",$B147)&gt;0,INDEX(WP!$A$2:$F$23,MATCH(LEFT($B147,FIND("_",$B147)-1),WP!$E$2:$E$23,0),2))),INDEX(WP!$A$2:$F$23,MATCH(Results!$B147,WP!$E$2:$E$23,0),2)),5),(IFERROR(IF(FIND("_",$B147)&gt;0,INDEX(WP!$A$2:$F$23,MATCH(LEFT($B147,FIND("_",$B147)-1),WP!$E$2:$E$23,0),2),IF(FIND("-",$B147)&gt;0,INDEX(WP!$A$2:$F$23,MATCH(LEFT($B147,FIND("_",$B147)-1),WP!$E$2:$E$23,0),2))),INDEX(WP!$A$2:$F$23,MATCH(Results!$B147,WP!$E$2:$E$23,0),2))))&amp;"-"&amp;$I147),"")</f>
        <v/>
      </c>
      <c r="G147" s="17" t="str">
        <f>IF(LEN(_xlfn.IFNA(IF(IFERROR(IF(FIND("_",$B147)&gt;0,MID($B147,FIND("_",$B147)+1,LEN($B147)),IF(FIND("-",$B147)&gt;0,MID($B147,FIND("-",$B147)+1,LEN($B147)))),"")="",IFERROR(VLOOKUP($F147,WP!$B$2:$C$23,2,0),VLOOKUP($C147,Series!$A$3:$F$11,6,0)),IFERROR(VLOOKUP($F147,WP!$B$2:$C$23,2,0),VLOOKUP($C147,Series!$A$3:$F$11,6,0))&amp;" - "&amp;(IFERROR(IF(FIND("_",$B147)&gt;0,MID($B147,FIND("_",$B147)+1,LEN($B147)),IF(FIND("-",$B147)&gt;0,MID($B147,FIND("-",$B147)+1,LEN($B147)))),""))),""))&lt;64,_xlfn.IFNA(IF(IFERROR(IF(FIND("_",$B147)&gt;0,MID($B147,FIND("_",$B147)+1,LEN($B147)),IF(FIND("-",$B147)&gt;0,MID($B147,FIND("-",$B147)+1,LEN($B147)))),"")="",IFERROR(VLOOKUP($F147,WP!$B$2:$C$23,2,0),VLOOKUP($C147,Series!$A$3:$F$11,6,0)),IFERROR(VLOOKUP($F147,WP!$B$2:$C$23,2,0),VLOOKUP($C147,Series!$A$3:$F$11,6,0))&amp;" - "&amp;(IFERROR(IF(FIND("_",$B147)&gt;0,MID($B147,FIND("_",$B147)+1,LEN($B147)),IF(FIND("-",$B147)&gt;0,MID($B147,FIND("-",$B147)+1,LEN($B147)))),""))),""),LEFT((_xlfn.IFNA(IF(IFERROR(IF(FIND("_",$B147)&gt;0,MID($B147,FIND("_",$B147)+1,LEN($B147)),IF(FIND("-",$B147)&gt;0,MID($B147,FIND("-",$B147)+1,LEN($B147)))),"")="",IFERROR(VLOOKUP($F147,WP!$B$2:$C$23,2,0),VLOOKUP($C147,Series!$A$3:$F$11,6,0)),IFERROR(VLOOKUP($F147,WP!$B$2:$C$23,2,0),VLOOKUP($C147,Series!$A$3:$F$11,6,0))&amp;" - "&amp;(IFERROR(IF(FIND("_",$B147)&gt;0,MID($B147,FIND("_",$B147)+1,LEN($B147)),IF(FIND("-",$B147)&gt;0,MID($B147,FIND("-",$B147)+1,LEN($B147)))),""))),"")),64))</f>
        <v/>
      </c>
      <c r="H147" s="12"/>
      <c r="I147" s="12" t="str">
        <f>IF($D147&lt;&gt;"",COUNTIF($D$7:$D147,"="&amp;$D147),"")</f>
        <v/>
      </c>
      <c r="J147"/>
      <c r="K147" s="8"/>
      <c r="L147"/>
    </row>
    <row r="148" spans="1:12" x14ac:dyDescent="0.3">
      <c r="A148" s="1"/>
      <c r="B148" s="26"/>
      <c r="C148" s="12" t="str">
        <f>_xlfn.IFNA(IFERROR(IF(FIND("_",$B148)&gt;0,INDEX(WP!$A$2:$F$23,MATCH(LEFT($B148,FIND("_",$B148)-1),WP!$E$2:$E$23,0),1),IF(FIND("-",$B148)&gt;0,INDEX(WP!$A$2:$F$23,MATCH(LEFT($B148,FIND("_",$B148)-1),WP!$E$2:$E$23,0),1))),INDEX(WP!$A$2:$F$23,MATCH(Results!$B148,WP!$E$2:$E$23,0),1)),"")</f>
        <v/>
      </c>
      <c r="D148" s="12" t="str">
        <f>IFERROR(IFERROR(IF(RIGHT(INDEX(WP!$A$2:$F$23,MATCH(IF(FIND("_",$B148)&gt;0,LEFT($B148,FIND("_",$B148)-1)),WP!$E$2:$E$23,0),2),6)="Series",LEFT(INDEX(WP!$A$2:$F$23,MATCH(IF(FIND("_",$B148)&gt;0,LEFT($B148,FIND("_",$B148)-1)),WP!$E$2:$E$23,0),2),5),""),IF(RIGHT(INDEX(WP!$A$2:$F$23,MATCH($B148,WP!$E$2:$E$23,0),2),6)="Series",LEFT(INDEX(WP!$A$2:$F$23,MATCH($B148,WP!$E$2:$E$23,0),2),5),"")),"")</f>
        <v/>
      </c>
      <c r="E148" s="17" t="str">
        <f>IFERROR(VLOOKUP(VALUE($D148),Series!$B$3:$F$11,2,0),"")</f>
        <v/>
      </c>
      <c r="F148" s="12" t="str">
        <f>_xlfn.IFNA(IF(IF($D148&lt;&gt;"",COUNTIF($E:$E,"="&amp;$D148),"")="",IF(RIGHT(IFERROR(IF(FIND("_",$B148)&gt;0,INDEX(WP!$A$2:$F$23,MATCH(LEFT($B148,FIND("_",$B148)-1),WP!$E$2:$E$23,0),2),IF(FIND("-",$B148)&gt;0,INDEX(WP!$A$2:$F$23,MATCH(LEFT($B148,FIND("_",$B148)-1),WP!$E$2:$E$23,0),2))),INDEX(WP!$A$2:$F$23,MATCH(Results!$B148,WP!$E$2:$E$23,0),2)),6)="Series",LEFT(IFERROR(IF(FIND("_",$B148)&gt;0,INDEX(WP!$A$2:$F$23,MATCH(LEFT($B148,FIND("_",$B148)-1),WP!$E$2:$E$23,0),2),IF(FIND("-",$B148)&gt;0,INDEX(WP!$A$2:$F$23,MATCH(LEFT($B148,FIND("_",$B148)-1),WP!$E$2:$E$23,0),2))),INDEX(WP!$A$2:$F$23,MATCH(Results!$B148,WP!$E$2:$E$23,0),2)),5),(IFERROR(IF(FIND("_",$B148)&gt;0,INDEX(WP!$A$2:$F$23,MATCH(LEFT($B148,FIND("_",$B148)-1),WP!$E$2:$E$23,0),2),IF(FIND("-",$B148)&gt;0,INDEX(WP!$A$2:$F$23,MATCH(LEFT($B148,FIND("_",$B148)-1),WP!$E$2:$E$23,0),2))),INDEX(WP!$A$2:$F$23,MATCH(Results!$B148,WP!$E$2:$E$23,0),2)))),IF(RIGHT(IFERROR(IF(FIND("_",$B148)&gt;0,INDEX(WP!$A$2:$F$23,MATCH(LEFT($B148,FIND("_",$B148)-1),WP!$E$2:$E$23,0),2),IF(FIND("-",$B148)&gt;0,INDEX(WP!$A$2:$F$23,MATCH(LEFT($B148,FIND("_",$B148)-1),WP!$E$2:$E$23,0),2))),INDEX(WP!$A$2:$F$23,MATCH(Results!$B148,WP!$E$2:$E$23,0),2)),6)="Series",LEFT(IFERROR(IF(FIND("_",$B148)&gt;0,INDEX(WP!$A$2:$F$23,MATCH(LEFT($B148,FIND("_",$B148)-1),WP!$E$2:$E$23,0),2),IF(FIND("-",$B148)&gt;0,INDEX(WP!$A$2:$F$23,MATCH(LEFT($B148,FIND("_",$B148)-1),WP!$E$2:$E$23,0),2))),INDEX(WP!$A$2:$F$23,MATCH(Results!$B148,WP!$E$2:$E$23,0),2)),5),(IFERROR(IF(FIND("_",$B148)&gt;0,INDEX(WP!$A$2:$F$23,MATCH(LEFT($B148,FIND("_",$B148)-1),WP!$E$2:$E$23,0),2),IF(FIND("-",$B148)&gt;0,INDEX(WP!$A$2:$F$23,MATCH(LEFT($B148,FIND("_",$B148)-1),WP!$E$2:$E$23,0),2))),INDEX(WP!$A$2:$F$23,MATCH(Results!$B148,WP!$E$2:$E$23,0),2))))&amp;"-"&amp;$I148),"")</f>
        <v/>
      </c>
      <c r="G148" s="17" t="str">
        <f>IF(LEN(_xlfn.IFNA(IF(IFERROR(IF(FIND("_",$B148)&gt;0,MID($B148,FIND("_",$B148)+1,LEN($B148)),IF(FIND("-",$B148)&gt;0,MID($B148,FIND("-",$B148)+1,LEN($B148)))),"")="",IFERROR(VLOOKUP($F148,WP!$B$2:$C$23,2,0),VLOOKUP($C148,Series!$A$3:$F$11,6,0)),IFERROR(VLOOKUP($F148,WP!$B$2:$C$23,2,0),VLOOKUP($C148,Series!$A$3:$F$11,6,0))&amp;" - "&amp;(IFERROR(IF(FIND("_",$B148)&gt;0,MID($B148,FIND("_",$B148)+1,LEN($B148)),IF(FIND("-",$B148)&gt;0,MID($B148,FIND("-",$B148)+1,LEN($B148)))),""))),""))&lt;64,_xlfn.IFNA(IF(IFERROR(IF(FIND("_",$B148)&gt;0,MID($B148,FIND("_",$B148)+1,LEN($B148)),IF(FIND("-",$B148)&gt;0,MID($B148,FIND("-",$B148)+1,LEN($B148)))),"")="",IFERROR(VLOOKUP($F148,WP!$B$2:$C$23,2,0),VLOOKUP($C148,Series!$A$3:$F$11,6,0)),IFERROR(VLOOKUP($F148,WP!$B$2:$C$23,2,0),VLOOKUP($C148,Series!$A$3:$F$11,6,0))&amp;" - "&amp;(IFERROR(IF(FIND("_",$B148)&gt;0,MID($B148,FIND("_",$B148)+1,LEN($B148)),IF(FIND("-",$B148)&gt;0,MID($B148,FIND("-",$B148)+1,LEN($B148)))),""))),""),LEFT((_xlfn.IFNA(IF(IFERROR(IF(FIND("_",$B148)&gt;0,MID($B148,FIND("_",$B148)+1,LEN($B148)),IF(FIND("-",$B148)&gt;0,MID($B148,FIND("-",$B148)+1,LEN($B148)))),"")="",IFERROR(VLOOKUP($F148,WP!$B$2:$C$23,2,0),VLOOKUP($C148,Series!$A$3:$F$11,6,0)),IFERROR(VLOOKUP($F148,WP!$B$2:$C$23,2,0),VLOOKUP($C148,Series!$A$3:$F$11,6,0))&amp;" - "&amp;(IFERROR(IF(FIND("_",$B148)&gt;0,MID($B148,FIND("_",$B148)+1,LEN($B148)),IF(FIND("-",$B148)&gt;0,MID($B148,FIND("-",$B148)+1,LEN($B148)))),""))),"")),64))</f>
        <v/>
      </c>
      <c r="H148" s="12"/>
      <c r="I148" s="12" t="str">
        <f>IF($D148&lt;&gt;"",COUNTIF($D$7:$D148,"="&amp;$D148),"")</f>
        <v/>
      </c>
      <c r="J148"/>
      <c r="K148" s="8"/>
      <c r="L148"/>
    </row>
    <row r="149" spans="1:12" x14ac:dyDescent="0.3">
      <c r="A149" s="1"/>
      <c r="B149" s="26"/>
      <c r="C149" s="12" t="str">
        <f>_xlfn.IFNA(IFERROR(IF(FIND("_",$B149)&gt;0,INDEX(WP!$A$2:$F$23,MATCH(LEFT($B149,FIND("_",$B149)-1),WP!$E$2:$E$23,0),1),IF(FIND("-",$B149)&gt;0,INDEX(WP!$A$2:$F$23,MATCH(LEFT($B149,FIND("_",$B149)-1),WP!$E$2:$E$23,0),1))),INDEX(WP!$A$2:$F$23,MATCH(Results!$B149,WP!$E$2:$E$23,0),1)),"")</f>
        <v/>
      </c>
      <c r="D149" s="12" t="str">
        <f>IFERROR(IFERROR(IF(RIGHT(INDEX(WP!$A$2:$F$23,MATCH(IF(FIND("_",$B149)&gt;0,LEFT($B149,FIND("_",$B149)-1)),WP!$E$2:$E$23,0),2),6)="Series",LEFT(INDEX(WP!$A$2:$F$23,MATCH(IF(FIND("_",$B149)&gt;0,LEFT($B149,FIND("_",$B149)-1)),WP!$E$2:$E$23,0),2),5),""),IF(RIGHT(INDEX(WP!$A$2:$F$23,MATCH($B149,WP!$E$2:$E$23,0),2),6)="Series",LEFT(INDEX(WP!$A$2:$F$23,MATCH($B149,WP!$E$2:$E$23,0),2),5),"")),"")</f>
        <v/>
      </c>
      <c r="E149" s="17" t="str">
        <f>IFERROR(VLOOKUP(VALUE($D149),Series!$B$3:$F$11,2,0),"")</f>
        <v/>
      </c>
      <c r="F149" s="12" t="str">
        <f>_xlfn.IFNA(IF(IF($D149&lt;&gt;"",COUNTIF($E:$E,"="&amp;$D149),"")="",IF(RIGHT(IFERROR(IF(FIND("_",$B149)&gt;0,INDEX(WP!$A$2:$F$23,MATCH(LEFT($B149,FIND("_",$B149)-1),WP!$E$2:$E$23,0),2),IF(FIND("-",$B149)&gt;0,INDEX(WP!$A$2:$F$23,MATCH(LEFT($B149,FIND("_",$B149)-1),WP!$E$2:$E$23,0),2))),INDEX(WP!$A$2:$F$23,MATCH(Results!$B149,WP!$E$2:$E$23,0),2)),6)="Series",LEFT(IFERROR(IF(FIND("_",$B149)&gt;0,INDEX(WP!$A$2:$F$23,MATCH(LEFT($B149,FIND("_",$B149)-1),WP!$E$2:$E$23,0),2),IF(FIND("-",$B149)&gt;0,INDEX(WP!$A$2:$F$23,MATCH(LEFT($B149,FIND("_",$B149)-1),WP!$E$2:$E$23,0),2))),INDEX(WP!$A$2:$F$23,MATCH(Results!$B149,WP!$E$2:$E$23,0),2)),5),(IFERROR(IF(FIND("_",$B149)&gt;0,INDEX(WP!$A$2:$F$23,MATCH(LEFT($B149,FIND("_",$B149)-1),WP!$E$2:$E$23,0),2),IF(FIND("-",$B149)&gt;0,INDEX(WP!$A$2:$F$23,MATCH(LEFT($B149,FIND("_",$B149)-1),WP!$E$2:$E$23,0),2))),INDEX(WP!$A$2:$F$23,MATCH(Results!$B149,WP!$E$2:$E$23,0),2)))),IF(RIGHT(IFERROR(IF(FIND("_",$B149)&gt;0,INDEX(WP!$A$2:$F$23,MATCH(LEFT($B149,FIND("_",$B149)-1),WP!$E$2:$E$23,0),2),IF(FIND("-",$B149)&gt;0,INDEX(WP!$A$2:$F$23,MATCH(LEFT($B149,FIND("_",$B149)-1),WP!$E$2:$E$23,0),2))),INDEX(WP!$A$2:$F$23,MATCH(Results!$B149,WP!$E$2:$E$23,0),2)),6)="Series",LEFT(IFERROR(IF(FIND("_",$B149)&gt;0,INDEX(WP!$A$2:$F$23,MATCH(LEFT($B149,FIND("_",$B149)-1),WP!$E$2:$E$23,0),2),IF(FIND("-",$B149)&gt;0,INDEX(WP!$A$2:$F$23,MATCH(LEFT($B149,FIND("_",$B149)-1),WP!$E$2:$E$23,0),2))),INDEX(WP!$A$2:$F$23,MATCH(Results!$B149,WP!$E$2:$E$23,0),2)),5),(IFERROR(IF(FIND("_",$B149)&gt;0,INDEX(WP!$A$2:$F$23,MATCH(LEFT($B149,FIND("_",$B149)-1),WP!$E$2:$E$23,0),2),IF(FIND("-",$B149)&gt;0,INDEX(WP!$A$2:$F$23,MATCH(LEFT($B149,FIND("_",$B149)-1),WP!$E$2:$E$23,0),2))),INDEX(WP!$A$2:$F$23,MATCH(Results!$B149,WP!$E$2:$E$23,0),2))))&amp;"-"&amp;$I149),"")</f>
        <v/>
      </c>
      <c r="G149" s="17" t="str">
        <f>IF(LEN(_xlfn.IFNA(IF(IFERROR(IF(FIND("_",$B149)&gt;0,MID($B149,FIND("_",$B149)+1,LEN($B149)),IF(FIND("-",$B149)&gt;0,MID($B149,FIND("-",$B149)+1,LEN($B149)))),"")="",IFERROR(VLOOKUP($F149,WP!$B$2:$C$23,2,0),VLOOKUP($C149,Series!$A$3:$F$11,6,0)),IFERROR(VLOOKUP($F149,WP!$B$2:$C$23,2,0),VLOOKUP($C149,Series!$A$3:$F$11,6,0))&amp;" - "&amp;(IFERROR(IF(FIND("_",$B149)&gt;0,MID($B149,FIND("_",$B149)+1,LEN($B149)),IF(FIND("-",$B149)&gt;0,MID($B149,FIND("-",$B149)+1,LEN($B149)))),""))),""))&lt;64,_xlfn.IFNA(IF(IFERROR(IF(FIND("_",$B149)&gt;0,MID($B149,FIND("_",$B149)+1,LEN($B149)),IF(FIND("-",$B149)&gt;0,MID($B149,FIND("-",$B149)+1,LEN($B149)))),"")="",IFERROR(VLOOKUP($F149,WP!$B$2:$C$23,2,0),VLOOKUP($C149,Series!$A$3:$F$11,6,0)),IFERROR(VLOOKUP($F149,WP!$B$2:$C$23,2,0),VLOOKUP($C149,Series!$A$3:$F$11,6,0))&amp;" - "&amp;(IFERROR(IF(FIND("_",$B149)&gt;0,MID($B149,FIND("_",$B149)+1,LEN($B149)),IF(FIND("-",$B149)&gt;0,MID($B149,FIND("-",$B149)+1,LEN($B149)))),""))),""),LEFT((_xlfn.IFNA(IF(IFERROR(IF(FIND("_",$B149)&gt;0,MID($B149,FIND("_",$B149)+1,LEN($B149)),IF(FIND("-",$B149)&gt;0,MID($B149,FIND("-",$B149)+1,LEN($B149)))),"")="",IFERROR(VLOOKUP($F149,WP!$B$2:$C$23,2,0),VLOOKUP($C149,Series!$A$3:$F$11,6,0)),IFERROR(VLOOKUP($F149,WP!$B$2:$C$23,2,0),VLOOKUP($C149,Series!$A$3:$F$11,6,0))&amp;" - "&amp;(IFERROR(IF(FIND("_",$B149)&gt;0,MID($B149,FIND("_",$B149)+1,LEN($B149)),IF(FIND("-",$B149)&gt;0,MID($B149,FIND("-",$B149)+1,LEN($B149)))),""))),"")),64))</f>
        <v/>
      </c>
      <c r="H149" s="12"/>
      <c r="I149" s="12" t="str">
        <f>IF($D149&lt;&gt;"",COUNTIF($D$7:$D149,"="&amp;$D149),"")</f>
        <v/>
      </c>
      <c r="J149"/>
      <c r="K149" s="8"/>
      <c r="L149"/>
    </row>
    <row r="150" spans="1:12" x14ac:dyDescent="0.3">
      <c r="A150" s="1"/>
      <c r="B150" s="26"/>
      <c r="C150" s="12" t="str">
        <f>_xlfn.IFNA(IFERROR(IF(FIND("_",$B150)&gt;0,INDEX(WP!$A$2:$F$23,MATCH(LEFT($B150,FIND("_",$B150)-1),WP!$E$2:$E$23,0),1),IF(FIND("-",$B150)&gt;0,INDEX(WP!$A$2:$F$23,MATCH(LEFT($B150,FIND("_",$B150)-1),WP!$E$2:$E$23,0),1))),INDEX(WP!$A$2:$F$23,MATCH(Results!$B150,WP!$E$2:$E$23,0),1)),"")</f>
        <v/>
      </c>
      <c r="D150" s="12" t="str">
        <f>IFERROR(IFERROR(IF(RIGHT(INDEX(WP!$A$2:$F$23,MATCH(IF(FIND("_",$B150)&gt;0,LEFT($B150,FIND("_",$B150)-1)),WP!$E$2:$E$23,0),2),6)="Series",LEFT(INDEX(WP!$A$2:$F$23,MATCH(IF(FIND("_",$B150)&gt;0,LEFT($B150,FIND("_",$B150)-1)),WP!$E$2:$E$23,0),2),5),""),IF(RIGHT(INDEX(WP!$A$2:$F$23,MATCH($B150,WP!$E$2:$E$23,0),2),6)="Series",LEFT(INDEX(WP!$A$2:$F$23,MATCH($B150,WP!$E$2:$E$23,0),2),5),"")),"")</f>
        <v/>
      </c>
      <c r="E150" s="17" t="str">
        <f>IFERROR(VLOOKUP(VALUE($D150),Series!$B$3:$F$11,2,0),"")</f>
        <v/>
      </c>
      <c r="F150" s="12" t="str">
        <f>_xlfn.IFNA(IF(IF($D150&lt;&gt;"",COUNTIF($E:$E,"="&amp;$D150),"")="",IF(RIGHT(IFERROR(IF(FIND("_",$B150)&gt;0,INDEX(WP!$A$2:$F$23,MATCH(LEFT($B150,FIND("_",$B150)-1),WP!$E$2:$E$23,0),2),IF(FIND("-",$B150)&gt;0,INDEX(WP!$A$2:$F$23,MATCH(LEFT($B150,FIND("_",$B150)-1),WP!$E$2:$E$23,0),2))),INDEX(WP!$A$2:$F$23,MATCH(Results!$B150,WP!$E$2:$E$23,0),2)),6)="Series",LEFT(IFERROR(IF(FIND("_",$B150)&gt;0,INDEX(WP!$A$2:$F$23,MATCH(LEFT($B150,FIND("_",$B150)-1),WP!$E$2:$E$23,0),2),IF(FIND("-",$B150)&gt;0,INDEX(WP!$A$2:$F$23,MATCH(LEFT($B150,FIND("_",$B150)-1),WP!$E$2:$E$23,0),2))),INDEX(WP!$A$2:$F$23,MATCH(Results!$B150,WP!$E$2:$E$23,0),2)),5),(IFERROR(IF(FIND("_",$B150)&gt;0,INDEX(WP!$A$2:$F$23,MATCH(LEFT($B150,FIND("_",$B150)-1),WP!$E$2:$E$23,0),2),IF(FIND("-",$B150)&gt;0,INDEX(WP!$A$2:$F$23,MATCH(LEFT($B150,FIND("_",$B150)-1),WP!$E$2:$E$23,0),2))),INDEX(WP!$A$2:$F$23,MATCH(Results!$B150,WP!$E$2:$E$23,0),2)))),IF(RIGHT(IFERROR(IF(FIND("_",$B150)&gt;0,INDEX(WP!$A$2:$F$23,MATCH(LEFT($B150,FIND("_",$B150)-1),WP!$E$2:$E$23,0),2),IF(FIND("-",$B150)&gt;0,INDEX(WP!$A$2:$F$23,MATCH(LEFT($B150,FIND("_",$B150)-1),WP!$E$2:$E$23,0),2))),INDEX(WP!$A$2:$F$23,MATCH(Results!$B150,WP!$E$2:$E$23,0),2)),6)="Series",LEFT(IFERROR(IF(FIND("_",$B150)&gt;0,INDEX(WP!$A$2:$F$23,MATCH(LEFT($B150,FIND("_",$B150)-1),WP!$E$2:$E$23,0),2),IF(FIND("-",$B150)&gt;0,INDEX(WP!$A$2:$F$23,MATCH(LEFT($B150,FIND("_",$B150)-1),WP!$E$2:$E$23,0),2))),INDEX(WP!$A$2:$F$23,MATCH(Results!$B150,WP!$E$2:$E$23,0),2)),5),(IFERROR(IF(FIND("_",$B150)&gt;0,INDEX(WP!$A$2:$F$23,MATCH(LEFT($B150,FIND("_",$B150)-1),WP!$E$2:$E$23,0),2),IF(FIND("-",$B150)&gt;0,INDEX(WP!$A$2:$F$23,MATCH(LEFT($B150,FIND("_",$B150)-1),WP!$E$2:$E$23,0),2))),INDEX(WP!$A$2:$F$23,MATCH(Results!$B150,WP!$E$2:$E$23,0),2))))&amp;"-"&amp;$I150),"")</f>
        <v/>
      </c>
      <c r="G150" s="17" t="str">
        <f>IF(LEN(_xlfn.IFNA(IF(IFERROR(IF(FIND("_",$B150)&gt;0,MID($B150,FIND("_",$B150)+1,LEN($B150)),IF(FIND("-",$B150)&gt;0,MID($B150,FIND("-",$B150)+1,LEN($B150)))),"")="",IFERROR(VLOOKUP($F150,WP!$B$2:$C$23,2,0),VLOOKUP($C150,Series!$A$3:$F$11,6,0)),IFERROR(VLOOKUP($F150,WP!$B$2:$C$23,2,0),VLOOKUP($C150,Series!$A$3:$F$11,6,0))&amp;" - "&amp;(IFERROR(IF(FIND("_",$B150)&gt;0,MID($B150,FIND("_",$B150)+1,LEN($B150)),IF(FIND("-",$B150)&gt;0,MID($B150,FIND("-",$B150)+1,LEN($B150)))),""))),""))&lt;64,_xlfn.IFNA(IF(IFERROR(IF(FIND("_",$B150)&gt;0,MID($B150,FIND("_",$B150)+1,LEN($B150)),IF(FIND("-",$B150)&gt;0,MID($B150,FIND("-",$B150)+1,LEN($B150)))),"")="",IFERROR(VLOOKUP($F150,WP!$B$2:$C$23,2,0),VLOOKUP($C150,Series!$A$3:$F$11,6,0)),IFERROR(VLOOKUP($F150,WP!$B$2:$C$23,2,0),VLOOKUP($C150,Series!$A$3:$F$11,6,0))&amp;" - "&amp;(IFERROR(IF(FIND("_",$B150)&gt;0,MID($B150,FIND("_",$B150)+1,LEN($B150)),IF(FIND("-",$B150)&gt;0,MID($B150,FIND("-",$B150)+1,LEN($B150)))),""))),""),LEFT((_xlfn.IFNA(IF(IFERROR(IF(FIND("_",$B150)&gt;0,MID($B150,FIND("_",$B150)+1,LEN($B150)),IF(FIND("-",$B150)&gt;0,MID($B150,FIND("-",$B150)+1,LEN($B150)))),"")="",IFERROR(VLOOKUP($F150,WP!$B$2:$C$23,2,0),VLOOKUP($C150,Series!$A$3:$F$11,6,0)),IFERROR(VLOOKUP($F150,WP!$B$2:$C$23,2,0),VLOOKUP($C150,Series!$A$3:$F$11,6,0))&amp;" - "&amp;(IFERROR(IF(FIND("_",$B150)&gt;0,MID($B150,FIND("_",$B150)+1,LEN($B150)),IF(FIND("-",$B150)&gt;0,MID($B150,FIND("-",$B150)+1,LEN($B150)))),""))),"")),64))</f>
        <v/>
      </c>
      <c r="H150" s="12"/>
      <c r="I150" s="12" t="str">
        <f>IF($D150&lt;&gt;"",COUNTIF($D$7:$D150,"="&amp;$D150),"")</f>
        <v/>
      </c>
      <c r="J150"/>
      <c r="K150" s="8"/>
      <c r="L150"/>
    </row>
    <row r="151" spans="1:12" x14ac:dyDescent="0.3">
      <c r="A151" s="1"/>
      <c r="B151" s="26"/>
      <c r="C151" s="12" t="str">
        <f>_xlfn.IFNA(IFERROR(IF(FIND("_",$B151)&gt;0,INDEX(WP!$A$2:$F$23,MATCH(LEFT($B151,FIND("_",$B151)-1),WP!$E$2:$E$23,0),1),IF(FIND("-",$B151)&gt;0,INDEX(WP!$A$2:$F$23,MATCH(LEFT($B151,FIND("_",$B151)-1),WP!$E$2:$E$23,0),1))),INDEX(WP!$A$2:$F$23,MATCH(Results!$B151,WP!$E$2:$E$23,0),1)),"")</f>
        <v/>
      </c>
      <c r="D151" s="12" t="str">
        <f>IFERROR(IFERROR(IF(RIGHT(INDEX(WP!$A$2:$F$23,MATCH(IF(FIND("_",$B151)&gt;0,LEFT($B151,FIND("_",$B151)-1)),WP!$E$2:$E$23,0),2),6)="Series",LEFT(INDEX(WP!$A$2:$F$23,MATCH(IF(FIND("_",$B151)&gt;0,LEFT($B151,FIND("_",$B151)-1)),WP!$E$2:$E$23,0),2),5),""),IF(RIGHT(INDEX(WP!$A$2:$F$23,MATCH($B151,WP!$E$2:$E$23,0),2),6)="Series",LEFT(INDEX(WP!$A$2:$F$23,MATCH($B151,WP!$E$2:$E$23,0),2),5),"")),"")</f>
        <v/>
      </c>
      <c r="E151" s="17" t="str">
        <f>IFERROR(VLOOKUP(VALUE($D151),Series!$B$3:$F$11,2,0),"")</f>
        <v/>
      </c>
      <c r="F151" s="12" t="str">
        <f>_xlfn.IFNA(IF(IF($D151&lt;&gt;"",COUNTIF($E:$E,"="&amp;$D151),"")="",IF(RIGHT(IFERROR(IF(FIND("_",$B151)&gt;0,INDEX(WP!$A$2:$F$23,MATCH(LEFT($B151,FIND("_",$B151)-1),WP!$E$2:$E$23,0),2),IF(FIND("-",$B151)&gt;0,INDEX(WP!$A$2:$F$23,MATCH(LEFT($B151,FIND("_",$B151)-1),WP!$E$2:$E$23,0),2))),INDEX(WP!$A$2:$F$23,MATCH(Results!$B151,WP!$E$2:$E$23,0),2)),6)="Series",LEFT(IFERROR(IF(FIND("_",$B151)&gt;0,INDEX(WP!$A$2:$F$23,MATCH(LEFT($B151,FIND("_",$B151)-1),WP!$E$2:$E$23,0),2),IF(FIND("-",$B151)&gt;0,INDEX(WP!$A$2:$F$23,MATCH(LEFT($B151,FIND("_",$B151)-1),WP!$E$2:$E$23,0),2))),INDEX(WP!$A$2:$F$23,MATCH(Results!$B151,WP!$E$2:$E$23,0),2)),5),(IFERROR(IF(FIND("_",$B151)&gt;0,INDEX(WP!$A$2:$F$23,MATCH(LEFT($B151,FIND("_",$B151)-1),WP!$E$2:$E$23,0),2),IF(FIND("-",$B151)&gt;0,INDEX(WP!$A$2:$F$23,MATCH(LEFT($B151,FIND("_",$B151)-1),WP!$E$2:$E$23,0),2))),INDEX(WP!$A$2:$F$23,MATCH(Results!$B151,WP!$E$2:$E$23,0),2)))),IF(RIGHT(IFERROR(IF(FIND("_",$B151)&gt;0,INDEX(WP!$A$2:$F$23,MATCH(LEFT($B151,FIND("_",$B151)-1),WP!$E$2:$E$23,0),2),IF(FIND("-",$B151)&gt;0,INDEX(WP!$A$2:$F$23,MATCH(LEFT($B151,FIND("_",$B151)-1),WP!$E$2:$E$23,0),2))),INDEX(WP!$A$2:$F$23,MATCH(Results!$B151,WP!$E$2:$E$23,0),2)),6)="Series",LEFT(IFERROR(IF(FIND("_",$B151)&gt;0,INDEX(WP!$A$2:$F$23,MATCH(LEFT($B151,FIND("_",$B151)-1),WP!$E$2:$E$23,0),2),IF(FIND("-",$B151)&gt;0,INDEX(WP!$A$2:$F$23,MATCH(LEFT($B151,FIND("_",$B151)-1),WP!$E$2:$E$23,0),2))),INDEX(WP!$A$2:$F$23,MATCH(Results!$B151,WP!$E$2:$E$23,0),2)),5),(IFERROR(IF(FIND("_",$B151)&gt;0,INDEX(WP!$A$2:$F$23,MATCH(LEFT($B151,FIND("_",$B151)-1),WP!$E$2:$E$23,0),2),IF(FIND("-",$B151)&gt;0,INDEX(WP!$A$2:$F$23,MATCH(LEFT($B151,FIND("_",$B151)-1),WP!$E$2:$E$23,0),2))),INDEX(WP!$A$2:$F$23,MATCH(Results!$B151,WP!$E$2:$E$23,0),2))))&amp;"-"&amp;$I151),"")</f>
        <v/>
      </c>
      <c r="G151" s="17" t="str">
        <f>IF(LEN(_xlfn.IFNA(IF(IFERROR(IF(FIND("_",$B151)&gt;0,MID($B151,FIND("_",$B151)+1,LEN($B151)),IF(FIND("-",$B151)&gt;0,MID($B151,FIND("-",$B151)+1,LEN($B151)))),"")="",IFERROR(VLOOKUP($F151,WP!$B$2:$C$23,2,0),VLOOKUP($C151,Series!$A$3:$F$11,6,0)),IFERROR(VLOOKUP($F151,WP!$B$2:$C$23,2,0),VLOOKUP($C151,Series!$A$3:$F$11,6,0))&amp;" - "&amp;(IFERROR(IF(FIND("_",$B151)&gt;0,MID($B151,FIND("_",$B151)+1,LEN($B151)),IF(FIND("-",$B151)&gt;0,MID($B151,FIND("-",$B151)+1,LEN($B151)))),""))),""))&lt;64,_xlfn.IFNA(IF(IFERROR(IF(FIND("_",$B151)&gt;0,MID($B151,FIND("_",$B151)+1,LEN($B151)),IF(FIND("-",$B151)&gt;0,MID($B151,FIND("-",$B151)+1,LEN($B151)))),"")="",IFERROR(VLOOKUP($F151,WP!$B$2:$C$23,2,0),VLOOKUP($C151,Series!$A$3:$F$11,6,0)),IFERROR(VLOOKUP($F151,WP!$B$2:$C$23,2,0),VLOOKUP($C151,Series!$A$3:$F$11,6,0))&amp;" - "&amp;(IFERROR(IF(FIND("_",$B151)&gt;0,MID($B151,FIND("_",$B151)+1,LEN($B151)),IF(FIND("-",$B151)&gt;0,MID($B151,FIND("-",$B151)+1,LEN($B151)))),""))),""),LEFT((_xlfn.IFNA(IF(IFERROR(IF(FIND("_",$B151)&gt;0,MID($B151,FIND("_",$B151)+1,LEN($B151)),IF(FIND("-",$B151)&gt;0,MID($B151,FIND("-",$B151)+1,LEN($B151)))),"")="",IFERROR(VLOOKUP($F151,WP!$B$2:$C$23,2,0),VLOOKUP($C151,Series!$A$3:$F$11,6,0)),IFERROR(VLOOKUP($F151,WP!$B$2:$C$23,2,0),VLOOKUP($C151,Series!$A$3:$F$11,6,0))&amp;" - "&amp;(IFERROR(IF(FIND("_",$B151)&gt;0,MID($B151,FIND("_",$B151)+1,LEN($B151)),IF(FIND("-",$B151)&gt;0,MID($B151,FIND("-",$B151)+1,LEN($B151)))),""))),"")),64))</f>
        <v/>
      </c>
      <c r="H151" s="12"/>
      <c r="I151" s="12" t="str">
        <f>IF($D151&lt;&gt;"",COUNTIF($D$7:$D151,"="&amp;$D151),"")</f>
        <v/>
      </c>
      <c r="J151"/>
      <c r="K151" s="8"/>
      <c r="L151"/>
    </row>
    <row r="152" spans="1:12" x14ac:dyDescent="0.3">
      <c r="A152" s="1"/>
      <c r="B152" s="26"/>
      <c r="C152" s="12" t="str">
        <f>_xlfn.IFNA(IFERROR(IF(FIND("_",$B152)&gt;0,INDEX(WP!$A$2:$F$23,MATCH(LEFT($B152,FIND("_",$B152)-1),WP!$E$2:$E$23,0),1),IF(FIND("-",$B152)&gt;0,INDEX(WP!$A$2:$F$23,MATCH(LEFT($B152,FIND("_",$B152)-1),WP!$E$2:$E$23,0),1))),INDEX(WP!$A$2:$F$23,MATCH(Results!$B152,WP!$E$2:$E$23,0),1)),"")</f>
        <v/>
      </c>
      <c r="D152" s="12" t="str">
        <f>IFERROR(IFERROR(IF(RIGHT(INDEX(WP!$A$2:$F$23,MATCH(IF(FIND("_",$B152)&gt;0,LEFT($B152,FIND("_",$B152)-1)),WP!$E$2:$E$23,0),2),6)="Series",LEFT(INDEX(WP!$A$2:$F$23,MATCH(IF(FIND("_",$B152)&gt;0,LEFT($B152,FIND("_",$B152)-1)),WP!$E$2:$E$23,0),2),5),""),IF(RIGHT(INDEX(WP!$A$2:$F$23,MATCH($B152,WP!$E$2:$E$23,0),2),6)="Series",LEFT(INDEX(WP!$A$2:$F$23,MATCH($B152,WP!$E$2:$E$23,0),2),5),"")),"")</f>
        <v/>
      </c>
      <c r="E152" s="17" t="str">
        <f>IFERROR(VLOOKUP(VALUE($D152),Series!$B$3:$F$11,2,0),"")</f>
        <v/>
      </c>
      <c r="F152" s="12" t="str">
        <f>_xlfn.IFNA(IF(IF($D152&lt;&gt;"",COUNTIF($E:$E,"="&amp;$D152),"")="",IF(RIGHT(IFERROR(IF(FIND("_",$B152)&gt;0,INDEX(WP!$A$2:$F$23,MATCH(LEFT($B152,FIND("_",$B152)-1),WP!$E$2:$E$23,0),2),IF(FIND("-",$B152)&gt;0,INDEX(WP!$A$2:$F$23,MATCH(LEFT($B152,FIND("_",$B152)-1),WP!$E$2:$E$23,0),2))),INDEX(WP!$A$2:$F$23,MATCH(Results!$B152,WP!$E$2:$E$23,0),2)),6)="Series",LEFT(IFERROR(IF(FIND("_",$B152)&gt;0,INDEX(WP!$A$2:$F$23,MATCH(LEFT($B152,FIND("_",$B152)-1),WP!$E$2:$E$23,0),2),IF(FIND("-",$B152)&gt;0,INDEX(WP!$A$2:$F$23,MATCH(LEFT($B152,FIND("_",$B152)-1),WP!$E$2:$E$23,0),2))),INDEX(WP!$A$2:$F$23,MATCH(Results!$B152,WP!$E$2:$E$23,0),2)),5),(IFERROR(IF(FIND("_",$B152)&gt;0,INDEX(WP!$A$2:$F$23,MATCH(LEFT($B152,FIND("_",$B152)-1),WP!$E$2:$E$23,0),2),IF(FIND("-",$B152)&gt;0,INDEX(WP!$A$2:$F$23,MATCH(LEFT($B152,FIND("_",$B152)-1),WP!$E$2:$E$23,0),2))),INDEX(WP!$A$2:$F$23,MATCH(Results!$B152,WP!$E$2:$E$23,0),2)))),IF(RIGHT(IFERROR(IF(FIND("_",$B152)&gt;0,INDEX(WP!$A$2:$F$23,MATCH(LEFT($B152,FIND("_",$B152)-1),WP!$E$2:$E$23,0),2),IF(FIND("-",$B152)&gt;0,INDEX(WP!$A$2:$F$23,MATCH(LEFT($B152,FIND("_",$B152)-1),WP!$E$2:$E$23,0),2))),INDEX(WP!$A$2:$F$23,MATCH(Results!$B152,WP!$E$2:$E$23,0),2)),6)="Series",LEFT(IFERROR(IF(FIND("_",$B152)&gt;0,INDEX(WP!$A$2:$F$23,MATCH(LEFT($B152,FIND("_",$B152)-1),WP!$E$2:$E$23,0),2),IF(FIND("-",$B152)&gt;0,INDEX(WP!$A$2:$F$23,MATCH(LEFT($B152,FIND("_",$B152)-1),WP!$E$2:$E$23,0),2))),INDEX(WP!$A$2:$F$23,MATCH(Results!$B152,WP!$E$2:$E$23,0),2)),5),(IFERROR(IF(FIND("_",$B152)&gt;0,INDEX(WP!$A$2:$F$23,MATCH(LEFT($B152,FIND("_",$B152)-1),WP!$E$2:$E$23,0),2),IF(FIND("-",$B152)&gt;0,INDEX(WP!$A$2:$F$23,MATCH(LEFT($B152,FIND("_",$B152)-1),WP!$E$2:$E$23,0),2))),INDEX(WP!$A$2:$F$23,MATCH(Results!$B152,WP!$E$2:$E$23,0),2))))&amp;"-"&amp;$I152),"")</f>
        <v/>
      </c>
      <c r="G152" s="17" t="str">
        <f>IF(LEN(_xlfn.IFNA(IF(IFERROR(IF(FIND("_",$B152)&gt;0,MID($B152,FIND("_",$B152)+1,LEN($B152)),IF(FIND("-",$B152)&gt;0,MID($B152,FIND("-",$B152)+1,LEN($B152)))),"")="",IFERROR(VLOOKUP($F152,WP!$B$2:$C$23,2,0),VLOOKUP($C152,Series!$A$3:$F$11,6,0)),IFERROR(VLOOKUP($F152,WP!$B$2:$C$23,2,0),VLOOKUP($C152,Series!$A$3:$F$11,6,0))&amp;" - "&amp;(IFERROR(IF(FIND("_",$B152)&gt;0,MID($B152,FIND("_",$B152)+1,LEN($B152)),IF(FIND("-",$B152)&gt;0,MID($B152,FIND("-",$B152)+1,LEN($B152)))),""))),""))&lt;64,_xlfn.IFNA(IF(IFERROR(IF(FIND("_",$B152)&gt;0,MID($B152,FIND("_",$B152)+1,LEN($B152)),IF(FIND("-",$B152)&gt;0,MID($B152,FIND("-",$B152)+1,LEN($B152)))),"")="",IFERROR(VLOOKUP($F152,WP!$B$2:$C$23,2,0),VLOOKUP($C152,Series!$A$3:$F$11,6,0)),IFERROR(VLOOKUP($F152,WP!$B$2:$C$23,2,0),VLOOKUP($C152,Series!$A$3:$F$11,6,0))&amp;" - "&amp;(IFERROR(IF(FIND("_",$B152)&gt;0,MID($B152,FIND("_",$B152)+1,LEN($B152)),IF(FIND("-",$B152)&gt;0,MID($B152,FIND("-",$B152)+1,LEN($B152)))),""))),""),LEFT((_xlfn.IFNA(IF(IFERROR(IF(FIND("_",$B152)&gt;0,MID($B152,FIND("_",$B152)+1,LEN($B152)),IF(FIND("-",$B152)&gt;0,MID($B152,FIND("-",$B152)+1,LEN($B152)))),"")="",IFERROR(VLOOKUP($F152,WP!$B$2:$C$23,2,0),VLOOKUP($C152,Series!$A$3:$F$11,6,0)),IFERROR(VLOOKUP($F152,WP!$B$2:$C$23,2,0),VLOOKUP($C152,Series!$A$3:$F$11,6,0))&amp;" - "&amp;(IFERROR(IF(FIND("_",$B152)&gt;0,MID($B152,FIND("_",$B152)+1,LEN($B152)),IF(FIND("-",$B152)&gt;0,MID($B152,FIND("-",$B152)+1,LEN($B152)))),""))),"")),64))</f>
        <v/>
      </c>
      <c r="H152" s="12"/>
      <c r="I152" s="12" t="str">
        <f>IF($D152&lt;&gt;"",COUNTIF($D$7:$D152,"="&amp;$D152),"")</f>
        <v/>
      </c>
      <c r="J152"/>
      <c r="K152" s="8"/>
      <c r="L152"/>
    </row>
    <row r="153" spans="1:12" x14ac:dyDescent="0.3">
      <c r="A153" s="1"/>
      <c r="B153" s="26"/>
      <c r="C153" s="12" t="str">
        <f>_xlfn.IFNA(IFERROR(IF(FIND("_",$B153)&gt;0,INDEX(WP!$A$2:$F$23,MATCH(LEFT($B153,FIND("_",$B153)-1),WP!$E$2:$E$23,0),1),IF(FIND("-",$B153)&gt;0,INDEX(WP!$A$2:$F$23,MATCH(LEFT($B153,FIND("_",$B153)-1),WP!$E$2:$E$23,0),1))),INDEX(WP!$A$2:$F$23,MATCH(Results!$B153,WP!$E$2:$E$23,0),1)),"")</f>
        <v/>
      </c>
      <c r="D153" s="12" t="str">
        <f>IFERROR(IFERROR(IF(RIGHT(INDEX(WP!$A$2:$F$23,MATCH(IF(FIND("_",$B153)&gt;0,LEFT($B153,FIND("_",$B153)-1)),WP!$E$2:$E$23,0),2),6)="Series",LEFT(INDEX(WP!$A$2:$F$23,MATCH(IF(FIND("_",$B153)&gt;0,LEFT($B153,FIND("_",$B153)-1)),WP!$E$2:$E$23,0),2),5),""),IF(RIGHT(INDEX(WP!$A$2:$F$23,MATCH($B153,WP!$E$2:$E$23,0),2),6)="Series",LEFT(INDEX(WP!$A$2:$F$23,MATCH($B153,WP!$E$2:$E$23,0),2),5),"")),"")</f>
        <v/>
      </c>
      <c r="E153" s="17" t="str">
        <f>IFERROR(VLOOKUP(VALUE($D153),Series!$B$3:$F$11,2,0),"")</f>
        <v/>
      </c>
      <c r="F153" s="12" t="str">
        <f>_xlfn.IFNA(IF(IF($D153&lt;&gt;"",COUNTIF($E:$E,"="&amp;$D153),"")="",IF(RIGHT(IFERROR(IF(FIND("_",$B153)&gt;0,INDEX(WP!$A$2:$F$23,MATCH(LEFT($B153,FIND("_",$B153)-1),WP!$E$2:$E$23,0),2),IF(FIND("-",$B153)&gt;0,INDEX(WP!$A$2:$F$23,MATCH(LEFT($B153,FIND("_",$B153)-1),WP!$E$2:$E$23,0),2))),INDEX(WP!$A$2:$F$23,MATCH(Results!$B153,WP!$E$2:$E$23,0),2)),6)="Series",LEFT(IFERROR(IF(FIND("_",$B153)&gt;0,INDEX(WP!$A$2:$F$23,MATCH(LEFT($B153,FIND("_",$B153)-1),WP!$E$2:$E$23,0),2),IF(FIND("-",$B153)&gt;0,INDEX(WP!$A$2:$F$23,MATCH(LEFT($B153,FIND("_",$B153)-1),WP!$E$2:$E$23,0),2))),INDEX(WP!$A$2:$F$23,MATCH(Results!$B153,WP!$E$2:$E$23,0),2)),5),(IFERROR(IF(FIND("_",$B153)&gt;0,INDEX(WP!$A$2:$F$23,MATCH(LEFT($B153,FIND("_",$B153)-1),WP!$E$2:$E$23,0),2),IF(FIND("-",$B153)&gt;0,INDEX(WP!$A$2:$F$23,MATCH(LEFT($B153,FIND("_",$B153)-1),WP!$E$2:$E$23,0),2))),INDEX(WP!$A$2:$F$23,MATCH(Results!$B153,WP!$E$2:$E$23,0),2)))),IF(RIGHT(IFERROR(IF(FIND("_",$B153)&gt;0,INDEX(WP!$A$2:$F$23,MATCH(LEFT($B153,FIND("_",$B153)-1),WP!$E$2:$E$23,0),2),IF(FIND("-",$B153)&gt;0,INDEX(WP!$A$2:$F$23,MATCH(LEFT($B153,FIND("_",$B153)-1),WP!$E$2:$E$23,0),2))),INDEX(WP!$A$2:$F$23,MATCH(Results!$B153,WP!$E$2:$E$23,0),2)),6)="Series",LEFT(IFERROR(IF(FIND("_",$B153)&gt;0,INDEX(WP!$A$2:$F$23,MATCH(LEFT($B153,FIND("_",$B153)-1),WP!$E$2:$E$23,0),2),IF(FIND("-",$B153)&gt;0,INDEX(WP!$A$2:$F$23,MATCH(LEFT($B153,FIND("_",$B153)-1),WP!$E$2:$E$23,0),2))),INDEX(WP!$A$2:$F$23,MATCH(Results!$B153,WP!$E$2:$E$23,0),2)),5),(IFERROR(IF(FIND("_",$B153)&gt;0,INDEX(WP!$A$2:$F$23,MATCH(LEFT($B153,FIND("_",$B153)-1),WP!$E$2:$E$23,0),2),IF(FIND("-",$B153)&gt;0,INDEX(WP!$A$2:$F$23,MATCH(LEFT($B153,FIND("_",$B153)-1),WP!$E$2:$E$23,0),2))),INDEX(WP!$A$2:$F$23,MATCH(Results!$B153,WP!$E$2:$E$23,0),2))))&amp;"-"&amp;$I153),"")</f>
        <v/>
      </c>
      <c r="G153" s="17" t="str">
        <f>IF(LEN(_xlfn.IFNA(IF(IFERROR(IF(FIND("_",$B153)&gt;0,MID($B153,FIND("_",$B153)+1,LEN($B153)),IF(FIND("-",$B153)&gt;0,MID($B153,FIND("-",$B153)+1,LEN($B153)))),"")="",IFERROR(VLOOKUP($F153,WP!$B$2:$C$23,2,0),VLOOKUP($C153,Series!$A$3:$F$11,6,0)),IFERROR(VLOOKUP($F153,WP!$B$2:$C$23,2,0),VLOOKUP($C153,Series!$A$3:$F$11,6,0))&amp;" - "&amp;(IFERROR(IF(FIND("_",$B153)&gt;0,MID($B153,FIND("_",$B153)+1,LEN($B153)),IF(FIND("-",$B153)&gt;0,MID($B153,FIND("-",$B153)+1,LEN($B153)))),""))),""))&lt;64,_xlfn.IFNA(IF(IFERROR(IF(FIND("_",$B153)&gt;0,MID($B153,FIND("_",$B153)+1,LEN($B153)),IF(FIND("-",$B153)&gt;0,MID($B153,FIND("-",$B153)+1,LEN($B153)))),"")="",IFERROR(VLOOKUP($F153,WP!$B$2:$C$23,2,0),VLOOKUP($C153,Series!$A$3:$F$11,6,0)),IFERROR(VLOOKUP($F153,WP!$B$2:$C$23,2,0),VLOOKUP($C153,Series!$A$3:$F$11,6,0))&amp;" - "&amp;(IFERROR(IF(FIND("_",$B153)&gt;0,MID($B153,FIND("_",$B153)+1,LEN($B153)),IF(FIND("-",$B153)&gt;0,MID($B153,FIND("-",$B153)+1,LEN($B153)))),""))),""),LEFT((_xlfn.IFNA(IF(IFERROR(IF(FIND("_",$B153)&gt;0,MID($B153,FIND("_",$B153)+1,LEN($B153)),IF(FIND("-",$B153)&gt;0,MID($B153,FIND("-",$B153)+1,LEN($B153)))),"")="",IFERROR(VLOOKUP($F153,WP!$B$2:$C$23,2,0),VLOOKUP($C153,Series!$A$3:$F$11,6,0)),IFERROR(VLOOKUP($F153,WP!$B$2:$C$23,2,0),VLOOKUP($C153,Series!$A$3:$F$11,6,0))&amp;" - "&amp;(IFERROR(IF(FIND("_",$B153)&gt;0,MID($B153,FIND("_",$B153)+1,LEN($B153)),IF(FIND("-",$B153)&gt;0,MID($B153,FIND("-",$B153)+1,LEN($B153)))),""))),"")),64))</f>
        <v/>
      </c>
      <c r="H153" s="12"/>
      <c r="I153" s="12" t="str">
        <f>IF($D153&lt;&gt;"",COUNTIF($D$7:$D153,"="&amp;$D153),"")</f>
        <v/>
      </c>
      <c r="J153"/>
      <c r="K153" s="8"/>
      <c r="L153"/>
    </row>
    <row r="154" spans="1:12" x14ac:dyDescent="0.3">
      <c r="A154" s="1"/>
      <c r="B154" s="26"/>
      <c r="C154" s="12" t="str">
        <f>_xlfn.IFNA(IFERROR(IF(FIND("_",$B154)&gt;0,INDEX(WP!$A$2:$F$23,MATCH(LEFT($B154,FIND("_",$B154)-1),WP!$E$2:$E$23,0),1),IF(FIND("-",$B154)&gt;0,INDEX(WP!$A$2:$F$23,MATCH(LEFT($B154,FIND("_",$B154)-1),WP!$E$2:$E$23,0),1))),INDEX(WP!$A$2:$F$23,MATCH(Results!$B154,WP!$E$2:$E$23,0),1)),"")</f>
        <v/>
      </c>
      <c r="D154" s="12" t="str">
        <f>IFERROR(IFERROR(IF(RIGHT(INDEX(WP!$A$2:$F$23,MATCH(IF(FIND("_",$B154)&gt;0,LEFT($B154,FIND("_",$B154)-1)),WP!$E$2:$E$23,0),2),6)="Series",LEFT(INDEX(WP!$A$2:$F$23,MATCH(IF(FIND("_",$B154)&gt;0,LEFT($B154,FIND("_",$B154)-1)),WP!$E$2:$E$23,0),2),5),""),IF(RIGHT(INDEX(WP!$A$2:$F$23,MATCH($B154,WP!$E$2:$E$23,0),2),6)="Series",LEFT(INDEX(WP!$A$2:$F$23,MATCH($B154,WP!$E$2:$E$23,0),2),5),"")),"")</f>
        <v/>
      </c>
      <c r="E154" s="17" t="str">
        <f>IFERROR(VLOOKUP(VALUE($D154),Series!$B$3:$F$11,2,0),"")</f>
        <v/>
      </c>
      <c r="F154" s="12" t="str">
        <f>_xlfn.IFNA(IF(IF($D154&lt;&gt;"",COUNTIF($E:$E,"="&amp;$D154),"")="",IF(RIGHT(IFERROR(IF(FIND("_",$B154)&gt;0,INDEX(WP!$A$2:$F$23,MATCH(LEFT($B154,FIND("_",$B154)-1),WP!$E$2:$E$23,0),2),IF(FIND("-",$B154)&gt;0,INDEX(WP!$A$2:$F$23,MATCH(LEFT($B154,FIND("_",$B154)-1),WP!$E$2:$E$23,0),2))),INDEX(WP!$A$2:$F$23,MATCH(Results!$B154,WP!$E$2:$E$23,0),2)),6)="Series",LEFT(IFERROR(IF(FIND("_",$B154)&gt;0,INDEX(WP!$A$2:$F$23,MATCH(LEFT($B154,FIND("_",$B154)-1),WP!$E$2:$E$23,0),2),IF(FIND("-",$B154)&gt;0,INDEX(WP!$A$2:$F$23,MATCH(LEFT($B154,FIND("_",$B154)-1),WP!$E$2:$E$23,0),2))),INDEX(WP!$A$2:$F$23,MATCH(Results!$B154,WP!$E$2:$E$23,0),2)),5),(IFERROR(IF(FIND("_",$B154)&gt;0,INDEX(WP!$A$2:$F$23,MATCH(LEFT($B154,FIND("_",$B154)-1),WP!$E$2:$E$23,0),2),IF(FIND("-",$B154)&gt;0,INDEX(WP!$A$2:$F$23,MATCH(LEFT($B154,FIND("_",$B154)-1),WP!$E$2:$E$23,0),2))),INDEX(WP!$A$2:$F$23,MATCH(Results!$B154,WP!$E$2:$E$23,0),2)))),IF(RIGHT(IFERROR(IF(FIND("_",$B154)&gt;0,INDEX(WP!$A$2:$F$23,MATCH(LEFT($B154,FIND("_",$B154)-1),WP!$E$2:$E$23,0),2),IF(FIND("-",$B154)&gt;0,INDEX(WP!$A$2:$F$23,MATCH(LEFT($B154,FIND("_",$B154)-1),WP!$E$2:$E$23,0),2))),INDEX(WP!$A$2:$F$23,MATCH(Results!$B154,WP!$E$2:$E$23,0),2)),6)="Series",LEFT(IFERROR(IF(FIND("_",$B154)&gt;0,INDEX(WP!$A$2:$F$23,MATCH(LEFT($B154,FIND("_",$B154)-1),WP!$E$2:$E$23,0),2),IF(FIND("-",$B154)&gt;0,INDEX(WP!$A$2:$F$23,MATCH(LEFT($B154,FIND("_",$B154)-1),WP!$E$2:$E$23,0),2))),INDEX(WP!$A$2:$F$23,MATCH(Results!$B154,WP!$E$2:$E$23,0),2)),5),(IFERROR(IF(FIND("_",$B154)&gt;0,INDEX(WP!$A$2:$F$23,MATCH(LEFT($B154,FIND("_",$B154)-1),WP!$E$2:$E$23,0),2),IF(FIND("-",$B154)&gt;0,INDEX(WP!$A$2:$F$23,MATCH(LEFT($B154,FIND("_",$B154)-1),WP!$E$2:$E$23,0),2))),INDEX(WP!$A$2:$F$23,MATCH(Results!$B154,WP!$E$2:$E$23,0),2))))&amp;"-"&amp;$I154),"")</f>
        <v/>
      </c>
      <c r="G154" s="17" t="str">
        <f>IF(LEN(_xlfn.IFNA(IF(IFERROR(IF(FIND("_",$B154)&gt;0,MID($B154,FIND("_",$B154)+1,LEN($B154)),IF(FIND("-",$B154)&gt;0,MID($B154,FIND("-",$B154)+1,LEN($B154)))),"")="",IFERROR(VLOOKUP($F154,WP!$B$2:$C$23,2,0),VLOOKUP($C154,Series!$A$3:$F$11,6,0)),IFERROR(VLOOKUP($F154,WP!$B$2:$C$23,2,0),VLOOKUP($C154,Series!$A$3:$F$11,6,0))&amp;" - "&amp;(IFERROR(IF(FIND("_",$B154)&gt;0,MID($B154,FIND("_",$B154)+1,LEN($B154)),IF(FIND("-",$B154)&gt;0,MID($B154,FIND("-",$B154)+1,LEN($B154)))),""))),""))&lt;64,_xlfn.IFNA(IF(IFERROR(IF(FIND("_",$B154)&gt;0,MID($B154,FIND("_",$B154)+1,LEN($B154)),IF(FIND("-",$B154)&gt;0,MID($B154,FIND("-",$B154)+1,LEN($B154)))),"")="",IFERROR(VLOOKUP($F154,WP!$B$2:$C$23,2,0),VLOOKUP($C154,Series!$A$3:$F$11,6,0)),IFERROR(VLOOKUP($F154,WP!$B$2:$C$23,2,0),VLOOKUP($C154,Series!$A$3:$F$11,6,0))&amp;" - "&amp;(IFERROR(IF(FIND("_",$B154)&gt;0,MID($B154,FIND("_",$B154)+1,LEN($B154)),IF(FIND("-",$B154)&gt;0,MID($B154,FIND("-",$B154)+1,LEN($B154)))),""))),""),LEFT((_xlfn.IFNA(IF(IFERROR(IF(FIND("_",$B154)&gt;0,MID($B154,FIND("_",$B154)+1,LEN($B154)),IF(FIND("-",$B154)&gt;0,MID($B154,FIND("-",$B154)+1,LEN($B154)))),"")="",IFERROR(VLOOKUP($F154,WP!$B$2:$C$23,2,0),VLOOKUP($C154,Series!$A$3:$F$11,6,0)),IFERROR(VLOOKUP($F154,WP!$B$2:$C$23,2,0),VLOOKUP($C154,Series!$A$3:$F$11,6,0))&amp;" - "&amp;(IFERROR(IF(FIND("_",$B154)&gt;0,MID($B154,FIND("_",$B154)+1,LEN($B154)),IF(FIND("-",$B154)&gt;0,MID($B154,FIND("-",$B154)+1,LEN($B154)))),""))),"")),64))</f>
        <v/>
      </c>
      <c r="H154" s="12"/>
      <c r="I154" s="12" t="str">
        <f>IF($D154&lt;&gt;"",COUNTIF($D$7:$D154,"="&amp;$D154),"")</f>
        <v/>
      </c>
      <c r="J154"/>
      <c r="K154" s="8"/>
      <c r="L154"/>
    </row>
    <row r="155" spans="1:12" x14ac:dyDescent="0.3">
      <c r="A155" s="1"/>
      <c r="B155" s="26"/>
      <c r="C155" s="12" t="str">
        <f>_xlfn.IFNA(IFERROR(IF(FIND("_",$B155)&gt;0,INDEX(WP!$A$2:$F$23,MATCH(LEFT($B155,FIND("_",$B155)-1),WP!$E$2:$E$23,0),1),IF(FIND("-",$B155)&gt;0,INDEX(WP!$A$2:$F$23,MATCH(LEFT($B155,FIND("_",$B155)-1),WP!$E$2:$E$23,0),1))),INDEX(WP!$A$2:$F$23,MATCH(Results!$B155,WP!$E$2:$E$23,0),1)),"")</f>
        <v/>
      </c>
      <c r="D155" s="12" t="str">
        <f>IFERROR(IFERROR(IF(RIGHT(INDEX(WP!$A$2:$F$23,MATCH(IF(FIND("_",$B155)&gt;0,LEFT($B155,FIND("_",$B155)-1)),WP!$E$2:$E$23,0),2),6)="Series",LEFT(INDEX(WP!$A$2:$F$23,MATCH(IF(FIND("_",$B155)&gt;0,LEFT($B155,FIND("_",$B155)-1)),WP!$E$2:$E$23,0),2),5),""),IF(RIGHT(INDEX(WP!$A$2:$F$23,MATCH($B155,WP!$E$2:$E$23,0),2),6)="Series",LEFT(INDEX(WP!$A$2:$F$23,MATCH($B155,WP!$E$2:$E$23,0),2),5),"")),"")</f>
        <v/>
      </c>
      <c r="E155" s="17" t="str">
        <f>IFERROR(VLOOKUP(VALUE($D155),Series!$B$3:$F$11,2,0),"")</f>
        <v/>
      </c>
      <c r="F155" s="12" t="str">
        <f>_xlfn.IFNA(IF(IF($D155&lt;&gt;"",COUNTIF($E:$E,"="&amp;$D155),"")="",IF(RIGHT(IFERROR(IF(FIND("_",$B155)&gt;0,INDEX(WP!$A$2:$F$23,MATCH(LEFT($B155,FIND("_",$B155)-1),WP!$E$2:$E$23,0),2),IF(FIND("-",$B155)&gt;0,INDEX(WP!$A$2:$F$23,MATCH(LEFT($B155,FIND("_",$B155)-1),WP!$E$2:$E$23,0),2))),INDEX(WP!$A$2:$F$23,MATCH(Results!$B155,WP!$E$2:$E$23,0),2)),6)="Series",LEFT(IFERROR(IF(FIND("_",$B155)&gt;0,INDEX(WP!$A$2:$F$23,MATCH(LEFT($B155,FIND("_",$B155)-1),WP!$E$2:$E$23,0),2),IF(FIND("-",$B155)&gt;0,INDEX(WP!$A$2:$F$23,MATCH(LEFT($B155,FIND("_",$B155)-1),WP!$E$2:$E$23,0),2))),INDEX(WP!$A$2:$F$23,MATCH(Results!$B155,WP!$E$2:$E$23,0),2)),5),(IFERROR(IF(FIND("_",$B155)&gt;0,INDEX(WP!$A$2:$F$23,MATCH(LEFT($B155,FIND("_",$B155)-1),WP!$E$2:$E$23,0),2),IF(FIND("-",$B155)&gt;0,INDEX(WP!$A$2:$F$23,MATCH(LEFT($B155,FIND("_",$B155)-1),WP!$E$2:$E$23,0),2))),INDEX(WP!$A$2:$F$23,MATCH(Results!$B155,WP!$E$2:$E$23,0),2)))),IF(RIGHT(IFERROR(IF(FIND("_",$B155)&gt;0,INDEX(WP!$A$2:$F$23,MATCH(LEFT($B155,FIND("_",$B155)-1),WP!$E$2:$E$23,0),2),IF(FIND("-",$B155)&gt;0,INDEX(WP!$A$2:$F$23,MATCH(LEFT($B155,FIND("_",$B155)-1),WP!$E$2:$E$23,0),2))),INDEX(WP!$A$2:$F$23,MATCH(Results!$B155,WP!$E$2:$E$23,0),2)),6)="Series",LEFT(IFERROR(IF(FIND("_",$B155)&gt;0,INDEX(WP!$A$2:$F$23,MATCH(LEFT($B155,FIND("_",$B155)-1),WP!$E$2:$E$23,0),2),IF(FIND("-",$B155)&gt;0,INDEX(WP!$A$2:$F$23,MATCH(LEFT($B155,FIND("_",$B155)-1),WP!$E$2:$E$23,0),2))),INDEX(WP!$A$2:$F$23,MATCH(Results!$B155,WP!$E$2:$E$23,0),2)),5),(IFERROR(IF(FIND("_",$B155)&gt;0,INDEX(WP!$A$2:$F$23,MATCH(LEFT($B155,FIND("_",$B155)-1),WP!$E$2:$E$23,0),2),IF(FIND("-",$B155)&gt;0,INDEX(WP!$A$2:$F$23,MATCH(LEFT($B155,FIND("_",$B155)-1),WP!$E$2:$E$23,0),2))),INDEX(WP!$A$2:$F$23,MATCH(Results!$B155,WP!$E$2:$E$23,0),2))))&amp;"-"&amp;$I155),"")</f>
        <v/>
      </c>
      <c r="G155" s="17" t="str">
        <f>IF(LEN(_xlfn.IFNA(IF(IFERROR(IF(FIND("_",$B155)&gt;0,MID($B155,FIND("_",$B155)+1,LEN($B155)),IF(FIND("-",$B155)&gt;0,MID($B155,FIND("-",$B155)+1,LEN($B155)))),"")="",IFERROR(VLOOKUP($F155,WP!$B$2:$C$23,2,0),VLOOKUP($C155,Series!$A$3:$F$11,6,0)),IFERROR(VLOOKUP($F155,WP!$B$2:$C$23,2,0),VLOOKUP($C155,Series!$A$3:$F$11,6,0))&amp;" - "&amp;(IFERROR(IF(FIND("_",$B155)&gt;0,MID($B155,FIND("_",$B155)+1,LEN($B155)),IF(FIND("-",$B155)&gt;0,MID($B155,FIND("-",$B155)+1,LEN($B155)))),""))),""))&lt;64,_xlfn.IFNA(IF(IFERROR(IF(FIND("_",$B155)&gt;0,MID($B155,FIND("_",$B155)+1,LEN($B155)),IF(FIND("-",$B155)&gt;0,MID($B155,FIND("-",$B155)+1,LEN($B155)))),"")="",IFERROR(VLOOKUP($F155,WP!$B$2:$C$23,2,0),VLOOKUP($C155,Series!$A$3:$F$11,6,0)),IFERROR(VLOOKUP($F155,WP!$B$2:$C$23,2,0),VLOOKUP($C155,Series!$A$3:$F$11,6,0))&amp;" - "&amp;(IFERROR(IF(FIND("_",$B155)&gt;0,MID($B155,FIND("_",$B155)+1,LEN($B155)),IF(FIND("-",$B155)&gt;0,MID($B155,FIND("-",$B155)+1,LEN($B155)))),""))),""),LEFT((_xlfn.IFNA(IF(IFERROR(IF(FIND("_",$B155)&gt;0,MID($B155,FIND("_",$B155)+1,LEN($B155)),IF(FIND("-",$B155)&gt;0,MID($B155,FIND("-",$B155)+1,LEN($B155)))),"")="",IFERROR(VLOOKUP($F155,WP!$B$2:$C$23,2,0),VLOOKUP($C155,Series!$A$3:$F$11,6,0)),IFERROR(VLOOKUP($F155,WP!$B$2:$C$23,2,0),VLOOKUP($C155,Series!$A$3:$F$11,6,0))&amp;" - "&amp;(IFERROR(IF(FIND("_",$B155)&gt;0,MID($B155,FIND("_",$B155)+1,LEN($B155)),IF(FIND("-",$B155)&gt;0,MID($B155,FIND("-",$B155)+1,LEN($B155)))),""))),"")),64))</f>
        <v/>
      </c>
      <c r="H155" s="12"/>
      <c r="I155" s="12" t="str">
        <f>IF($D155&lt;&gt;"",COUNTIF($D$7:$D155,"="&amp;$D155),"")</f>
        <v/>
      </c>
      <c r="J155"/>
      <c r="K155" s="8"/>
      <c r="L155"/>
    </row>
    <row r="156" spans="1:12" x14ac:dyDescent="0.3">
      <c r="A156" s="1"/>
      <c r="B156" s="26"/>
      <c r="C156" s="12" t="str">
        <f>_xlfn.IFNA(IFERROR(IF(FIND("_",$B156)&gt;0,INDEX(WP!$A$2:$F$23,MATCH(LEFT($B156,FIND("_",$B156)-1),WP!$E$2:$E$23,0),1),IF(FIND("-",$B156)&gt;0,INDEX(WP!$A$2:$F$23,MATCH(LEFT($B156,FIND("_",$B156)-1),WP!$E$2:$E$23,0),1))),INDEX(WP!$A$2:$F$23,MATCH(Results!$B156,WP!$E$2:$E$23,0),1)),"")</f>
        <v/>
      </c>
      <c r="D156" s="12" t="str">
        <f>IFERROR(IFERROR(IF(RIGHT(INDEX(WP!$A$2:$F$23,MATCH(IF(FIND("_",$B156)&gt;0,LEFT($B156,FIND("_",$B156)-1)),WP!$E$2:$E$23,0),2),6)="Series",LEFT(INDEX(WP!$A$2:$F$23,MATCH(IF(FIND("_",$B156)&gt;0,LEFT($B156,FIND("_",$B156)-1)),WP!$E$2:$E$23,0),2),5),""),IF(RIGHT(INDEX(WP!$A$2:$F$23,MATCH($B156,WP!$E$2:$E$23,0),2),6)="Series",LEFT(INDEX(WP!$A$2:$F$23,MATCH($B156,WP!$E$2:$E$23,0),2),5),"")),"")</f>
        <v/>
      </c>
      <c r="E156" s="17" t="str">
        <f>IFERROR(VLOOKUP(VALUE($D156),Series!$B$3:$F$11,2,0),"")</f>
        <v/>
      </c>
      <c r="F156" s="12" t="str">
        <f>_xlfn.IFNA(IF(IF($D156&lt;&gt;"",COUNTIF($E:$E,"="&amp;$D156),"")="",IF(RIGHT(IFERROR(IF(FIND("_",$B156)&gt;0,INDEX(WP!$A$2:$F$23,MATCH(LEFT($B156,FIND("_",$B156)-1),WP!$E$2:$E$23,0),2),IF(FIND("-",$B156)&gt;0,INDEX(WP!$A$2:$F$23,MATCH(LEFT($B156,FIND("_",$B156)-1),WP!$E$2:$E$23,0),2))),INDEX(WP!$A$2:$F$23,MATCH(Results!$B156,WP!$E$2:$E$23,0),2)),6)="Series",LEFT(IFERROR(IF(FIND("_",$B156)&gt;0,INDEX(WP!$A$2:$F$23,MATCH(LEFT($B156,FIND("_",$B156)-1),WP!$E$2:$E$23,0),2),IF(FIND("-",$B156)&gt;0,INDEX(WP!$A$2:$F$23,MATCH(LEFT($B156,FIND("_",$B156)-1),WP!$E$2:$E$23,0),2))),INDEX(WP!$A$2:$F$23,MATCH(Results!$B156,WP!$E$2:$E$23,0),2)),5),(IFERROR(IF(FIND("_",$B156)&gt;0,INDEX(WP!$A$2:$F$23,MATCH(LEFT($B156,FIND("_",$B156)-1),WP!$E$2:$E$23,0),2),IF(FIND("-",$B156)&gt;0,INDEX(WP!$A$2:$F$23,MATCH(LEFT($B156,FIND("_",$B156)-1),WP!$E$2:$E$23,0),2))),INDEX(WP!$A$2:$F$23,MATCH(Results!$B156,WP!$E$2:$E$23,0),2)))),IF(RIGHT(IFERROR(IF(FIND("_",$B156)&gt;0,INDEX(WP!$A$2:$F$23,MATCH(LEFT($B156,FIND("_",$B156)-1),WP!$E$2:$E$23,0),2),IF(FIND("-",$B156)&gt;0,INDEX(WP!$A$2:$F$23,MATCH(LEFT($B156,FIND("_",$B156)-1),WP!$E$2:$E$23,0),2))),INDEX(WP!$A$2:$F$23,MATCH(Results!$B156,WP!$E$2:$E$23,0),2)),6)="Series",LEFT(IFERROR(IF(FIND("_",$B156)&gt;0,INDEX(WP!$A$2:$F$23,MATCH(LEFT($B156,FIND("_",$B156)-1),WP!$E$2:$E$23,0),2),IF(FIND("-",$B156)&gt;0,INDEX(WP!$A$2:$F$23,MATCH(LEFT($B156,FIND("_",$B156)-1),WP!$E$2:$E$23,0),2))),INDEX(WP!$A$2:$F$23,MATCH(Results!$B156,WP!$E$2:$E$23,0),2)),5),(IFERROR(IF(FIND("_",$B156)&gt;0,INDEX(WP!$A$2:$F$23,MATCH(LEFT($B156,FIND("_",$B156)-1),WP!$E$2:$E$23,0),2),IF(FIND("-",$B156)&gt;0,INDEX(WP!$A$2:$F$23,MATCH(LEFT($B156,FIND("_",$B156)-1),WP!$E$2:$E$23,0),2))),INDEX(WP!$A$2:$F$23,MATCH(Results!$B156,WP!$E$2:$E$23,0),2))))&amp;"-"&amp;$I156),"")</f>
        <v/>
      </c>
      <c r="G156" s="17" t="str">
        <f>IF(LEN(_xlfn.IFNA(IF(IFERROR(IF(FIND("_",$B156)&gt;0,MID($B156,FIND("_",$B156)+1,LEN($B156)),IF(FIND("-",$B156)&gt;0,MID($B156,FIND("-",$B156)+1,LEN($B156)))),"")="",IFERROR(VLOOKUP($F156,WP!$B$2:$C$23,2,0),VLOOKUP($C156,Series!$A$3:$F$11,6,0)),IFERROR(VLOOKUP($F156,WP!$B$2:$C$23,2,0),VLOOKUP($C156,Series!$A$3:$F$11,6,0))&amp;" - "&amp;(IFERROR(IF(FIND("_",$B156)&gt;0,MID($B156,FIND("_",$B156)+1,LEN($B156)),IF(FIND("-",$B156)&gt;0,MID($B156,FIND("-",$B156)+1,LEN($B156)))),""))),""))&lt;64,_xlfn.IFNA(IF(IFERROR(IF(FIND("_",$B156)&gt;0,MID($B156,FIND("_",$B156)+1,LEN($B156)),IF(FIND("-",$B156)&gt;0,MID($B156,FIND("-",$B156)+1,LEN($B156)))),"")="",IFERROR(VLOOKUP($F156,WP!$B$2:$C$23,2,0),VLOOKUP($C156,Series!$A$3:$F$11,6,0)),IFERROR(VLOOKUP($F156,WP!$B$2:$C$23,2,0),VLOOKUP($C156,Series!$A$3:$F$11,6,0))&amp;" - "&amp;(IFERROR(IF(FIND("_",$B156)&gt;0,MID($B156,FIND("_",$B156)+1,LEN($B156)),IF(FIND("-",$B156)&gt;0,MID($B156,FIND("-",$B156)+1,LEN($B156)))),""))),""),LEFT((_xlfn.IFNA(IF(IFERROR(IF(FIND("_",$B156)&gt;0,MID($B156,FIND("_",$B156)+1,LEN($B156)),IF(FIND("-",$B156)&gt;0,MID($B156,FIND("-",$B156)+1,LEN($B156)))),"")="",IFERROR(VLOOKUP($F156,WP!$B$2:$C$23,2,0),VLOOKUP($C156,Series!$A$3:$F$11,6,0)),IFERROR(VLOOKUP($F156,WP!$B$2:$C$23,2,0),VLOOKUP($C156,Series!$A$3:$F$11,6,0))&amp;" - "&amp;(IFERROR(IF(FIND("_",$B156)&gt;0,MID($B156,FIND("_",$B156)+1,LEN($B156)),IF(FIND("-",$B156)&gt;0,MID($B156,FIND("-",$B156)+1,LEN($B156)))),""))),"")),64))</f>
        <v/>
      </c>
      <c r="H156" s="12"/>
      <c r="I156" s="12" t="str">
        <f>IF($D156&lt;&gt;"",COUNTIF($D$7:$D156,"="&amp;$D156),"")</f>
        <v/>
      </c>
      <c r="J156"/>
      <c r="K156" s="8"/>
      <c r="L156"/>
    </row>
    <row r="157" spans="1:12" x14ac:dyDescent="0.3">
      <c r="A157" s="1"/>
      <c r="B157" s="26"/>
      <c r="C157" s="12" t="str">
        <f>_xlfn.IFNA(IFERROR(IF(FIND("_",$B157)&gt;0,INDEX(WP!$A$2:$F$23,MATCH(LEFT($B157,FIND("_",$B157)-1),WP!$E$2:$E$23,0),1),IF(FIND("-",$B157)&gt;0,INDEX(WP!$A$2:$F$23,MATCH(LEFT($B157,FIND("_",$B157)-1),WP!$E$2:$E$23,0),1))),INDEX(WP!$A$2:$F$23,MATCH(Results!$B157,WP!$E$2:$E$23,0),1)),"")</f>
        <v/>
      </c>
      <c r="D157" s="12" t="str">
        <f>IFERROR(IFERROR(IF(RIGHT(INDEX(WP!$A$2:$F$23,MATCH(IF(FIND("_",$B157)&gt;0,LEFT($B157,FIND("_",$B157)-1)),WP!$E$2:$E$23,0),2),6)="Series",LEFT(INDEX(WP!$A$2:$F$23,MATCH(IF(FIND("_",$B157)&gt;0,LEFT($B157,FIND("_",$B157)-1)),WP!$E$2:$E$23,0),2),5),""),IF(RIGHT(INDEX(WP!$A$2:$F$23,MATCH($B157,WP!$E$2:$E$23,0),2),6)="Series",LEFT(INDEX(WP!$A$2:$F$23,MATCH($B157,WP!$E$2:$E$23,0),2),5),"")),"")</f>
        <v/>
      </c>
      <c r="E157" s="17" t="str">
        <f>IFERROR(VLOOKUP(VALUE($D157),Series!$B$3:$F$11,2,0),"")</f>
        <v/>
      </c>
      <c r="F157" s="12" t="str">
        <f>_xlfn.IFNA(IF(IF($D157&lt;&gt;"",COUNTIF($E:$E,"="&amp;$D157),"")="",IF(RIGHT(IFERROR(IF(FIND("_",$B157)&gt;0,INDEX(WP!$A$2:$F$23,MATCH(LEFT($B157,FIND("_",$B157)-1),WP!$E$2:$E$23,0),2),IF(FIND("-",$B157)&gt;0,INDEX(WP!$A$2:$F$23,MATCH(LEFT($B157,FIND("_",$B157)-1),WP!$E$2:$E$23,0),2))),INDEX(WP!$A$2:$F$23,MATCH(Results!$B157,WP!$E$2:$E$23,0),2)),6)="Series",LEFT(IFERROR(IF(FIND("_",$B157)&gt;0,INDEX(WP!$A$2:$F$23,MATCH(LEFT($B157,FIND("_",$B157)-1),WP!$E$2:$E$23,0),2),IF(FIND("-",$B157)&gt;0,INDEX(WP!$A$2:$F$23,MATCH(LEFT($B157,FIND("_",$B157)-1),WP!$E$2:$E$23,0),2))),INDEX(WP!$A$2:$F$23,MATCH(Results!$B157,WP!$E$2:$E$23,0),2)),5),(IFERROR(IF(FIND("_",$B157)&gt;0,INDEX(WP!$A$2:$F$23,MATCH(LEFT($B157,FIND("_",$B157)-1),WP!$E$2:$E$23,0),2),IF(FIND("-",$B157)&gt;0,INDEX(WP!$A$2:$F$23,MATCH(LEFT($B157,FIND("_",$B157)-1),WP!$E$2:$E$23,0),2))),INDEX(WP!$A$2:$F$23,MATCH(Results!$B157,WP!$E$2:$E$23,0),2)))),IF(RIGHT(IFERROR(IF(FIND("_",$B157)&gt;0,INDEX(WP!$A$2:$F$23,MATCH(LEFT($B157,FIND("_",$B157)-1),WP!$E$2:$E$23,0),2),IF(FIND("-",$B157)&gt;0,INDEX(WP!$A$2:$F$23,MATCH(LEFT($B157,FIND("_",$B157)-1),WP!$E$2:$E$23,0),2))),INDEX(WP!$A$2:$F$23,MATCH(Results!$B157,WP!$E$2:$E$23,0),2)),6)="Series",LEFT(IFERROR(IF(FIND("_",$B157)&gt;0,INDEX(WP!$A$2:$F$23,MATCH(LEFT($B157,FIND("_",$B157)-1),WP!$E$2:$E$23,0),2),IF(FIND("-",$B157)&gt;0,INDEX(WP!$A$2:$F$23,MATCH(LEFT($B157,FIND("_",$B157)-1),WP!$E$2:$E$23,0),2))),INDEX(WP!$A$2:$F$23,MATCH(Results!$B157,WP!$E$2:$E$23,0),2)),5),(IFERROR(IF(FIND("_",$B157)&gt;0,INDEX(WP!$A$2:$F$23,MATCH(LEFT($B157,FIND("_",$B157)-1),WP!$E$2:$E$23,0),2),IF(FIND("-",$B157)&gt;0,INDEX(WP!$A$2:$F$23,MATCH(LEFT($B157,FIND("_",$B157)-1),WP!$E$2:$E$23,0),2))),INDEX(WP!$A$2:$F$23,MATCH(Results!$B157,WP!$E$2:$E$23,0),2))))&amp;"-"&amp;$I157),"")</f>
        <v/>
      </c>
      <c r="G157" s="17" t="str">
        <f>IF(LEN(_xlfn.IFNA(IF(IFERROR(IF(FIND("_",$B157)&gt;0,MID($B157,FIND("_",$B157)+1,LEN($B157)),IF(FIND("-",$B157)&gt;0,MID($B157,FIND("-",$B157)+1,LEN($B157)))),"")="",IFERROR(VLOOKUP($F157,WP!$B$2:$C$23,2,0),VLOOKUP($C157,Series!$A$3:$F$11,6,0)),IFERROR(VLOOKUP($F157,WP!$B$2:$C$23,2,0),VLOOKUP($C157,Series!$A$3:$F$11,6,0))&amp;" - "&amp;(IFERROR(IF(FIND("_",$B157)&gt;0,MID($B157,FIND("_",$B157)+1,LEN($B157)),IF(FIND("-",$B157)&gt;0,MID($B157,FIND("-",$B157)+1,LEN($B157)))),""))),""))&lt;64,_xlfn.IFNA(IF(IFERROR(IF(FIND("_",$B157)&gt;0,MID($B157,FIND("_",$B157)+1,LEN($B157)),IF(FIND("-",$B157)&gt;0,MID($B157,FIND("-",$B157)+1,LEN($B157)))),"")="",IFERROR(VLOOKUP($F157,WP!$B$2:$C$23,2,0),VLOOKUP($C157,Series!$A$3:$F$11,6,0)),IFERROR(VLOOKUP($F157,WP!$B$2:$C$23,2,0),VLOOKUP($C157,Series!$A$3:$F$11,6,0))&amp;" - "&amp;(IFERROR(IF(FIND("_",$B157)&gt;0,MID($B157,FIND("_",$B157)+1,LEN($B157)),IF(FIND("-",$B157)&gt;0,MID($B157,FIND("-",$B157)+1,LEN($B157)))),""))),""),LEFT((_xlfn.IFNA(IF(IFERROR(IF(FIND("_",$B157)&gt;0,MID($B157,FIND("_",$B157)+1,LEN($B157)),IF(FIND("-",$B157)&gt;0,MID($B157,FIND("-",$B157)+1,LEN($B157)))),"")="",IFERROR(VLOOKUP($F157,WP!$B$2:$C$23,2,0),VLOOKUP($C157,Series!$A$3:$F$11,6,0)),IFERROR(VLOOKUP($F157,WP!$B$2:$C$23,2,0),VLOOKUP($C157,Series!$A$3:$F$11,6,0))&amp;" - "&amp;(IFERROR(IF(FIND("_",$B157)&gt;0,MID($B157,FIND("_",$B157)+1,LEN($B157)),IF(FIND("-",$B157)&gt;0,MID($B157,FIND("-",$B157)+1,LEN($B157)))),""))),"")),64))</f>
        <v/>
      </c>
      <c r="H157" s="12"/>
      <c r="I157" s="12" t="str">
        <f>IF($D157&lt;&gt;"",COUNTIF($D$7:$D157,"="&amp;$D157),"")</f>
        <v/>
      </c>
      <c r="J157"/>
      <c r="K157" s="8"/>
      <c r="L157"/>
    </row>
    <row r="158" spans="1:12" x14ac:dyDescent="0.3">
      <c r="A158" s="1"/>
      <c r="B158" s="26"/>
      <c r="C158" s="12" t="str">
        <f>_xlfn.IFNA(IFERROR(IF(FIND("_",$B158)&gt;0,INDEX(WP!$A$2:$F$23,MATCH(LEFT($B158,FIND("_",$B158)-1),WP!$E$2:$E$23,0),1),IF(FIND("-",$B158)&gt;0,INDEX(WP!$A$2:$F$23,MATCH(LEFT($B158,FIND("_",$B158)-1),WP!$E$2:$E$23,0),1))),INDEX(WP!$A$2:$F$23,MATCH(Results!$B158,WP!$E$2:$E$23,0),1)),"")</f>
        <v/>
      </c>
      <c r="D158" s="12" t="str">
        <f>IFERROR(IFERROR(IF(RIGHT(INDEX(WP!$A$2:$F$23,MATCH(IF(FIND("_",$B158)&gt;0,LEFT($B158,FIND("_",$B158)-1)),WP!$E$2:$E$23,0),2),6)="Series",LEFT(INDEX(WP!$A$2:$F$23,MATCH(IF(FIND("_",$B158)&gt;0,LEFT($B158,FIND("_",$B158)-1)),WP!$E$2:$E$23,0),2),5),""),IF(RIGHT(INDEX(WP!$A$2:$F$23,MATCH($B158,WP!$E$2:$E$23,0),2),6)="Series",LEFT(INDEX(WP!$A$2:$F$23,MATCH($B158,WP!$E$2:$E$23,0),2),5),"")),"")</f>
        <v/>
      </c>
      <c r="E158" s="17" t="str">
        <f>IFERROR(VLOOKUP(VALUE($D158),Series!$B$3:$F$11,2,0),"")</f>
        <v/>
      </c>
      <c r="F158" s="12" t="str">
        <f>_xlfn.IFNA(IF(IF($D158&lt;&gt;"",COUNTIF($E:$E,"="&amp;$D158),"")="",IF(RIGHT(IFERROR(IF(FIND("_",$B158)&gt;0,INDEX(WP!$A$2:$F$23,MATCH(LEFT($B158,FIND("_",$B158)-1),WP!$E$2:$E$23,0),2),IF(FIND("-",$B158)&gt;0,INDEX(WP!$A$2:$F$23,MATCH(LEFT($B158,FIND("_",$B158)-1),WP!$E$2:$E$23,0),2))),INDEX(WP!$A$2:$F$23,MATCH(Results!$B158,WP!$E$2:$E$23,0),2)),6)="Series",LEFT(IFERROR(IF(FIND("_",$B158)&gt;0,INDEX(WP!$A$2:$F$23,MATCH(LEFT($B158,FIND("_",$B158)-1),WP!$E$2:$E$23,0),2),IF(FIND("-",$B158)&gt;0,INDEX(WP!$A$2:$F$23,MATCH(LEFT($B158,FIND("_",$B158)-1),WP!$E$2:$E$23,0),2))),INDEX(WP!$A$2:$F$23,MATCH(Results!$B158,WP!$E$2:$E$23,0),2)),5),(IFERROR(IF(FIND("_",$B158)&gt;0,INDEX(WP!$A$2:$F$23,MATCH(LEFT($B158,FIND("_",$B158)-1),WP!$E$2:$E$23,0),2),IF(FIND("-",$B158)&gt;0,INDEX(WP!$A$2:$F$23,MATCH(LEFT($B158,FIND("_",$B158)-1),WP!$E$2:$E$23,0),2))),INDEX(WP!$A$2:$F$23,MATCH(Results!$B158,WP!$E$2:$E$23,0),2)))),IF(RIGHT(IFERROR(IF(FIND("_",$B158)&gt;0,INDEX(WP!$A$2:$F$23,MATCH(LEFT($B158,FIND("_",$B158)-1),WP!$E$2:$E$23,0),2),IF(FIND("-",$B158)&gt;0,INDEX(WP!$A$2:$F$23,MATCH(LEFT($B158,FIND("_",$B158)-1),WP!$E$2:$E$23,0),2))),INDEX(WP!$A$2:$F$23,MATCH(Results!$B158,WP!$E$2:$E$23,0),2)),6)="Series",LEFT(IFERROR(IF(FIND("_",$B158)&gt;0,INDEX(WP!$A$2:$F$23,MATCH(LEFT($B158,FIND("_",$B158)-1),WP!$E$2:$E$23,0),2),IF(FIND("-",$B158)&gt;0,INDEX(WP!$A$2:$F$23,MATCH(LEFT($B158,FIND("_",$B158)-1),WP!$E$2:$E$23,0),2))),INDEX(WP!$A$2:$F$23,MATCH(Results!$B158,WP!$E$2:$E$23,0),2)),5),(IFERROR(IF(FIND("_",$B158)&gt;0,INDEX(WP!$A$2:$F$23,MATCH(LEFT($B158,FIND("_",$B158)-1),WP!$E$2:$E$23,0),2),IF(FIND("-",$B158)&gt;0,INDEX(WP!$A$2:$F$23,MATCH(LEFT($B158,FIND("_",$B158)-1),WP!$E$2:$E$23,0),2))),INDEX(WP!$A$2:$F$23,MATCH(Results!$B158,WP!$E$2:$E$23,0),2))))&amp;"-"&amp;$I158),"")</f>
        <v/>
      </c>
      <c r="G158" s="17" t="str">
        <f>IF(LEN(_xlfn.IFNA(IF(IFERROR(IF(FIND("_",$B158)&gt;0,MID($B158,FIND("_",$B158)+1,LEN($B158)),IF(FIND("-",$B158)&gt;0,MID($B158,FIND("-",$B158)+1,LEN($B158)))),"")="",IFERROR(VLOOKUP($F158,WP!$B$2:$C$23,2,0),VLOOKUP($C158,Series!$A$3:$F$11,6,0)),IFERROR(VLOOKUP($F158,WP!$B$2:$C$23,2,0),VLOOKUP($C158,Series!$A$3:$F$11,6,0))&amp;" - "&amp;(IFERROR(IF(FIND("_",$B158)&gt;0,MID($B158,FIND("_",$B158)+1,LEN($B158)),IF(FIND("-",$B158)&gt;0,MID($B158,FIND("-",$B158)+1,LEN($B158)))),""))),""))&lt;64,_xlfn.IFNA(IF(IFERROR(IF(FIND("_",$B158)&gt;0,MID($B158,FIND("_",$B158)+1,LEN($B158)),IF(FIND("-",$B158)&gt;0,MID($B158,FIND("-",$B158)+1,LEN($B158)))),"")="",IFERROR(VLOOKUP($F158,WP!$B$2:$C$23,2,0),VLOOKUP($C158,Series!$A$3:$F$11,6,0)),IFERROR(VLOOKUP($F158,WP!$B$2:$C$23,2,0),VLOOKUP($C158,Series!$A$3:$F$11,6,0))&amp;" - "&amp;(IFERROR(IF(FIND("_",$B158)&gt;0,MID($B158,FIND("_",$B158)+1,LEN($B158)),IF(FIND("-",$B158)&gt;0,MID($B158,FIND("-",$B158)+1,LEN($B158)))),""))),""),LEFT((_xlfn.IFNA(IF(IFERROR(IF(FIND("_",$B158)&gt;0,MID($B158,FIND("_",$B158)+1,LEN($B158)),IF(FIND("-",$B158)&gt;0,MID($B158,FIND("-",$B158)+1,LEN($B158)))),"")="",IFERROR(VLOOKUP($F158,WP!$B$2:$C$23,2,0),VLOOKUP($C158,Series!$A$3:$F$11,6,0)),IFERROR(VLOOKUP($F158,WP!$B$2:$C$23,2,0),VLOOKUP($C158,Series!$A$3:$F$11,6,0))&amp;" - "&amp;(IFERROR(IF(FIND("_",$B158)&gt;0,MID($B158,FIND("_",$B158)+1,LEN($B158)),IF(FIND("-",$B158)&gt;0,MID($B158,FIND("-",$B158)+1,LEN($B158)))),""))),"")),64))</f>
        <v/>
      </c>
      <c r="H158" s="12"/>
      <c r="I158" s="12" t="str">
        <f>IF($D158&lt;&gt;"",COUNTIF($D$7:$D158,"="&amp;$D158),"")</f>
        <v/>
      </c>
      <c r="J158"/>
      <c r="K158" s="8"/>
      <c r="L158"/>
    </row>
    <row r="159" spans="1:12" x14ac:dyDescent="0.3">
      <c r="A159" s="1"/>
      <c r="B159" s="26"/>
      <c r="C159" s="12" t="str">
        <f>_xlfn.IFNA(IFERROR(IF(FIND("_",$B159)&gt;0,INDEX(WP!$A$2:$F$23,MATCH(LEFT($B159,FIND("_",$B159)-1),WP!$E$2:$E$23,0),1),IF(FIND("-",$B159)&gt;0,INDEX(WP!$A$2:$F$23,MATCH(LEFT($B159,FIND("_",$B159)-1),WP!$E$2:$E$23,0),1))),INDEX(WP!$A$2:$F$23,MATCH(Results!$B159,WP!$E$2:$E$23,0),1)),"")</f>
        <v/>
      </c>
      <c r="D159" s="12" t="str">
        <f>IFERROR(IFERROR(IF(RIGHT(INDEX(WP!$A$2:$F$23,MATCH(IF(FIND("_",$B159)&gt;0,LEFT($B159,FIND("_",$B159)-1)),WP!$E$2:$E$23,0),2),6)="Series",LEFT(INDEX(WP!$A$2:$F$23,MATCH(IF(FIND("_",$B159)&gt;0,LEFT($B159,FIND("_",$B159)-1)),WP!$E$2:$E$23,0),2),5),""),IF(RIGHT(INDEX(WP!$A$2:$F$23,MATCH($B159,WP!$E$2:$E$23,0),2),6)="Series",LEFT(INDEX(WP!$A$2:$F$23,MATCH($B159,WP!$E$2:$E$23,0),2),5),"")),"")</f>
        <v/>
      </c>
      <c r="E159" s="17" t="str">
        <f>IFERROR(VLOOKUP(VALUE($D159),Series!$B$3:$F$11,2,0),"")</f>
        <v/>
      </c>
      <c r="F159" s="12" t="str">
        <f>_xlfn.IFNA(IF(IF($D159&lt;&gt;"",COUNTIF($E:$E,"="&amp;$D159),"")="",IF(RIGHT(IFERROR(IF(FIND("_",$B159)&gt;0,INDEX(WP!$A$2:$F$23,MATCH(LEFT($B159,FIND("_",$B159)-1),WP!$E$2:$E$23,0),2),IF(FIND("-",$B159)&gt;0,INDEX(WP!$A$2:$F$23,MATCH(LEFT($B159,FIND("_",$B159)-1),WP!$E$2:$E$23,0),2))),INDEX(WP!$A$2:$F$23,MATCH(Results!$B159,WP!$E$2:$E$23,0),2)),6)="Series",LEFT(IFERROR(IF(FIND("_",$B159)&gt;0,INDEX(WP!$A$2:$F$23,MATCH(LEFT($B159,FIND("_",$B159)-1),WP!$E$2:$E$23,0),2),IF(FIND("-",$B159)&gt;0,INDEX(WP!$A$2:$F$23,MATCH(LEFT($B159,FIND("_",$B159)-1),WP!$E$2:$E$23,0),2))),INDEX(WP!$A$2:$F$23,MATCH(Results!$B159,WP!$E$2:$E$23,0),2)),5),(IFERROR(IF(FIND("_",$B159)&gt;0,INDEX(WP!$A$2:$F$23,MATCH(LEFT($B159,FIND("_",$B159)-1),WP!$E$2:$E$23,0),2),IF(FIND("-",$B159)&gt;0,INDEX(WP!$A$2:$F$23,MATCH(LEFT($B159,FIND("_",$B159)-1),WP!$E$2:$E$23,0),2))),INDEX(WP!$A$2:$F$23,MATCH(Results!$B159,WP!$E$2:$E$23,0),2)))),IF(RIGHT(IFERROR(IF(FIND("_",$B159)&gt;0,INDEX(WP!$A$2:$F$23,MATCH(LEFT($B159,FIND("_",$B159)-1),WP!$E$2:$E$23,0),2),IF(FIND("-",$B159)&gt;0,INDEX(WP!$A$2:$F$23,MATCH(LEFT($B159,FIND("_",$B159)-1),WP!$E$2:$E$23,0),2))),INDEX(WP!$A$2:$F$23,MATCH(Results!$B159,WP!$E$2:$E$23,0),2)),6)="Series",LEFT(IFERROR(IF(FIND("_",$B159)&gt;0,INDEX(WP!$A$2:$F$23,MATCH(LEFT($B159,FIND("_",$B159)-1),WP!$E$2:$E$23,0),2),IF(FIND("-",$B159)&gt;0,INDEX(WP!$A$2:$F$23,MATCH(LEFT($B159,FIND("_",$B159)-1),WP!$E$2:$E$23,0),2))),INDEX(WP!$A$2:$F$23,MATCH(Results!$B159,WP!$E$2:$E$23,0),2)),5),(IFERROR(IF(FIND("_",$B159)&gt;0,INDEX(WP!$A$2:$F$23,MATCH(LEFT($B159,FIND("_",$B159)-1),WP!$E$2:$E$23,0),2),IF(FIND("-",$B159)&gt;0,INDEX(WP!$A$2:$F$23,MATCH(LEFT($B159,FIND("_",$B159)-1),WP!$E$2:$E$23,0),2))),INDEX(WP!$A$2:$F$23,MATCH(Results!$B159,WP!$E$2:$E$23,0),2))))&amp;"-"&amp;$I159),"")</f>
        <v/>
      </c>
      <c r="G159" s="17" t="str">
        <f>IF(LEN(_xlfn.IFNA(IF(IFERROR(IF(FIND("_",$B159)&gt;0,MID($B159,FIND("_",$B159)+1,LEN($B159)),IF(FIND("-",$B159)&gt;0,MID($B159,FIND("-",$B159)+1,LEN($B159)))),"")="",IFERROR(VLOOKUP($F159,WP!$B$2:$C$23,2,0),VLOOKUP($C159,Series!$A$3:$F$11,6,0)),IFERROR(VLOOKUP($F159,WP!$B$2:$C$23,2,0),VLOOKUP($C159,Series!$A$3:$F$11,6,0))&amp;" - "&amp;(IFERROR(IF(FIND("_",$B159)&gt;0,MID($B159,FIND("_",$B159)+1,LEN($B159)),IF(FIND("-",$B159)&gt;0,MID($B159,FIND("-",$B159)+1,LEN($B159)))),""))),""))&lt;64,_xlfn.IFNA(IF(IFERROR(IF(FIND("_",$B159)&gt;0,MID($B159,FIND("_",$B159)+1,LEN($B159)),IF(FIND("-",$B159)&gt;0,MID($B159,FIND("-",$B159)+1,LEN($B159)))),"")="",IFERROR(VLOOKUP($F159,WP!$B$2:$C$23,2,0),VLOOKUP($C159,Series!$A$3:$F$11,6,0)),IFERROR(VLOOKUP($F159,WP!$B$2:$C$23,2,0),VLOOKUP($C159,Series!$A$3:$F$11,6,0))&amp;" - "&amp;(IFERROR(IF(FIND("_",$B159)&gt;0,MID($B159,FIND("_",$B159)+1,LEN($B159)),IF(FIND("-",$B159)&gt;0,MID($B159,FIND("-",$B159)+1,LEN($B159)))),""))),""),LEFT((_xlfn.IFNA(IF(IFERROR(IF(FIND("_",$B159)&gt;0,MID($B159,FIND("_",$B159)+1,LEN($B159)),IF(FIND("-",$B159)&gt;0,MID($B159,FIND("-",$B159)+1,LEN($B159)))),"")="",IFERROR(VLOOKUP($F159,WP!$B$2:$C$23,2,0),VLOOKUP($C159,Series!$A$3:$F$11,6,0)),IFERROR(VLOOKUP($F159,WP!$B$2:$C$23,2,0),VLOOKUP($C159,Series!$A$3:$F$11,6,0))&amp;" - "&amp;(IFERROR(IF(FIND("_",$B159)&gt;0,MID($B159,FIND("_",$B159)+1,LEN($B159)),IF(FIND("-",$B159)&gt;0,MID($B159,FIND("-",$B159)+1,LEN($B159)))),""))),"")),64))</f>
        <v/>
      </c>
      <c r="H159" s="12"/>
      <c r="I159" s="12" t="str">
        <f>IF($D159&lt;&gt;"",COUNTIF($D$7:$D159,"="&amp;$D159),"")</f>
        <v/>
      </c>
      <c r="J159"/>
      <c r="K159" s="8"/>
      <c r="L159"/>
    </row>
    <row r="160" spans="1:12" x14ac:dyDescent="0.3">
      <c r="A160" s="1"/>
      <c r="B160" s="26"/>
      <c r="C160" s="12" t="str">
        <f>_xlfn.IFNA(IFERROR(IF(FIND("_",$B160)&gt;0,INDEX(WP!$A$2:$F$23,MATCH(LEFT($B160,FIND("_",$B160)-1),WP!$E$2:$E$23,0),1),IF(FIND("-",$B160)&gt;0,INDEX(WP!$A$2:$F$23,MATCH(LEFT($B160,FIND("_",$B160)-1),WP!$E$2:$E$23,0),1))),INDEX(WP!$A$2:$F$23,MATCH(Results!$B160,WP!$E$2:$E$23,0),1)),"")</f>
        <v/>
      </c>
      <c r="D160" s="12" t="str">
        <f>IFERROR(IFERROR(IF(RIGHT(INDEX(WP!$A$2:$F$23,MATCH(IF(FIND("_",$B160)&gt;0,LEFT($B160,FIND("_",$B160)-1)),WP!$E$2:$E$23,0),2),6)="Series",LEFT(INDEX(WP!$A$2:$F$23,MATCH(IF(FIND("_",$B160)&gt;0,LEFT($B160,FIND("_",$B160)-1)),WP!$E$2:$E$23,0),2),5),""),IF(RIGHT(INDEX(WP!$A$2:$F$23,MATCH($B160,WP!$E$2:$E$23,0),2),6)="Series",LEFT(INDEX(WP!$A$2:$F$23,MATCH($B160,WP!$E$2:$E$23,0),2),5),"")),"")</f>
        <v/>
      </c>
      <c r="E160" s="17" t="str">
        <f>IFERROR(VLOOKUP(VALUE($D160),Series!$B$3:$F$11,2,0),"")</f>
        <v/>
      </c>
      <c r="F160" s="12" t="str">
        <f>_xlfn.IFNA(IF(IF($D160&lt;&gt;"",COUNTIF($E:$E,"="&amp;$D160),"")="",IF(RIGHT(IFERROR(IF(FIND("_",$B160)&gt;0,INDEX(WP!$A$2:$F$23,MATCH(LEFT($B160,FIND("_",$B160)-1),WP!$E$2:$E$23,0),2),IF(FIND("-",$B160)&gt;0,INDEX(WP!$A$2:$F$23,MATCH(LEFT($B160,FIND("_",$B160)-1),WP!$E$2:$E$23,0),2))),INDEX(WP!$A$2:$F$23,MATCH(Results!$B160,WP!$E$2:$E$23,0),2)),6)="Series",LEFT(IFERROR(IF(FIND("_",$B160)&gt;0,INDEX(WP!$A$2:$F$23,MATCH(LEFT($B160,FIND("_",$B160)-1),WP!$E$2:$E$23,0),2),IF(FIND("-",$B160)&gt;0,INDEX(WP!$A$2:$F$23,MATCH(LEFT($B160,FIND("_",$B160)-1),WP!$E$2:$E$23,0),2))),INDEX(WP!$A$2:$F$23,MATCH(Results!$B160,WP!$E$2:$E$23,0),2)),5),(IFERROR(IF(FIND("_",$B160)&gt;0,INDEX(WP!$A$2:$F$23,MATCH(LEFT($B160,FIND("_",$B160)-1),WP!$E$2:$E$23,0),2),IF(FIND("-",$B160)&gt;0,INDEX(WP!$A$2:$F$23,MATCH(LEFT($B160,FIND("_",$B160)-1),WP!$E$2:$E$23,0),2))),INDEX(WP!$A$2:$F$23,MATCH(Results!$B160,WP!$E$2:$E$23,0),2)))),IF(RIGHT(IFERROR(IF(FIND("_",$B160)&gt;0,INDEX(WP!$A$2:$F$23,MATCH(LEFT($B160,FIND("_",$B160)-1),WP!$E$2:$E$23,0),2),IF(FIND("-",$B160)&gt;0,INDEX(WP!$A$2:$F$23,MATCH(LEFT($B160,FIND("_",$B160)-1),WP!$E$2:$E$23,0),2))),INDEX(WP!$A$2:$F$23,MATCH(Results!$B160,WP!$E$2:$E$23,0),2)),6)="Series",LEFT(IFERROR(IF(FIND("_",$B160)&gt;0,INDEX(WP!$A$2:$F$23,MATCH(LEFT($B160,FIND("_",$B160)-1),WP!$E$2:$E$23,0),2),IF(FIND("-",$B160)&gt;0,INDEX(WP!$A$2:$F$23,MATCH(LEFT($B160,FIND("_",$B160)-1),WP!$E$2:$E$23,0),2))),INDEX(WP!$A$2:$F$23,MATCH(Results!$B160,WP!$E$2:$E$23,0),2)),5),(IFERROR(IF(FIND("_",$B160)&gt;0,INDEX(WP!$A$2:$F$23,MATCH(LEFT($B160,FIND("_",$B160)-1),WP!$E$2:$E$23,0),2),IF(FIND("-",$B160)&gt;0,INDEX(WP!$A$2:$F$23,MATCH(LEFT($B160,FIND("_",$B160)-1),WP!$E$2:$E$23,0),2))),INDEX(WP!$A$2:$F$23,MATCH(Results!$B160,WP!$E$2:$E$23,0),2))))&amp;"-"&amp;$I160),"")</f>
        <v/>
      </c>
      <c r="G160" s="17" t="str">
        <f>IF(LEN(_xlfn.IFNA(IF(IFERROR(IF(FIND("_",$B160)&gt;0,MID($B160,FIND("_",$B160)+1,LEN($B160)),IF(FIND("-",$B160)&gt;0,MID($B160,FIND("-",$B160)+1,LEN($B160)))),"")="",IFERROR(VLOOKUP($F160,WP!$B$2:$C$23,2,0),VLOOKUP($C160,Series!$A$3:$F$11,6,0)),IFERROR(VLOOKUP($F160,WP!$B$2:$C$23,2,0),VLOOKUP($C160,Series!$A$3:$F$11,6,0))&amp;" - "&amp;(IFERROR(IF(FIND("_",$B160)&gt;0,MID($B160,FIND("_",$B160)+1,LEN($B160)),IF(FIND("-",$B160)&gt;0,MID($B160,FIND("-",$B160)+1,LEN($B160)))),""))),""))&lt;64,_xlfn.IFNA(IF(IFERROR(IF(FIND("_",$B160)&gt;0,MID($B160,FIND("_",$B160)+1,LEN($B160)),IF(FIND("-",$B160)&gt;0,MID($B160,FIND("-",$B160)+1,LEN($B160)))),"")="",IFERROR(VLOOKUP($F160,WP!$B$2:$C$23,2,0),VLOOKUP($C160,Series!$A$3:$F$11,6,0)),IFERROR(VLOOKUP($F160,WP!$B$2:$C$23,2,0),VLOOKUP($C160,Series!$A$3:$F$11,6,0))&amp;" - "&amp;(IFERROR(IF(FIND("_",$B160)&gt;0,MID($B160,FIND("_",$B160)+1,LEN($B160)),IF(FIND("-",$B160)&gt;0,MID($B160,FIND("-",$B160)+1,LEN($B160)))),""))),""),LEFT((_xlfn.IFNA(IF(IFERROR(IF(FIND("_",$B160)&gt;0,MID($B160,FIND("_",$B160)+1,LEN($B160)),IF(FIND("-",$B160)&gt;0,MID($B160,FIND("-",$B160)+1,LEN($B160)))),"")="",IFERROR(VLOOKUP($F160,WP!$B$2:$C$23,2,0),VLOOKUP($C160,Series!$A$3:$F$11,6,0)),IFERROR(VLOOKUP($F160,WP!$B$2:$C$23,2,0),VLOOKUP($C160,Series!$A$3:$F$11,6,0))&amp;" - "&amp;(IFERROR(IF(FIND("_",$B160)&gt;0,MID($B160,FIND("_",$B160)+1,LEN($B160)),IF(FIND("-",$B160)&gt;0,MID($B160,FIND("-",$B160)+1,LEN($B160)))),""))),"")),64))</f>
        <v/>
      </c>
      <c r="H160" s="12"/>
      <c r="I160" s="12" t="str">
        <f>IF($D160&lt;&gt;"",COUNTIF($D$7:$D160,"="&amp;$D160),"")</f>
        <v/>
      </c>
      <c r="J160"/>
      <c r="K160" s="8"/>
      <c r="L160"/>
    </row>
    <row r="161" spans="1:12" x14ac:dyDescent="0.3">
      <c r="A161" s="1"/>
      <c r="B161" s="26"/>
      <c r="C161" s="12" t="str">
        <f>_xlfn.IFNA(IFERROR(IF(FIND("_",$B161)&gt;0,INDEX(WP!$A$2:$F$23,MATCH(LEFT($B161,FIND("_",$B161)-1),WP!$E$2:$E$23,0),1),IF(FIND("-",$B161)&gt;0,INDEX(WP!$A$2:$F$23,MATCH(LEFT($B161,FIND("_",$B161)-1),WP!$E$2:$E$23,0),1))),INDEX(WP!$A$2:$F$23,MATCH(Results!$B161,WP!$E$2:$E$23,0),1)),"")</f>
        <v/>
      </c>
      <c r="D161" s="12" t="str">
        <f>IFERROR(IFERROR(IF(RIGHT(INDEX(WP!$A$2:$F$23,MATCH(IF(FIND("_",$B161)&gt;0,LEFT($B161,FIND("_",$B161)-1)),WP!$E$2:$E$23,0),2),6)="Series",LEFT(INDEX(WP!$A$2:$F$23,MATCH(IF(FIND("_",$B161)&gt;0,LEFT($B161,FIND("_",$B161)-1)),WP!$E$2:$E$23,0),2),5),""),IF(RIGHT(INDEX(WP!$A$2:$F$23,MATCH($B161,WP!$E$2:$E$23,0),2),6)="Series",LEFT(INDEX(WP!$A$2:$F$23,MATCH($B161,WP!$E$2:$E$23,0),2),5),"")),"")</f>
        <v/>
      </c>
      <c r="E161" s="17" t="str">
        <f>IFERROR(VLOOKUP(VALUE($D161),Series!$B$3:$F$11,2,0),"")</f>
        <v/>
      </c>
      <c r="F161" s="12" t="str">
        <f>_xlfn.IFNA(IF(IF($D161&lt;&gt;"",COUNTIF($E:$E,"="&amp;$D161),"")="",IF(RIGHT(IFERROR(IF(FIND("_",$B161)&gt;0,INDEX(WP!$A$2:$F$23,MATCH(LEFT($B161,FIND("_",$B161)-1),WP!$E$2:$E$23,0),2),IF(FIND("-",$B161)&gt;0,INDEX(WP!$A$2:$F$23,MATCH(LEFT($B161,FIND("_",$B161)-1),WP!$E$2:$E$23,0),2))),INDEX(WP!$A$2:$F$23,MATCH(Results!$B161,WP!$E$2:$E$23,0),2)),6)="Series",LEFT(IFERROR(IF(FIND("_",$B161)&gt;0,INDEX(WP!$A$2:$F$23,MATCH(LEFT($B161,FIND("_",$B161)-1),WP!$E$2:$E$23,0),2),IF(FIND("-",$B161)&gt;0,INDEX(WP!$A$2:$F$23,MATCH(LEFT($B161,FIND("_",$B161)-1),WP!$E$2:$E$23,0),2))),INDEX(WP!$A$2:$F$23,MATCH(Results!$B161,WP!$E$2:$E$23,0),2)),5),(IFERROR(IF(FIND("_",$B161)&gt;0,INDEX(WP!$A$2:$F$23,MATCH(LEFT($B161,FIND("_",$B161)-1),WP!$E$2:$E$23,0),2),IF(FIND("-",$B161)&gt;0,INDEX(WP!$A$2:$F$23,MATCH(LEFT($B161,FIND("_",$B161)-1),WP!$E$2:$E$23,0),2))),INDEX(WP!$A$2:$F$23,MATCH(Results!$B161,WP!$E$2:$E$23,0),2)))),IF(RIGHT(IFERROR(IF(FIND("_",$B161)&gt;0,INDEX(WP!$A$2:$F$23,MATCH(LEFT($B161,FIND("_",$B161)-1),WP!$E$2:$E$23,0),2),IF(FIND("-",$B161)&gt;0,INDEX(WP!$A$2:$F$23,MATCH(LEFT($B161,FIND("_",$B161)-1),WP!$E$2:$E$23,0),2))),INDEX(WP!$A$2:$F$23,MATCH(Results!$B161,WP!$E$2:$E$23,0),2)),6)="Series",LEFT(IFERROR(IF(FIND("_",$B161)&gt;0,INDEX(WP!$A$2:$F$23,MATCH(LEFT($B161,FIND("_",$B161)-1),WP!$E$2:$E$23,0),2),IF(FIND("-",$B161)&gt;0,INDEX(WP!$A$2:$F$23,MATCH(LEFT($B161,FIND("_",$B161)-1),WP!$E$2:$E$23,0),2))),INDEX(WP!$A$2:$F$23,MATCH(Results!$B161,WP!$E$2:$E$23,0),2)),5),(IFERROR(IF(FIND("_",$B161)&gt;0,INDEX(WP!$A$2:$F$23,MATCH(LEFT($B161,FIND("_",$B161)-1),WP!$E$2:$E$23,0),2),IF(FIND("-",$B161)&gt;0,INDEX(WP!$A$2:$F$23,MATCH(LEFT($B161,FIND("_",$B161)-1),WP!$E$2:$E$23,0),2))),INDEX(WP!$A$2:$F$23,MATCH(Results!$B161,WP!$E$2:$E$23,0),2))))&amp;"-"&amp;$I161),"")</f>
        <v/>
      </c>
      <c r="G161" s="17" t="str">
        <f>IF(LEN(_xlfn.IFNA(IF(IFERROR(IF(FIND("_",$B161)&gt;0,MID($B161,FIND("_",$B161)+1,LEN($B161)),IF(FIND("-",$B161)&gt;0,MID($B161,FIND("-",$B161)+1,LEN($B161)))),"")="",IFERROR(VLOOKUP($F161,WP!$B$2:$C$23,2,0),VLOOKUP($C161,Series!$A$3:$F$11,6,0)),IFERROR(VLOOKUP($F161,WP!$B$2:$C$23,2,0),VLOOKUP($C161,Series!$A$3:$F$11,6,0))&amp;" - "&amp;(IFERROR(IF(FIND("_",$B161)&gt;0,MID($B161,FIND("_",$B161)+1,LEN($B161)),IF(FIND("-",$B161)&gt;0,MID($B161,FIND("-",$B161)+1,LEN($B161)))),""))),""))&lt;64,_xlfn.IFNA(IF(IFERROR(IF(FIND("_",$B161)&gt;0,MID($B161,FIND("_",$B161)+1,LEN($B161)),IF(FIND("-",$B161)&gt;0,MID($B161,FIND("-",$B161)+1,LEN($B161)))),"")="",IFERROR(VLOOKUP($F161,WP!$B$2:$C$23,2,0),VLOOKUP($C161,Series!$A$3:$F$11,6,0)),IFERROR(VLOOKUP($F161,WP!$B$2:$C$23,2,0),VLOOKUP($C161,Series!$A$3:$F$11,6,0))&amp;" - "&amp;(IFERROR(IF(FIND("_",$B161)&gt;0,MID($B161,FIND("_",$B161)+1,LEN($B161)),IF(FIND("-",$B161)&gt;0,MID($B161,FIND("-",$B161)+1,LEN($B161)))),""))),""),LEFT((_xlfn.IFNA(IF(IFERROR(IF(FIND("_",$B161)&gt;0,MID($B161,FIND("_",$B161)+1,LEN($B161)),IF(FIND("-",$B161)&gt;0,MID($B161,FIND("-",$B161)+1,LEN($B161)))),"")="",IFERROR(VLOOKUP($F161,WP!$B$2:$C$23,2,0),VLOOKUP($C161,Series!$A$3:$F$11,6,0)),IFERROR(VLOOKUP($F161,WP!$B$2:$C$23,2,0),VLOOKUP($C161,Series!$A$3:$F$11,6,0))&amp;" - "&amp;(IFERROR(IF(FIND("_",$B161)&gt;0,MID($B161,FIND("_",$B161)+1,LEN($B161)),IF(FIND("-",$B161)&gt;0,MID($B161,FIND("-",$B161)+1,LEN($B161)))),""))),"")),64))</f>
        <v/>
      </c>
      <c r="H161" s="12"/>
      <c r="I161" s="12" t="str">
        <f>IF($D161&lt;&gt;"",COUNTIF($D$7:$D161,"="&amp;$D161),"")</f>
        <v/>
      </c>
      <c r="J161"/>
      <c r="K161" s="8"/>
      <c r="L161"/>
    </row>
    <row r="162" spans="1:12" x14ac:dyDescent="0.3">
      <c r="A162" s="1"/>
      <c r="B162" s="26"/>
      <c r="C162" s="12" t="str">
        <f>_xlfn.IFNA(IFERROR(IF(FIND("_",$B162)&gt;0,INDEX(WP!$A$2:$F$23,MATCH(LEFT($B162,FIND("_",$B162)-1),WP!$E$2:$E$23,0),1),IF(FIND("-",$B162)&gt;0,INDEX(WP!$A$2:$F$23,MATCH(LEFT($B162,FIND("_",$B162)-1),WP!$E$2:$E$23,0),1))),INDEX(WP!$A$2:$F$23,MATCH(Results!$B162,WP!$E$2:$E$23,0),1)),"")</f>
        <v/>
      </c>
      <c r="D162" s="12" t="str">
        <f>IFERROR(IFERROR(IF(RIGHT(INDEX(WP!$A$2:$F$23,MATCH(IF(FIND("_",$B162)&gt;0,LEFT($B162,FIND("_",$B162)-1)),WP!$E$2:$E$23,0),2),6)="Series",LEFT(INDEX(WP!$A$2:$F$23,MATCH(IF(FIND("_",$B162)&gt;0,LEFT($B162,FIND("_",$B162)-1)),WP!$E$2:$E$23,0),2),5),""),IF(RIGHT(INDEX(WP!$A$2:$F$23,MATCH($B162,WP!$E$2:$E$23,0),2),6)="Series",LEFT(INDEX(WP!$A$2:$F$23,MATCH($B162,WP!$E$2:$E$23,0),2),5),"")),"")</f>
        <v/>
      </c>
      <c r="E162" s="17" t="str">
        <f>IFERROR(VLOOKUP(VALUE($D162),Series!$B$3:$F$11,2,0),"")</f>
        <v/>
      </c>
      <c r="F162" s="12" t="str">
        <f>_xlfn.IFNA(IF(IF($D162&lt;&gt;"",COUNTIF($E:$E,"="&amp;$D162),"")="",IF(RIGHT(IFERROR(IF(FIND("_",$B162)&gt;0,INDEX(WP!$A$2:$F$23,MATCH(LEFT($B162,FIND("_",$B162)-1),WP!$E$2:$E$23,0),2),IF(FIND("-",$B162)&gt;0,INDEX(WP!$A$2:$F$23,MATCH(LEFT($B162,FIND("_",$B162)-1),WP!$E$2:$E$23,0),2))),INDEX(WP!$A$2:$F$23,MATCH(Results!$B162,WP!$E$2:$E$23,0),2)),6)="Series",LEFT(IFERROR(IF(FIND("_",$B162)&gt;0,INDEX(WP!$A$2:$F$23,MATCH(LEFT($B162,FIND("_",$B162)-1),WP!$E$2:$E$23,0),2),IF(FIND("-",$B162)&gt;0,INDEX(WP!$A$2:$F$23,MATCH(LEFT($B162,FIND("_",$B162)-1),WP!$E$2:$E$23,0),2))),INDEX(WP!$A$2:$F$23,MATCH(Results!$B162,WP!$E$2:$E$23,0),2)),5),(IFERROR(IF(FIND("_",$B162)&gt;0,INDEX(WP!$A$2:$F$23,MATCH(LEFT($B162,FIND("_",$B162)-1),WP!$E$2:$E$23,0),2),IF(FIND("-",$B162)&gt;0,INDEX(WP!$A$2:$F$23,MATCH(LEFT($B162,FIND("_",$B162)-1),WP!$E$2:$E$23,0),2))),INDEX(WP!$A$2:$F$23,MATCH(Results!$B162,WP!$E$2:$E$23,0),2)))),IF(RIGHT(IFERROR(IF(FIND("_",$B162)&gt;0,INDEX(WP!$A$2:$F$23,MATCH(LEFT($B162,FIND("_",$B162)-1),WP!$E$2:$E$23,0),2),IF(FIND("-",$B162)&gt;0,INDEX(WP!$A$2:$F$23,MATCH(LEFT($B162,FIND("_",$B162)-1),WP!$E$2:$E$23,0),2))),INDEX(WP!$A$2:$F$23,MATCH(Results!$B162,WP!$E$2:$E$23,0),2)),6)="Series",LEFT(IFERROR(IF(FIND("_",$B162)&gt;0,INDEX(WP!$A$2:$F$23,MATCH(LEFT($B162,FIND("_",$B162)-1),WP!$E$2:$E$23,0),2),IF(FIND("-",$B162)&gt;0,INDEX(WP!$A$2:$F$23,MATCH(LEFT($B162,FIND("_",$B162)-1),WP!$E$2:$E$23,0),2))),INDEX(WP!$A$2:$F$23,MATCH(Results!$B162,WP!$E$2:$E$23,0),2)),5),(IFERROR(IF(FIND("_",$B162)&gt;0,INDEX(WP!$A$2:$F$23,MATCH(LEFT($B162,FIND("_",$B162)-1),WP!$E$2:$E$23,0),2),IF(FIND("-",$B162)&gt;0,INDEX(WP!$A$2:$F$23,MATCH(LEFT($B162,FIND("_",$B162)-1),WP!$E$2:$E$23,0),2))),INDEX(WP!$A$2:$F$23,MATCH(Results!$B162,WP!$E$2:$E$23,0),2))))&amp;"-"&amp;$I162),"")</f>
        <v/>
      </c>
      <c r="G162" s="17" t="str">
        <f>IF(LEN(_xlfn.IFNA(IF(IFERROR(IF(FIND("_",$B162)&gt;0,MID($B162,FIND("_",$B162)+1,LEN($B162)),IF(FIND("-",$B162)&gt;0,MID($B162,FIND("-",$B162)+1,LEN($B162)))),"")="",IFERROR(VLOOKUP($F162,WP!$B$2:$C$23,2,0),VLOOKUP($C162,Series!$A$3:$F$11,6,0)),IFERROR(VLOOKUP($F162,WP!$B$2:$C$23,2,0),VLOOKUP($C162,Series!$A$3:$F$11,6,0))&amp;" - "&amp;(IFERROR(IF(FIND("_",$B162)&gt;0,MID($B162,FIND("_",$B162)+1,LEN($B162)),IF(FIND("-",$B162)&gt;0,MID($B162,FIND("-",$B162)+1,LEN($B162)))),""))),""))&lt;64,_xlfn.IFNA(IF(IFERROR(IF(FIND("_",$B162)&gt;0,MID($B162,FIND("_",$B162)+1,LEN($B162)),IF(FIND("-",$B162)&gt;0,MID($B162,FIND("-",$B162)+1,LEN($B162)))),"")="",IFERROR(VLOOKUP($F162,WP!$B$2:$C$23,2,0),VLOOKUP($C162,Series!$A$3:$F$11,6,0)),IFERROR(VLOOKUP($F162,WP!$B$2:$C$23,2,0),VLOOKUP($C162,Series!$A$3:$F$11,6,0))&amp;" - "&amp;(IFERROR(IF(FIND("_",$B162)&gt;0,MID($B162,FIND("_",$B162)+1,LEN($B162)),IF(FIND("-",$B162)&gt;0,MID($B162,FIND("-",$B162)+1,LEN($B162)))),""))),""),LEFT((_xlfn.IFNA(IF(IFERROR(IF(FIND("_",$B162)&gt;0,MID($B162,FIND("_",$B162)+1,LEN($B162)),IF(FIND("-",$B162)&gt;0,MID($B162,FIND("-",$B162)+1,LEN($B162)))),"")="",IFERROR(VLOOKUP($F162,WP!$B$2:$C$23,2,0),VLOOKUP($C162,Series!$A$3:$F$11,6,0)),IFERROR(VLOOKUP($F162,WP!$B$2:$C$23,2,0),VLOOKUP($C162,Series!$A$3:$F$11,6,0))&amp;" - "&amp;(IFERROR(IF(FIND("_",$B162)&gt;0,MID($B162,FIND("_",$B162)+1,LEN($B162)),IF(FIND("-",$B162)&gt;0,MID($B162,FIND("-",$B162)+1,LEN($B162)))),""))),"")),64))</f>
        <v/>
      </c>
      <c r="H162" s="12"/>
      <c r="I162" s="12" t="str">
        <f>IF($D162&lt;&gt;"",COUNTIF($D$7:$D162,"="&amp;$D162),"")</f>
        <v/>
      </c>
      <c r="J162"/>
      <c r="K162" s="8"/>
      <c r="L162"/>
    </row>
    <row r="163" spans="1:12" x14ac:dyDescent="0.3">
      <c r="A163" s="1"/>
      <c r="B163" s="26"/>
      <c r="C163" s="12" t="str">
        <f>_xlfn.IFNA(IFERROR(IF(FIND("_",$B163)&gt;0,INDEX(WP!$A$2:$F$23,MATCH(LEFT($B163,FIND("_",$B163)-1),WP!$E$2:$E$23,0),1),IF(FIND("-",$B163)&gt;0,INDEX(WP!$A$2:$F$23,MATCH(LEFT($B163,FIND("_",$B163)-1),WP!$E$2:$E$23,0),1))),INDEX(WP!$A$2:$F$23,MATCH(Results!$B163,WP!$E$2:$E$23,0),1)),"")</f>
        <v/>
      </c>
      <c r="D163" s="12" t="str">
        <f>IFERROR(IFERROR(IF(RIGHT(INDEX(WP!$A$2:$F$23,MATCH(IF(FIND("_",$B163)&gt;0,LEFT($B163,FIND("_",$B163)-1)),WP!$E$2:$E$23,0),2),6)="Series",LEFT(INDEX(WP!$A$2:$F$23,MATCH(IF(FIND("_",$B163)&gt;0,LEFT($B163,FIND("_",$B163)-1)),WP!$E$2:$E$23,0),2),5),""),IF(RIGHT(INDEX(WP!$A$2:$F$23,MATCH($B163,WP!$E$2:$E$23,0),2),6)="Series",LEFT(INDEX(WP!$A$2:$F$23,MATCH($B163,WP!$E$2:$E$23,0),2),5),"")),"")</f>
        <v/>
      </c>
      <c r="E163" s="17" t="str">
        <f>IFERROR(VLOOKUP(VALUE($D163),Series!$B$3:$F$11,2,0),"")</f>
        <v/>
      </c>
      <c r="F163" s="12" t="str">
        <f>_xlfn.IFNA(IF(IF($D163&lt;&gt;"",COUNTIF($E:$E,"="&amp;$D163),"")="",IF(RIGHT(IFERROR(IF(FIND("_",$B163)&gt;0,INDEX(WP!$A$2:$F$23,MATCH(LEFT($B163,FIND("_",$B163)-1),WP!$E$2:$E$23,0),2),IF(FIND("-",$B163)&gt;0,INDEX(WP!$A$2:$F$23,MATCH(LEFT($B163,FIND("_",$B163)-1),WP!$E$2:$E$23,0),2))),INDEX(WP!$A$2:$F$23,MATCH(Results!$B163,WP!$E$2:$E$23,0),2)),6)="Series",LEFT(IFERROR(IF(FIND("_",$B163)&gt;0,INDEX(WP!$A$2:$F$23,MATCH(LEFT($B163,FIND("_",$B163)-1),WP!$E$2:$E$23,0),2),IF(FIND("-",$B163)&gt;0,INDEX(WP!$A$2:$F$23,MATCH(LEFT($B163,FIND("_",$B163)-1),WP!$E$2:$E$23,0),2))),INDEX(WP!$A$2:$F$23,MATCH(Results!$B163,WP!$E$2:$E$23,0),2)),5),(IFERROR(IF(FIND("_",$B163)&gt;0,INDEX(WP!$A$2:$F$23,MATCH(LEFT($B163,FIND("_",$B163)-1),WP!$E$2:$E$23,0),2),IF(FIND("-",$B163)&gt;0,INDEX(WP!$A$2:$F$23,MATCH(LEFT($B163,FIND("_",$B163)-1),WP!$E$2:$E$23,0),2))),INDEX(WP!$A$2:$F$23,MATCH(Results!$B163,WP!$E$2:$E$23,0),2)))),IF(RIGHT(IFERROR(IF(FIND("_",$B163)&gt;0,INDEX(WP!$A$2:$F$23,MATCH(LEFT($B163,FIND("_",$B163)-1),WP!$E$2:$E$23,0),2),IF(FIND("-",$B163)&gt;0,INDEX(WP!$A$2:$F$23,MATCH(LEFT($B163,FIND("_",$B163)-1),WP!$E$2:$E$23,0),2))),INDEX(WP!$A$2:$F$23,MATCH(Results!$B163,WP!$E$2:$E$23,0),2)),6)="Series",LEFT(IFERROR(IF(FIND("_",$B163)&gt;0,INDEX(WP!$A$2:$F$23,MATCH(LEFT($B163,FIND("_",$B163)-1),WP!$E$2:$E$23,0),2),IF(FIND("-",$B163)&gt;0,INDEX(WP!$A$2:$F$23,MATCH(LEFT($B163,FIND("_",$B163)-1),WP!$E$2:$E$23,0),2))),INDEX(WP!$A$2:$F$23,MATCH(Results!$B163,WP!$E$2:$E$23,0),2)),5),(IFERROR(IF(FIND("_",$B163)&gt;0,INDEX(WP!$A$2:$F$23,MATCH(LEFT($B163,FIND("_",$B163)-1),WP!$E$2:$E$23,0),2),IF(FIND("-",$B163)&gt;0,INDEX(WP!$A$2:$F$23,MATCH(LEFT($B163,FIND("_",$B163)-1),WP!$E$2:$E$23,0),2))),INDEX(WP!$A$2:$F$23,MATCH(Results!$B163,WP!$E$2:$E$23,0),2))))&amp;"-"&amp;$I163),"")</f>
        <v/>
      </c>
      <c r="G163" s="17" t="str">
        <f>IF(LEN(_xlfn.IFNA(IF(IFERROR(IF(FIND("_",$B163)&gt;0,MID($B163,FIND("_",$B163)+1,LEN($B163)),IF(FIND("-",$B163)&gt;0,MID($B163,FIND("-",$B163)+1,LEN($B163)))),"")="",IFERROR(VLOOKUP($F163,WP!$B$2:$C$23,2,0),VLOOKUP($C163,Series!$A$3:$F$11,6,0)),IFERROR(VLOOKUP($F163,WP!$B$2:$C$23,2,0),VLOOKUP($C163,Series!$A$3:$F$11,6,0))&amp;" - "&amp;(IFERROR(IF(FIND("_",$B163)&gt;0,MID($B163,FIND("_",$B163)+1,LEN($B163)),IF(FIND("-",$B163)&gt;0,MID($B163,FIND("-",$B163)+1,LEN($B163)))),""))),""))&lt;64,_xlfn.IFNA(IF(IFERROR(IF(FIND("_",$B163)&gt;0,MID($B163,FIND("_",$B163)+1,LEN($B163)),IF(FIND("-",$B163)&gt;0,MID($B163,FIND("-",$B163)+1,LEN($B163)))),"")="",IFERROR(VLOOKUP($F163,WP!$B$2:$C$23,2,0),VLOOKUP($C163,Series!$A$3:$F$11,6,0)),IFERROR(VLOOKUP($F163,WP!$B$2:$C$23,2,0),VLOOKUP($C163,Series!$A$3:$F$11,6,0))&amp;" - "&amp;(IFERROR(IF(FIND("_",$B163)&gt;0,MID($B163,FIND("_",$B163)+1,LEN($B163)),IF(FIND("-",$B163)&gt;0,MID($B163,FIND("-",$B163)+1,LEN($B163)))),""))),""),LEFT((_xlfn.IFNA(IF(IFERROR(IF(FIND("_",$B163)&gt;0,MID($B163,FIND("_",$B163)+1,LEN($B163)),IF(FIND("-",$B163)&gt;0,MID($B163,FIND("-",$B163)+1,LEN($B163)))),"")="",IFERROR(VLOOKUP($F163,WP!$B$2:$C$23,2,0),VLOOKUP($C163,Series!$A$3:$F$11,6,0)),IFERROR(VLOOKUP($F163,WP!$B$2:$C$23,2,0),VLOOKUP($C163,Series!$A$3:$F$11,6,0))&amp;" - "&amp;(IFERROR(IF(FIND("_",$B163)&gt;0,MID($B163,FIND("_",$B163)+1,LEN($B163)),IF(FIND("-",$B163)&gt;0,MID($B163,FIND("-",$B163)+1,LEN($B163)))),""))),"")),64))</f>
        <v/>
      </c>
      <c r="H163" s="12"/>
      <c r="I163" s="12" t="str">
        <f>IF($D163&lt;&gt;"",COUNTIF($D$7:$D163,"="&amp;$D163),"")</f>
        <v/>
      </c>
      <c r="J163"/>
      <c r="K163" s="8"/>
      <c r="L163"/>
    </row>
    <row r="164" spans="1:12" x14ac:dyDescent="0.3">
      <c r="A164" s="1"/>
      <c r="B164" s="26"/>
      <c r="C164" s="12" t="str">
        <f>_xlfn.IFNA(IFERROR(IF(FIND("_",$B164)&gt;0,INDEX(WP!$A$2:$F$23,MATCH(LEFT($B164,FIND("_",$B164)-1),WP!$E$2:$E$23,0),1),IF(FIND("-",$B164)&gt;0,INDEX(WP!$A$2:$F$23,MATCH(LEFT($B164,FIND("_",$B164)-1),WP!$E$2:$E$23,0),1))),INDEX(WP!$A$2:$F$23,MATCH(Results!$B164,WP!$E$2:$E$23,0),1)),"")</f>
        <v/>
      </c>
      <c r="D164" s="12" t="str">
        <f>IFERROR(IFERROR(IF(RIGHT(INDEX(WP!$A$2:$F$23,MATCH(IF(FIND("_",$B164)&gt;0,LEFT($B164,FIND("_",$B164)-1)),WP!$E$2:$E$23,0),2),6)="Series",LEFT(INDEX(WP!$A$2:$F$23,MATCH(IF(FIND("_",$B164)&gt;0,LEFT($B164,FIND("_",$B164)-1)),WP!$E$2:$E$23,0),2),5),""),IF(RIGHT(INDEX(WP!$A$2:$F$23,MATCH($B164,WP!$E$2:$E$23,0),2),6)="Series",LEFT(INDEX(WP!$A$2:$F$23,MATCH($B164,WP!$E$2:$E$23,0),2),5),"")),"")</f>
        <v/>
      </c>
      <c r="E164" s="17" t="str">
        <f>IFERROR(VLOOKUP(VALUE($D164),Series!$B$3:$F$11,2,0),"")</f>
        <v/>
      </c>
      <c r="F164" s="12" t="str">
        <f>_xlfn.IFNA(IF(IF($D164&lt;&gt;"",COUNTIF($E:$E,"="&amp;$D164),"")="",IF(RIGHT(IFERROR(IF(FIND("_",$B164)&gt;0,INDEX(WP!$A$2:$F$23,MATCH(LEFT($B164,FIND("_",$B164)-1),WP!$E$2:$E$23,0),2),IF(FIND("-",$B164)&gt;0,INDEX(WP!$A$2:$F$23,MATCH(LEFT($B164,FIND("_",$B164)-1),WP!$E$2:$E$23,0),2))),INDEX(WP!$A$2:$F$23,MATCH(Results!$B164,WP!$E$2:$E$23,0),2)),6)="Series",LEFT(IFERROR(IF(FIND("_",$B164)&gt;0,INDEX(WP!$A$2:$F$23,MATCH(LEFT($B164,FIND("_",$B164)-1),WP!$E$2:$E$23,0),2),IF(FIND("-",$B164)&gt;0,INDEX(WP!$A$2:$F$23,MATCH(LEFT($B164,FIND("_",$B164)-1),WP!$E$2:$E$23,0),2))),INDEX(WP!$A$2:$F$23,MATCH(Results!$B164,WP!$E$2:$E$23,0),2)),5),(IFERROR(IF(FIND("_",$B164)&gt;0,INDEX(WP!$A$2:$F$23,MATCH(LEFT($B164,FIND("_",$B164)-1),WP!$E$2:$E$23,0),2),IF(FIND("-",$B164)&gt;0,INDEX(WP!$A$2:$F$23,MATCH(LEFT($B164,FIND("_",$B164)-1),WP!$E$2:$E$23,0),2))),INDEX(WP!$A$2:$F$23,MATCH(Results!$B164,WP!$E$2:$E$23,0),2)))),IF(RIGHT(IFERROR(IF(FIND("_",$B164)&gt;0,INDEX(WP!$A$2:$F$23,MATCH(LEFT($B164,FIND("_",$B164)-1),WP!$E$2:$E$23,0),2),IF(FIND("-",$B164)&gt;0,INDEX(WP!$A$2:$F$23,MATCH(LEFT($B164,FIND("_",$B164)-1),WP!$E$2:$E$23,0),2))),INDEX(WP!$A$2:$F$23,MATCH(Results!$B164,WP!$E$2:$E$23,0),2)),6)="Series",LEFT(IFERROR(IF(FIND("_",$B164)&gt;0,INDEX(WP!$A$2:$F$23,MATCH(LEFT($B164,FIND("_",$B164)-1),WP!$E$2:$E$23,0),2),IF(FIND("-",$B164)&gt;0,INDEX(WP!$A$2:$F$23,MATCH(LEFT($B164,FIND("_",$B164)-1),WP!$E$2:$E$23,0),2))),INDEX(WP!$A$2:$F$23,MATCH(Results!$B164,WP!$E$2:$E$23,0),2)),5),(IFERROR(IF(FIND("_",$B164)&gt;0,INDEX(WP!$A$2:$F$23,MATCH(LEFT($B164,FIND("_",$B164)-1),WP!$E$2:$E$23,0),2),IF(FIND("-",$B164)&gt;0,INDEX(WP!$A$2:$F$23,MATCH(LEFT($B164,FIND("_",$B164)-1),WP!$E$2:$E$23,0),2))),INDEX(WP!$A$2:$F$23,MATCH(Results!$B164,WP!$E$2:$E$23,0),2))))&amp;"-"&amp;$I164),"")</f>
        <v/>
      </c>
      <c r="G164" s="17" t="str">
        <f>IF(LEN(_xlfn.IFNA(IF(IFERROR(IF(FIND("_",$B164)&gt;0,MID($B164,FIND("_",$B164)+1,LEN($B164)),IF(FIND("-",$B164)&gt;0,MID($B164,FIND("-",$B164)+1,LEN($B164)))),"")="",IFERROR(VLOOKUP($F164,WP!$B$2:$C$23,2,0),VLOOKUP($C164,Series!$A$3:$F$11,6,0)),IFERROR(VLOOKUP($F164,WP!$B$2:$C$23,2,0),VLOOKUP($C164,Series!$A$3:$F$11,6,0))&amp;" - "&amp;(IFERROR(IF(FIND("_",$B164)&gt;0,MID($B164,FIND("_",$B164)+1,LEN($B164)),IF(FIND("-",$B164)&gt;0,MID($B164,FIND("-",$B164)+1,LEN($B164)))),""))),""))&lt;64,_xlfn.IFNA(IF(IFERROR(IF(FIND("_",$B164)&gt;0,MID($B164,FIND("_",$B164)+1,LEN($B164)),IF(FIND("-",$B164)&gt;0,MID($B164,FIND("-",$B164)+1,LEN($B164)))),"")="",IFERROR(VLOOKUP($F164,WP!$B$2:$C$23,2,0),VLOOKUP($C164,Series!$A$3:$F$11,6,0)),IFERROR(VLOOKUP($F164,WP!$B$2:$C$23,2,0),VLOOKUP($C164,Series!$A$3:$F$11,6,0))&amp;" - "&amp;(IFERROR(IF(FIND("_",$B164)&gt;0,MID($B164,FIND("_",$B164)+1,LEN($B164)),IF(FIND("-",$B164)&gt;0,MID($B164,FIND("-",$B164)+1,LEN($B164)))),""))),""),LEFT((_xlfn.IFNA(IF(IFERROR(IF(FIND("_",$B164)&gt;0,MID($B164,FIND("_",$B164)+1,LEN($B164)),IF(FIND("-",$B164)&gt;0,MID($B164,FIND("-",$B164)+1,LEN($B164)))),"")="",IFERROR(VLOOKUP($F164,WP!$B$2:$C$23,2,0),VLOOKUP($C164,Series!$A$3:$F$11,6,0)),IFERROR(VLOOKUP($F164,WP!$B$2:$C$23,2,0),VLOOKUP($C164,Series!$A$3:$F$11,6,0))&amp;" - "&amp;(IFERROR(IF(FIND("_",$B164)&gt;0,MID($B164,FIND("_",$B164)+1,LEN($B164)),IF(FIND("-",$B164)&gt;0,MID($B164,FIND("-",$B164)+1,LEN($B164)))),""))),"")),64))</f>
        <v/>
      </c>
      <c r="H164" s="12"/>
      <c r="I164" s="12" t="str">
        <f>IF($D164&lt;&gt;"",COUNTIF($D$7:$D164,"="&amp;$D164),"")</f>
        <v/>
      </c>
      <c r="J164"/>
      <c r="K164" s="8"/>
      <c r="L164"/>
    </row>
    <row r="165" spans="1:12" x14ac:dyDescent="0.3">
      <c r="A165" s="1"/>
      <c r="B165" s="26"/>
      <c r="C165" s="12" t="str">
        <f>_xlfn.IFNA(IFERROR(IF(FIND("_",$B165)&gt;0,INDEX(WP!$A$2:$F$23,MATCH(LEFT($B165,FIND("_",$B165)-1),WP!$E$2:$E$23,0),1),IF(FIND("-",$B165)&gt;0,INDEX(WP!$A$2:$F$23,MATCH(LEFT($B165,FIND("_",$B165)-1),WP!$E$2:$E$23,0),1))),INDEX(WP!$A$2:$F$23,MATCH(Results!$B165,WP!$E$2:$E$23,0),1)),"")</f>
        <v/>
      </c>
      <c r="D165" s="12" t="str">
        <f>IFERROR(IFERROR(IF(RIGHT(INDEX(WP!$A$2:$F$23,MATCH(IF(FIND("_",$B165)&gt;0,LEFT($B165,FIND("_",$B165)-1)),WP!$E$2:$E$23,0),2),6)="Series",LEFT(INDEX(WP!$A$2:$F$23,MATCH(IF(FIND("_",$B165)&gt;0,LEFT($B165,FIND("_",$B165)-1)),WP!$E$2:$E$23,0),2),5),""),IF(RIGHT(INDEX(WP!$A$2:$F$23,MATCH($B165,WP!$E$2:$E$23,0),2),6)="Series",LEFT(INDEX(WP!$A$2:$F$23,MATCH($B165,WP!$E$2:$E$23,0),2),5),"")),"")</f>
        <v/>
      </c>
      <c r="E165" s="17" t="str">
        <f>IFERROR(VLOOKUP(VALUE($D165),Series!$B$3:$F$11,2,0),"")</f>
        <v/>
      </c>
      <c r="F165" s="12" t="str">
        <f>_xlfn.IFNA(IF(IF($D165&lt;&gt;"",COUNTIF($E:$E,"="&amp;$D165),"")="",IF(RIGHT(IFERROR(IF(FIND("_",$B165)&gt;0,INDEX(WP!$A$2:$F$23,MATCH(LEFT($B165,FIND("_",$B165)-1),WP!$E$2:$E$23,0),2),IF(FIND("-",$B165)&gt;0,INDEX(WP!$A$2:$F$23,MATCH(LEFT($B165,FIND("_",$B165)-1),WP!$E$2:$E$23,0),2))),INDEX(WP!$A$2:$F$23,MATCH(Results!$B165,WP!$E$2:$E$23,0),2)),6)="Series",LEFT(IFERROR(IF(FIND("_",$B165)&gt;0,INDEX(WP!$A$2:$F$23,MATCH(LEFT($B165,FIND("_",$B165)-1),WP!$E$2:$E$23,0),2),IF(FIND("-",$B165)&gt;0,INDEX(WP!$A$2:$F$23,MATCH(LEFT($B165,FIND("_",$B165)-1),WP!$E$2:$E$23,0),2))),INDEX(WP!$A$2:$F$23,MATCH(Results!$B165,WP!$E$2:$E$23,0),2)),5),(IFERROR(IF(FIND("_",$B165)&gt;0,INDEX(WP!$A$2:$F$23,MATCH(LEFT($B165,FIND("_",$B165)-1),WP!$E$2:$E$23,0),2),IF(FIND("-",$B165)&gt;0,INDEX(WP!$A$2:$F$23,MATCH(LEFT($B165,FIND("_",$B165)-1),WP!$E$2:$E$23,0),2))),INDEX(WP!$A$2:$F$23,MATCH(Results!$B165,WP!$E$2:$E$23,0),2)))),IF(RIGHT(IFERROR(IF(FIND("_",$B165)&gt;0,INDEX(WP!$A$2:$F$23,MATCH(LEFT($B165,FIND("_",$B165)-1),WP!$E$2:$E$23,0),2),IF(FIND("-",$B165)&gt;0,INDEX(WP!$A$2:$F$23,MATCH(LEFT($B165,FIND("_",$B165)-1),WP!$E$2:$E$23,0),2))),INDEX(WP!$A$2:$F$23,MATCH(Results!$B165,WP!$E$2:$E$23,0),2)),6)="Series",LEFT(IFERROR(IF(FIND("_",$B165)&gt;0,INDEX(WP!$A$2:$F$23,MATCH(LEFT($B165,FIND("_",$B165)-1),WP!$E$2:$E$23,0),2),IF(FIND("-",$B165)&gt;0,INDEX(WP!$A$2:$F$23,MATCH(LEFT($B165,FIND("_",$B165)-1),WP!$E$2:$E$23,0),2))),INDEX(WP!$A$2:$F$23,MATCH(Results!$B165,WP!$E$2:$E$23,0),2)),5),(IFERROR(IF(FIND("_",$B165)&gt;0,INDEX(WP!$A$2:$F$23,MATCH(LEFT($B165,FIND("_",$B165)-1),WP!$E$2:$E$23,0),2),IF(FIND("-",$B165)&gt;0,INDEX(WP!$A$2:$F$23,MATCH(LEFT($B165,FIND("_",$B165)-1),WP!$E$2:$E$23,0),2))),INDEX(WP!$A$2:$F$23,MATCH(Results!$B165,WP!$E$2:$E$23,0),2))))&amp;"-"&amp;$I165),"")</f>
        <v/>
      </c>
      <c r="G165" s="17" t="str">
        <f>IF(LEN(_xlfn.IFNA(IF(IFERROR(IF(FIND("_",$B165)&gt;0,MID($B165,FIND("_",$B165)+1,LEN($B165)),IF(FIND("-",$B165)&gt;0,MID($B165,FIND("-",$B165)+1,LEN($B165)))),"")="",IFERROR(VLOOKUP($F165,WP!$B$2:$C$23,2,0),VLOOKUP($C165,Series!$A$3:$F$11,6,0)),IFERROR(VLOOKUP($F165,WP!$B$2:$C$23,2,0),VLOOKUP($C165,Series!$A$3:$F$11,6,0))&amp;" - "&amp;(IFERROR(IF(FIND("_",$B165)&gt;0,MID($B165,FIND("_",$B165)+1,LEN($B165)),IF(FIND("-",$B165)&gt;0,MID($B165,FIND("-",$B165)+1,LEN($B165)))),""))),""))&lt;64,_xlfn.IFNA(IF(IFERROR(IF(FIND("_",$B165)&gt;0,MID($B165,FIND("_",$B165)+1,LEN($B165)),IF(FIND("-",$B165)&gt;0,MID($B165,FIND("-",$B165)+1,LEN($B165)))),"")="",IFERROR(VLOOKUP($F165,WP!$B$2:$C$23,2,0),VLOOKUP($C165,Series!$A$3:$F$11,6,0)),IFERROR(VLOOKUP($F165,WP!$B$2:$C$23,2,0),VLOOKUP($C165,Series!$A$3:$F$11,6,0))&amp;" - "&amp;(IFERROR(IF(FIND("_",$B165)&gt;0,MID($B165,FIND("_",$B165)+1,LEN($B165)),IF(FIND("-",$B165)&gt;0,MID($B165,FIND("-",$B165)+1,LEN($B165)))),""))),""),LEFT((_xlfn.IFNA(IF(IFERROR(IF(FIND("_",$B165)&gt;0,MID($B165,FIND("_",$B165)+1,LEN($B165)),IF(FIND("-",$B165)&gt;0,MID($B165,FIND("-",$B165)+1,LEN($B165)))),"")="",IFERROR(VLOOKUP($F165,WP!$B$2:$C$23,2,0),VLOOKUP($C165,Series!$A$3:$F$11,6,0)),IFERROR(VLOOKUP($F165,WP!$B$2:$C$23,2,0),VLOOKUP($C165,Series!$A$3:$F$11,6,0))&amp;" - "&amp;(IFERROR(IF(FIND("_",$B165)&gt;0,MID($B165,FIND("_",$B165)+1,LEN($B165)),IF(FIND("-",$B165)&gt;0,MID($B165,FIND("-",$B165)+1,LEN($B165)))),""))),"")),64))</f>
        <v/>
      </c>
      <c r="H165" s="12"/>
      <c r="I165" s="12" t="str">
        <f>IF($D165&lt;&gt;"",COUNTIF($D$7:$D165,"="&amp;$D165),"")</f>
        <v/>
      </c>
      <c r="J165"/>
      <c r="K165" s="8"/>
      <c r="L165"/>
    </row>
    <row r="166" spans="1:12" x14ac:dyDescent="0.3">
      <c r="A166" s="1"/>
      <c r="B166" s="26"/>
      <c r="C166" s="12" t="str">
        <f>_xlfn.IFNA(IFERROR(IF(FIND("_",$B166)&gt;0,INDEX(WP!$A$2:$F$23,MATCH(LEFT($B166,FIND("_",$B166)-1),WP!$E$2:$E$23,0),1),IF(FIND("-",$B166)&gt;0,INDEX(WP!$A$2:$F$23,MATCH(LEFT($B166,FIND("_",$B166)-1),WP!$E$2:$E$23,0),1))),INDEX(WP!$A$2:$F$23,MATCH(Results!$B166,WP!$E$2:$E$23,0),1)),"")</f>
        <v/>
      </c>
      <c r="D166" s="12" t="str">
        <f>IFERROR(IFERROR(IF(RIGHT(INDEX(WP!$A$2:$F$23,MATCH(IF(FIND("_",$B166)&gt;0,LEFT($B166,FIND("_",$B166)-1)),WP!$E$2:$E$23,0),2),6)="Series",LEFT(INDEX(WP!$A$2:$F$23,MATCH(IF(FIND("_",$B166)&gt;0,LEFT($B166,FIND("_",$B166)-1)),WP!$E$2:$E$23,0),2),5),""),IF(RIGHT(INDEX(WP!$A$2:$F$23,MATCH($B166,WP!$E$2:$E$23,0),2),6)="Series",LEFT(INDEX(WP!$A$2:$F$23,MATCH($B166,WP!$E$2:$E$23,0),2),5),"")),"")</f>
        <v/>
      </c>
      <c r="E166" s="17" t="str">
        <f>IFERROR(VLOOKUP(VALUE($D166),Series!$B$3:$F$11,2,0),"")</f>
        <v/>
      </c>
      <c r="F166" s="12" t="str">
        <f>_xlfn.IFNA(IF(IF($D166&lt;&gt;"",COUNTIF($E:$E,"="&amp;$D166),"")="",IF(RIGHT(IFERROR(IF(FIND("_",$B166)&gt;0,INDEX(WP!$A$2:$F$23,MATCH(LEFT($B166,FIND("_",$B166)-1),WP!$E$2:$E$23,0),2),IF(FIND("-",$B166)&gt;0,INDEX(WP!$A$2:$F$23,MATCH(LEFT($B166,FIND("_",$B166)-1),WP!$E$2:$E$23,0),2))),INDEX(WP!$A$2:$F$23,MATCH(Results!$B166,WP!$E$2:$E$23,0),2)),6)="Series",LEFT(IFERROR(IF(FIND("_",$B166)&gt;0,INDEX(WP!$A$2:$F$23,MATCH(LEFT($B166,FIND("_",$B166)-1),WP!$E$2:$E$23,0),2),IF(FIND("-",$B166)&gt;0,INDEX(WP!$A$2:$F$23,MATCH(LEFT($B166,FIND("_",$B166)-1),WP!$E$2:$E$23,0),2))),INDEX(WP!$A$2:$F$23,MATCH(Results!$B166,WP!$E$2:$E$23,0),2)),5),(IFERROR(IF(FIND("_",$B166)&gt;0,INDEX(WP!$A$2:$F$23,MATCH(LEFT($B166,FIND("_",$B166)-1),WP!$E$2:$E$23,0),2),IF(FIND("-",$B166)&gt;0,INDEX(WP!$A$2:$F$23,MATCH(LEFT($B166,FIND("_",$B166)-1),WP!$E$2:$E$23,0),2))),INDEX(WP!$A$2:$F$23,MATCH(Results!$B166,WP!$E$2:$E$23,0),2)))),IF(RIGHT(IFERROR(IF(FIND("_",$B166)&gt;0,INDEX(WP!$A$2:$F$23,MATCH(LEFT($B166,FIND("_",$B166)-1),WP!$E$2:$E$23,0),2),IF(FIND("-",$B166)&gt;0,INDEX(WP!$A$2:$F$23,MATCH(LEFT($B166,FIND("_",$B166)-1),WP!$E$2:$E$23,0),2))),INDEX(WP!$A$2:$F$23,MATCH(Results!$B166,WP!$E$2:$E$23,0),2)),6)="Series",LEFT(IFERROR(IF(FIND("_",$B166)&gt;0,INDEX(WP!$A$2:$F$23,MATCH(LEFT($B166,FIND("_",$B166)-1),WP!$E$2:$E$23,0),2),IF(FIND("-",$B166)&gt;0,INDEX(WP!$A$2:$F$23,MATCH(LEFT($B166,FIND("_",$B166)-1),WP!$E$2:$E$23,0),2))),INDEX(WP!$A$2:$F$23,MATCH(Results!$B166,WP!$E$2:$E$23,0),2)),5),(IFERROR(IF(FIND("_",$B166)&gt;0,INDEX(WP!$A$2:$F$23,MATCH(LEFT($B166,FIND("_",$B166)-1),WP!$E$2:$E$23,0),2),IF(FIND("-",$B166)&gt;0,INDEX(WP!$A$2:$F$23,MATCH(LEFT($B166,FIND("_",$B166)-1),WP!$E$2:$E$23,0),2))),INDEX(WP!$A$2:$F$23,MATCH(Results!$B166,WP!$E$2:$E$23,0),2))))&amp;"-"&amp;$I166),"")</f>
        <v/>
      </c>
      <c r="G166" s="17" t="str">
        <f>IF(LEN(_xlfn.IFNA(IF(IFERROR(IF(FIND("_",$B166)&gt;0,MID($B166,FIND("_",$B166)+1,LEN($B166)),IF(FIND("-",$B166)&gt;0,MID($B166,FIND("-",$B166)+1,LEN($B166)))),"")="",IFERROR(VLOOKUP($F166,WP!$B$2:$C$23,2,0),VLOOKUP($C166,Series!$A$3:$F$11,6,0)),IFERROR(VLOOKUP($F166,WP!$B$2:$C$23,2,0),VLOOKUP($C166,Series!$A$3:$F$11,6,0))&amp;" - "&amp;(IFERROR(IF(FIND("_",$B166)&gt;0,MID($B166,FIND("_",$B166)+1,LEN($B166)),IF(FIND("-",$B166)&gt;0,MID($B166,FIND("-",$B166)+1,LEN($B166)))),""))),""))&lt;64,_xlfn.IFNA(IF(IFERROR(IF(FIND("_",$B166)&gt;0,MID($B166,FIND("_",$B166)+1,LEN($B166)),IF(FIND("-",$B166)&gt;0,MID($B166,FIND("-",$B166)+1,LEN($B166)))),"")="",IFERROR(VLOOKUP($F166,WP!$B$2:$C$23,2,0),VLOOKUP($C166,Series!$A$3:$F$11,6,0)),IFERROR(VLOOKUP($F166,WP!$B$2:$C$23,2,0),VLOOKUP($C166,Series!$A$3:$F$11,6,0))&amp;" - "&amp;(IFERROR(IF(FIND("_",$B166)&gt;0,MID($B166,FIND("_",$B166)+1,LEN($B166)),IF(FIND("-",$B166)&gt;0,MID($B166,FIND("-",$B166)+1,LEN($B166)))),""))),""),LEFT((_xlfn.IFNA(IF(IFERROR(IF(FIND("_",$B166)&gt;0,MID($B166,FIND("_",$B166)+1,LEN($B166)),IF(FIND("-",$B166)&gt;0,MID($B166,FIND("-",$B166)+1,LEN($B166)))),"")="",IFERROR(VLOOKUP($F166,WP!$B$2:$C$23,2,0),VLOOKUP($C166,Series!$A$3:$F$11,6,0)),IFERROR(VLOOKUP($F166,WP!$B$2:$C$23,2,0),VLOOKUP($C166,Series!$A$3:$F$11,6,0))&amp;" - "&amp;(IFERROR(IF(FIND("_",$B166)&gt;0,MID($B166,FIND("_",$B166)+1,LEN($B166)),IF(FIND("-",$B166)&gt;0,MID($B166,FIND("-",$B166)+1,LEN($B166)))),""))),"")),64))</f>
        <v/>
      </c>
      <c r="H166" s="12"/>
      <c r="I166" s="12" t="str">
        <f>IF($D166&lt;&gt;"",COUNTIF($D$7:$D166,"="&amp;$D166),"")</f>
        <v/>
      </c>
      <c r="J166"/>
      <c r="K166" s="8"/>
      <c r="L166"/>
    </row>
    <row r="167" spans="1:12" x14ac:dyDescent="0.3">
      <c r="A167" s="1"/>
      <c r="B167" s="26"/>
      <c r="C167" s="12" t="str">
        <f>_xlfn.IFNA(IFERROR(IF(FIND("_",$B167)&gt;0,INDEX(WP!$A$2:$F$23,MATCH(LEFT($B167,FIND("_",$B167)-1),WP!$E$2:$E$23,0),1),IF(FIND("-",$B167)&gt;0,INDEX(WP!$A$2:$F$23,MATCH(LEFT($B167,FIND("_",$B167)-1),WP!$E$2:$E$23,0),1))),INDEX(WP!$A$2:$F$23,MATCH(Results!$B167,WP!$E$2:$E$23,0),1)),"")</f>
        <v/>
      </c>
      <c r="D167" s="12" t="str">
        <f>IFERROR(IFERROR(IF(RIGHT(INDEX(WP!$A$2:$F$23,MATCH(IF(FIND("_",$B167)&gt;0,LEFT($B167,FIND("_",$B167)-1)),WP!$E$2:$E$23,0),2),6)="Series",LEFT(INDEX(WP!$A$2:$F$23,MATCH(IF(FIND("_",$B167)&gt;0,LEFT($B167,FIND("_",$B167)-1)),WP!$E$2:$E$23,0),2),5),""),IF(RIGHT(INDEX(WP!$A$2:$F$23,MATCH($B167,WP!$E$2:$E$23,0),2),6)="Series",LEFT(INDEX(WP!$A$2:$F$23,MATCH($B167,WP!$E$2:$E$23,0),2),5),"")),"")</f>
        <v/>
      </c>
      <c r="E167" s="17" t="str">
        <f>IFERROR(VLOOKUP(VALUE($D167),Series!$B$3:$F$11,2,0),"")</f>
        <v/>
      </c>
      <c r="F167" s="12" t="str">
        <f>_xlfn.IFNA(IF(IF($D167&lt;&gt;"",COUNTIF($E:$E,"="&amp;$D167),"")="",IF(RIGHT(IFERROR(IF(FIND("_",$B167)&gt;0,INDEX(WP!$A$2:$F$23,MATCH(LEFT($B167,FIND("_",$B167)-1),WP!$E$2:$E$23,0),2),IF(FIND("-",$B167)&gt;0,INDEX(WP!$A$2:$F$23,MATCH(LEFT($B167,FIND("_",$B167)-1),WP!$E$2:$E$23,0),2))),INDEX(WP!$A$2:$F$23,MATCH(Results!$B167,WP!$E$2:$E$23,0),2)),6)="Series",LEFT(IFERROR(IF(FIND("_",$B167)&gt;0,INDEX(WP!$A$2:$F$23,MATCH(LEFT($B167,FIND("_",$B167)-1),WP!$E$2:$E$23,0),2),IF(FIND("-",$B167)&gt;0,INDEX(WP!$A$2:$F$23,MATCH(LEFT($B167,FIND("_",$B167)-1),WP!$E$2:$E$23,0),2))),INDEX(WP!$A$2:$F$23,MATCH(Results!$B167,WP!$E$2:$E$23,0),2)),5),(IFERROR(IF(FIND("_",$B167)&gt;0,INDEX(WP!$A$2:$F$23,MATCH(LEFT($B167,FIND("_",$B167)-1),WP!$E$2:$E$23,0),2),IF(FIND("-",$B167)&gt;0,INDEX(WP!$A$2:$F$23,MATCH(LEFT($B167,FIND("_",$B167)-1),WP!$E$2:$E$23,0),2))),INDEX(WP!$A$2:$F$23,MATCH(Results!$B167,WP!$E$2:$E$23,0),2)))),IF(RIGHT(IFERROR(IF(FIND("_",$B167)&gt;0,INDEX(WP!$A$2:$F$23,MATCH(LEFT($B167,FIND("_",$B167)-1),WP!$E$2:$E$23,0),2),IF(FIND("-",$B167)&gt;0,INDEX(WP!$A$2:$F$23,MATCH(LEFT($B167,FIND("_",$B167)-1),WP!$E$2:$E$23,0),2))),INDEX(WP!$A$2:$F$23,MATCH(Results!$B167,WP!$E$2:$E$23,0),2)),6)="Series",LEFT(IFERROR(IF(FIND("_",$B167)&gt;0,INDEX(WP!$A$2:$F$23,MATCH(LEFT($B167,FIND("_",$B167)-1),WP!$E$2:$E$23,0),2),IF(FIND("-",$B167)&gt;0,INDEX(WP!$A$2:$F$23,MATCH(LEFT($B167,FIND("_",$B167)-1),WP!$E$2:$E$23,0),2))),INDEX(WP!$A$2:$F$23,MATCH(Results!$B167,WP!$E$2:$E$23,0),2)),5),(IFERROR(IF(FIND("_",$B167)&gt;0,INDEX(WP!$A$2:$F$23,MATCH(LEFT($B167,FIND("_",$B167)-1),WP!$E$2:$E$23,0),2),IF(FIND("-",$B167)&gt;0,INDEX(WP!$A$2:$F$23,MATCH(LEFT($B167,FIND("_",$B167)-1),WP!$E$2:$E$23,0),2))),INDEX(WP!$A$2:$F$23,MATCH(Results!$B167,WP!$E$2:$E$23,0),2))))&amp;"-"&amp;$I167),"")</f>
        <v/>
      </c>
      <c r="G167" s="17" t="str">
        <f>IF(LEN(_xlfn.IFNA(IF(IFERROR(IF(FIND("_",$B167)&gt;0,MID($B167,FIND("_",$B167)+1,LEN($B167)),IF(FIND("-",$B167)&gt;0,MID($B167,FIND("-",$B167)+1,LEN($B167)))),"")="",IFERROR(VLOOKUP($F167,WP!$B$2:$C$23,2,0),VLOOKUP($C167,Series!$A$3:$F$11,6,0)),IFERROR(VLOOKUP($F167,WP!$B$2:$C$23,2,0),VLOOKUP($C167,Series!$A$3:$F$11,6,0))&amp;" - "&amp;(IFERROR(IF(FIND("_",$B167)&gt;0,MID($B167,FIND("_",$B167)+1,LEN($B167)),IF(FIND("-",$B167)&gt;0,MID($B167,FIND("-",$B167)+1,LEN($B167)))),""))),""))&lt;64,_xlfn.IFNA(IF(IFERROR(IF(FIND("_",$B167)&gt;0,MID($B167,FIND("_",$B167)+1,LEN($B167)),IF(FIND("-",$B167)&gt;0,MID($B167,FIND("-",$B167)+1,LEN($B167)))),"")="",IFERROR(VLOOKUP($F167,WP!$B$2:$C$23,2,0),VLOOKUP($C167,Series!$A$3:$F$11,6,0)),IFERROR(VLOOKUP($F167,WP!$B$2:$C$23,2,0),VLOOKUP($C167,Series!$A$3:$F$11,6,0))&amp;" - "&amp;(IFERROR(IF(FIND("_",$B167)&gt;0,MID($B167,FIND("_",$B167)+1,LEN($B167)),IF(FIND("-",$B167)&gt;0,MID($B167,FIND("-",$B167)+1,LEN($B167)))),""))),""),LEFT((_xlfn.IFNA(IF(IFERROR(IF(FIND("_",$B167)&gt;0,MID($B167,FIND("_",$B167)+1,LEN($B167)),IF(FIND("-",$B167)&gt;0,MID($B167,FIND("-",$B167)+1,LEN($B167)))),"")="",IFERROR(VLOOKUP($F167,WP!$B$2:$C$23,2,0),VLOOKUP($C167,Series!$A$3:$F$11,6,0)),IFERROR(VLOOKUP($F167,WP!$B$2:$C$23,2,0),VLOOKUP($C167,Series!$A$3:$F$11,6,0))&amp;" - "&amp;(IFERROR(IF(FIND("_",$B167)&gt;0,MID($B167,FIND("_",$B167)+1,LEN($B167)),IF(FIND("-",$B167)&gt;0,MID($B167,FIND("-",$B167)+1,LEN($B167)))),""))),"")),64))</f>
        <v/>
      </c>
      <c r="H167" s="12"/>
      <c r="I167" s="12" t="str">
        <f>IF($D167&lt;&gt;"",COUNTIF($D$7:$D167,"="&amp;$D167),"")</f>
        <v/>
      </c>
      <c r="J167"/>
      <c r="K167" s="8"/>
      <c r="L167"/>
    </row>
    <row r="168" spans="1:12" x14ac:dyDescent="0.3">
      <c r="A168" s="1"/>
      <c r="B168" s="26"/>
      <c r="C168" s="12" t="str">
        <f>_xlfn.IFNA(IFERROR(IF(FIND("_",$B168)&gt;0,INDEX(WP!$A$2:$F$23,MATCH(LEFT($B168,FIND("_",$B168)-1),WP!$E$2:$E$23,0),1),IF(FIND("-",$B168)&gt;0,INDEX(WP!$A$2:$F$23,MATCH(LEFT($B168,FIND("_",$B168)-1),WP!$E$2:$E$23,0),1))),INDEX(WP!$A$2:$F$23,MATCH(Results!$B168,WP!$E$2:$E$23,0),1)),"")</f>
        <v/>
      </c>
      <c r="D168" s="12" t="str">
        <f>IFERROR(IFERROR(IF(RIGHT(INDEX(WP!$A$2:$F$23,MATCH(IF(FIND("_",$B168)&gt;0,LEFT($B168,FIND("_",$B168)-1)),WP!$E$2:$E$23,0),2),6)="Series",LEFT(INDEX(WP!$A$2:$F$23,MATCH(IF(FIND("_",$B168)&gt;0,LEFT($B168,FIND("_",$B168)-1)),WP!$E$2:$E$23,0),2),5),""),IF(RIGHT(INDEX(WP!$A$2:$F$23,MATCH($B168,WP!$E$2:$E$23,0),2),6)="Series",LEFT(INDEX(WP!$A$2:$F$23,MATCH($B168,WP!$E$2:$E$23,0),2),5),"")),"")</f>
        <v/>
      </c>
      <c r="E168" s="17" t="str">
        <f>IFERROR(VLOOKUP(VALUE($D168),Series!$B$3:$F$11,2,0),"")</f>
        <v/>
      </c>
      <c r="F168" s="12" t="str">
        <f>_xlfn.IFNA(IF(IF($D168&lt;&gt;"",COUNTIF($E:$E,"="&amp;$D168),"")="",IF(RIGHT(IFERROR(IF(FIND("_",$B168)&gt;0,INDEX(WP!$A$2:$F$23,MATCH(LEFT($B168,FIND("_",$B168)-1),WP!$E$2:$E$23,0),2),IF(FIND("-",$B168)&gt;0,INDEX(WP!$A$2:$F$23,MATCH(LEFT($B168,FIND("_",$B168)-1),WP!$E$2:$E$23,0),2))),INDEX(WP!$A$2:$F$23,MATCH(Results!$B168,WP!$E$2:$E$23,0),2)),6)="Series",LEFT(IFERROR(IF(FIND("_",$B168)&gt;0,INDEX(WP!$A$2:$F$23,MATCH(LEFT($B168,FIND("_",$B168)-1),WP!$E$2:$E$23,0),2),IF(FIND("-",$B168)&gt;0,INDEX(WP!$A$2:$F$23,MATCH(LEFT($B168,FIND("_",$B168)-1),WP!$E$2:$E$23,0),2))),INDEX(WP!$A$2:$F$23,MATCH(Results!$B168,WP!$E$2:$E$23,0),2)),5),(IFERROR(IF(FIND("_",$B168)&gt;0,INDEX(WP!$A$2:$F$23,MATCH(LEFT($B168,FIND("_",$B168)-1),WP!$E$2:$E$23,0),2),IF(FIND("-",$B168)&gt;0,INDEX(WP!$A$2:$F$23,MATCH(LEFT($B168,FIND("_",$B168)-1),WP!$E$2:$E$23,0),2))),INDEX(WP!$A$2:$F$23,MATCH(Results!$B168,WP!$E$2:$E$23,0),2)))),IF(RIGHT(IFERROR(IF(FIND("_",$B168)&gt;0,INDEX(WP!$A$2:$F$23,MATCH(LEFT($B168,FIND("_",$B168)-1),WP!$E$2:$E$23,0),2),IF(FIND("-",$B168)&gt;0,INDEX(WP!$A$2:$F$23,MATCH(LEFT($B168,FIND("_",$B168)-1),WP!$E$2:$E$23,0),2))),INDEX(WP!$A$2:$F$23,MATCH(Results!$B168,WP!$E$2:$E$23,0),2)),6)="Series",LEFT(IFERROR(IF(FIND("_",$B168)&gt;0,INDEX(WP!$A$2:$F$23,MATCH(LEFT($B168,FIND("_",$B168)-1),WP!$E$2:$E$23,0),2),IF(FIND("-",$B168)&gt;0,INDEX(WP!$A$2:$F$23,MATCH(LEFT($B168,FIND("_",$B168)-1),WP!$E$2:$E$23,0),2))),INDEX(WP!$A$2:$F$23,MATCH(Results!$B168,WP!$E$2:$E$23,0),2)),5),(IFERROR(IF(FIND("_",$B168)&gt;0,INDEX(WP!$A$2:$F$23,MATCH(LEFT($B168,FIND("_",$B168)-1),WP!$E$2:$E$23,0),2),IF(FIND("-",$B168)&gt;0,INDEX(WP!$A$2:$F$23,MATCH(LEFT($B168,FIND("_",$B168)-1),WP!$E$2:$E$23,0),2))),INDEX(WP!$A$2:$F$23,MATCH(Results!$B168,WP!$E$2:$E$23,0),2))))&amp;"-"&amp;$I168),"")</f>
        <v/>
      </c>
      <c r="G168" s="17" t="str">
        <f>IF(LEN(_xlfn.IFNA(IF(IFERROR(IF(FIND("_",$B168)&gt;0,MID($B168,FIND("_",$B168)+1,LEN($B168)),IF(FIND("-",$B168)&gt;0,MID($B168,FIND("-",$B168)+1,LEN($B168)))),"")="",IFERROR(VLOOKUP($F168,WP!$B$2:$C$23,2,0),VLOOKUP($C168,Series!$A$3:$F$11,6,0)),IFERROR(VLOOKUP($F168,WP!$B$2:$C$23,2,0),VLOOKUP($C168,Series!$A$3:$F$11,6,0))&amp;" - "&amp;(IFERROR(IF(FIND("_",$B168)&gt;0,MID($B168,FIND("_",$B168)+1,LEN($B168)),IF(FIND("-",$B168)&gt;0,MID($B168,FIND("-",$B168)+1,LEN($B168)))),""))),""))&lt;64,_xlfn.IFNA(IF(IFERROR(IF(FIND("_",$B168)&gt;0,MID($B168,FIND("_",$B168)+1,LEN($B168)),IF(FIND("-",$B168)&gt;0,MID($B168,FIND("-",$B168)+1,LEN($B168)))),"")="",IFERROR(VLOOKUP($F168,WP!$B$2:$C$23,2,0),VLOOKUP($C168,Series!$A$3:$F$11,6,0)),IFERROR(VLOOKUP($F168,WP!$B$2:$C$23,2,0),VLOOKUP($C168,Series!$A$3:$F$11,6,0))&amp;" - "&amp;(IFERROR(IF(FIND("_",$B168)&gt;0,MID($B168,FIND("_",$B168)+1,LEN($B168)),IF(FIND("-",$B168)&gt;0,MID($B168,FIND("-",$B168)+1,LEN($B168)))),""))),""),LEFT((_xlfn.IFNA(IF(IFERROR(IF(FIND("_",$B168)&gt;0,MID($B168,FIND("_",$B168)+1,LEN($B168)),IF(FIND("-",$B168)&gt;0,MID($B168,FIND("-",$B168)+1,LEN($B168)))),"")="",IFERROR(VLOOKUP($F168,WP!$B$2:$C$23,2,0),VLOOKUP($C168,Series!$A$3:$F$11,6,0)),IFERROR(VLOOKUP($F168,WP!$B$2:$C$23,2,0),VLOOKUP($C168,Series!$A$3:$F$11,6,0))&amp;" - "&amp;(IFERROR(IF(FIND("_",$B168)&gt;0,MID($B168,FIND("_",$B168)+1,LEN($B168)),IF(FIND("-",$B168)&gt;0,MID($B168,FIND("-",$B168)+1,LEN($B168)))),""))),"")),64))</f>
        <v/>
      </c>
      <c r="H168" s="12"/>
      <c r="I168" s="12" t="str">
        <f>IF($D168&lt;&gt;"",COUNTIF($D$7:$D168,"="&amp;$D168),"")</f>
        <v/>
      </c>
      <c r="J168"/>
      <c r="K168" s="8"/>
      <c r="L168"/>
    </row>
    <row r="169" spans="1:12" x14ac:dyDescent="0.3">
      <c r="A169" s="1"/>
      <c r="B169" s="26"/>
      <c r="C169" s="12" t="str">
        <f>_xlfn.IFNA(IFERROR(IF(FIND("_",$B169)&gt;0,INDEX(WP!$A$2:$F$23,MATCH(LEFT($B169,FIND("_",$B169)-1),WP!$E$2:$E$23,0),1),IF(FIND("-",$B169)&gt;0,INDEX(WP!$A$2:$F$23,MATCH(LEFT($B169,FIND("_",$B169)-1),WP!$E$2:$E$23,0),1))),INDEX(WP!$A$2:$F$23,MATCH(Results!$B169,WP!$E$2:$E$23,0),1)),"")</f>
        <v/>
      </c>
      <c r="D169" s="12" t="str">
        <f>IFERROR(IFERROR(IF(RIGHT(INDEX(WP!$A$2:$F$23,MATCH(IF(FIND("_",$B169)&gt;0,LEFT($B169,FIND("_",$B169)-1)),WP!$E$2:$E$23,0),2),6)="Series",LEFT(INDEX(WP!$A$2:$F$23,MATCH(IF(FIND("_",$B169)&gt;0,LEFT($B169,FIND("_",$B169)-1)),WP!$E$2:$E$23,0),2),5),""),IF(RIGHT(INDEX(WP!$A$2:$F$23,MATCH($B169,WP!$E$2:$E$23,0),2),6)="Series",LEFT(INDEX(WP!$A$2:$F$23,MATCH($B169,WP!$E$2:$E$23,0),2),5),"")),"")</f>
        <v/>
      </c>
      <c r="E169" s="17" t="str">
        <f>IFERROR(VLOOKUP(VALUE($D169),Series!$B$3:$F$11,2,0),"")</f>
        <v/>
      </c>
      <c r="F169" s="12" t="str">
        <f>_xlfn.IFNA(IF(IF($D169&lt;&gt;"",COUNTIF($E:$E,"="&amp;$D169),"")="",IF(RIGHT(IFERROR(IF(FIND("_",$B169)&gt;0,INDEX(WP!$A$2:$F$23,MATCH(LEFT($B169,FIND("_",$B169)-1),WP!$E$2:$E$23,0),2),IF(FIND("-",$B169)&gt;0,INDEX(WP!$A$2:$F$23,MATCH(LEFT($B169,FIND("_",$B169)-1),WP!$E$2:$E$23,0),2))),INDEX(WP!$A$2:$F$23,MATCH(Results!$B169,WP!$E$2:$E$23,0),2)),6)="Series",LEFT(IFERROR(IF(FIND("_",$B169)&gt;0,INDEX(WP!$A$2:$F$23,MATCH(LEFT($B169,FIND("_",$B169)-1),WP!$E$2:$E$23,0),2),IF(FIND("-",$B169)&gt;0,INDEX(WP!$A$2:$F$23,MATCH(LEFT($B169,FIND("_",$B169)-1),WP!$E$2:$E$23,0),2))),INDEX(WP!$A$2:$F$23,MATCH(Results!$B169,WP!$E$2:$E$23,0),2)),5),(IFERROR(IF(FIND("_",$B169)&gt;0,INDEX(WP!$A$2:$F$23,MATCH(LEFT($B169,FIND("_",$B169)-1),WP!$E$2:$E$23,0),2),IF(FIND("-",$B169)&gt;0,INDEX(WP!$A$2:$F$23,MATCH(LEFT($B169,FIND("_",$B169)-1),WP!$E$2:$E$23,0),2))),INDEX(WP!$A$2:$F$23,MATCH(Results!$B169,WP!$E$2:$E$23,0),2)))),IF(RIGHT(IFERROR(IF(FIND("_",$B169)&gt;0,INDEX(WP!$A$2:$F$23,MATCH(LEFT($B169,FIND("_",$B169)-1),WP!$E$2:$E$23,0),2),IF(FIND("-",$B169)&gt;0,INDEX(WP!$A$2:$F$23,MATCH(LEFT($B169,FIND("_",$B169)-1),WP!$E$2:$E$23,0),2))),INDEX(WP!$A$2:$F$23,MATCH(Results!$B169,WP!$E$2:$E$23,0),2)),6)="Series",LEFT(IFERROR(IF(FIND("_",$B169)&gt;0,INDEX(WP!$A$2:$F$23,MATCH(LEFT($B169,FIND("_",$B169)-1),WP!$E$2:$E$23,0),2),IF(FIND("-",$B169)&gt;0,INDEX(WP!$A$2:$F$23,MATCH(LEFT($B169,FIND("_",$B169)-1),WP!$E$2:$E$23,0),2))),INDEX(WP!$A$2:$F$23,MATCH(Results!$B169,WP!$E$2:$E$23,0),2)),5),(IFERROR(IF(FIND("_",$B169)&gt;0,INDEX(WP!$A$2:$F$23,MATCH(LEFT($B169,FIND("_",$B169)-1),WP!$E$2:$E$23,0),2),IF(FIND("-",$B169)&gt;0,INDEX(WP!$A$2:$F$23,MATCH(LEFT($B169,FIND("_",$B169)-1),WP!$E$2:$E$23,0),2))),INDEX(WP!$A$2:$F$23,MATCH(Results!$B169,WP!$E$2:$E$23,0),2))))&amp;"-"&amp;$I169),"")</f>
        <v/>
      </c>
      <c r="G169" s="17" t="str">
        <f>IF(LEN(_xlfn.IFNA(IF(IFERROR(IF(FIND("_",$B169)&gt;0,MID($B169,FIND("_",$B169)+1,LEN($B169)),IF(FIND("-",$B169)&gt;0,MID($B169,FIND("-",$B169)+1,LEN($B169)))),"")="",IFERROR(VLOOKUP($F169,WP!$B$2:$C$23,2,0),VLOOKUP($C169,Series!$A$3:$F$11,6,0)),IFERROR(VLOOKUP($F169,WP!$B$2:$C$23,2,0),VLOOKUP($C169,Series!$A$3:$F$11,6,0))&amp;" - "&amp;(IFERROR(IF(FIND("_",$B169)&gt;0,MID($B169,FIND("_",$B169)+1,LEN($B169)),IF(FIND("-",$B169)&gt;0,MID($B169,FIND("-",$B169)+1,LEN($B169)))),""))),""))&lt;64,_xlfn.IFNA(IF(IFERROR(IF(FIND("_",$B169)&gt;0,MID($B169,FIND("_",$B169)+1,LEN($B169)),IF(FIND("-",$B169)&gt;0,MID($B169,FIND("-",$B169)+1,LEN($B169)))),"")="",IFERROR(VLOOKUP($F169,WP!$B$2:$C$23,2,0),VLOOKUP($C169,Series!$A$3:$F$11,6,0)),IFERROR(VLOOKUP($F169,WP!$B$2:$C$23,2,0),VLOOKUP($C169,Series!$A$3:$F$11,6,0))&amp;" - "&amp;(IFERROR(IF(FIND("_",$B169)&gt;0,MID($B169,FIND("_",$B169)+1,LEN($B169)),IF(FIND("-",$B169)&gt;0,MID($B169,FIND("-",$B169)+1,LEN($B169)))),""))),""),LEFT((_xlfn.IFNA(IF(IFERROR(IF(FIND("_",$B169)&gt;0,MID($B169,FIND("_",$B169)+1,LEN($B169)),IF(FIND("-",$B169)&gt;0,MID($B169,FIND("-",$B169)+1,LEN($B169)))),"")="",IFERROR(VLOOKUP($F169,WP!$B$2:$C$23,2,0),VLOOKUP($C169,Series!$A$3:$F$11,6,0)),IFERROR(VLOOKUP($F169,WP!$B$2:$C$23,2,0),VLOOKUP($C169,Series!$A$3:$F$11,6,0))&amp;" - "&amp;(IFERROR(IF(FIND("_",$B169)&gt;0,MID($B169,FIND("_",$B169)+1,LEN($B169)),IF(FIND("-",$B169)&gt;0,MID($B169,FIND("-",$B169)+1,LEN($B169)))),""))),"")),64))</f>
        <v/>
      </c>
      <c r="H169" s="12"/>
      <c r="I169" s="12" t="str">
        <f>IF($D169&lt;&gt;"",COUNTIF($D$7:$D169,"="&amp;$D169),"")</f>
        <v/>
      </c>
      <c r="J169"/>
      <c r="K169" s="8"/>
      <c r="L169"/>
    </row>
    <row r="170" spans="1:12" x14ac:dyDescent="0.3">
      <c r="A170" s="1"/>
      <c r="B170" s="26"/>
      <c r="C170" s="12" t="str">
        <f>_xlfn.IFNA(IFERROR(IF(FIND("_",$B170)&gt;0,INDEX(WP!$A$2:$F$23,MATCH(LEFT($B170,FIND("_",$B170)-1),WP!$E$2:$E$23,0),1),IF(FIND("-",$B170)&gt;0,INDEX(WP!$A$2:$F$23,MATCH(LEFT($B170,FIND("_",$B170)-1),WP!$E$2:$E$23,0),1))),INDEX(WP!$A$2:$F$23,MATCH(Results!$B170,WP!$E$2:$E$23,0),1)),"")</f>
        <v/>
      </c>
      <c r="D170" s="12" t="str">
        <f>IFERROR(IFERROR(IF(RIGHT(INDEX(WP!$A$2:$F$23,MATCH(IF(FIND("_",$B170)&gt;0,LEFT($B170,FIND("_",$B170)-1)),WP!$E$2:$E$23,0),2),6)="Series",LEFT(INDEX(WP!$A$2:$F$23,MATCH(IF(FIND("_",$B170)&gt;0,LEFT($B170,FIND("_",$B170)-1)),WP!$E$2:$E$23,0),2),5),""),IF(RIGHT(INDEX(WP!$A$2:$F$23,MATCH($B170,WP!$E$2:$E$23,0),2),6)="Series",LEFT(INDEX(WP!$A$2:$F$23,MATCH($B170,WP!$E$2:$E$23,0),2),5),"")),"")</f>
        <v/>
      </c>
      <c r="E170" s="17" t="str">
        <f>IFERROR(VLOOKUP(VALUE($D170),Series!$B$3:$F$11,2,0),"")</f>
        <v/>
      </c>
      <c r="F170" s="12" t="str">
        <f>_xlfn.IFNA(IF(IF($D170&lt;&gt;"",COUNTIF($E:$E,"="&amp;$D170),"")="",IF(RIGHT(IFERROR(IF(FIND("_",$B170)&gt;0,INDEX(WP!$A$2:$F$23,MATCH(LEFT($B170,FIND("_",$B170)-1),WP!$E$2:$E$23,0),2),IF(FIND("-",$B170)&gt;0,INDEX(WP!$A$2:$F$23,MATCH(LEFT($B170,FIND("_",$B170)-1),WP!$E$2:$E$23,0),2))),INDEX(WP!$A$2:$F$23,MATCH(Results!$B170,WP!$E$2:$E$23,0),2)),6)="Series",LEFT(IFERROR(IF(FIND("_",$B170)&gt;0,INDEX(WP!$A$2:$F$23,MATCH(LEFT($B170,FIND("_",$B170)-1),WP!$E$2:$E$23,0),2),IF(FIND("-",$B170)&gt;0,INDEX(WP!$A$2:$F$23,MATCH(LEFT($B170,FIND("_",$B170)-1),WP!$E$2:$E$23,0),2))),INDEX(WP!$A$2:$F$23,MATCH(Results!$B170,WP!$E$2:$E$23,0),2)),5),(IFERROR(IF(FIND("_",$B170)&gt;0,INDEX(WP!$A$2:$F$23,MATCH(LEFT($B170,FIND("_",$B170)-1),WP!$E$2:$E$23,0),2),IF(FIND("-",$B170)&gt;0,INDEX(WP!$A$2:$F$23,MATCH(LEFT($B170,FIND("_",$B170)-1),WP!$E$2:$E$23,0),2))),INDEX(WP!$A$2:$F$23,MATCH(Results!$B170,WP!$E$2:$E$23,0),2)))),IF(RIGHT(IFERROR(IF(FIND("_",$B170)&gt;0,INDEX(WP!$A$2:$F$23,MATCH(LEFT($B170,FIND("_",$B170)-1),WP!$E$2:$E$23,0),2),IF(FIND("-",$B170)&gt;0,INDEX(WP!$A$2:$F$23,MATCH(LEFT($B170,FIND("_",$B170)-1),WP!$E$2:$E$23,0),2))),INDEX(WP!$A$2:$F$23,MATCH(Results!$B170,WP!$E$2:$E$23,0),2)),6)="Series",LEFT(IFERROR(IF(FIND("_",$B170)&gt;0,INDEX(WP!$A$2:$F$23,MATCH(LEFT($B170,FIND("_",$B170)-1),WP!$E$2:$E$23,0),2),IF(FIND("-",$B170)&gt;0,INDEX(WP!$A$2:$F$23,MATCH(LEFT($B170,FIND("_",$B170)-1),WP!$E$2:$E$23,0),2))),INDEX(WP!$A$2:$F$23,MATCH(Results!$B170,WP!$E$2:$E$23,0),2)),5),(IFERROR(IF(FIND("_",$B170)&gt;0,INDEX(WP!$A$2:$F$23,MATCH(LEFT($B170,FIND("_",$B170)-1),WP!$E$2:$E$23,0),2),IF(FIND("-",$B170)&gt;0,INDEX(WP!$A$2:$F$23,MATCH(LEFT($B170,FIND("_",$B170)-1),WP!$E$2:$E$23,0),2))),INDEX(WP!$A$2:$F$23,MATCH(Results!$B170,WP!$E$2:$E$23,0),2))))&amp;"-"&amp;$I170),"")</f>
        <v/>
      </c>
      <c r="G170" s="17" t="str">
        <f>IF(LEN(_xlfn.IFNA(IF(IFERROR(IF(FIND("_",$B170)&gt;0,MID($B170,FIND("_",$B170)+1,LEN($B170)),IF(FIND("-",$B170)&gt;0,MID($B170,FIND("-",$B170)+1,LEN($B170)))),"")="",IFERROR(VLOOKUP($F170,WP!$B$2:$C$23,2,0),VLOOKUP($C170,Series!$A$3:$F$11,6,0)),IFERROR(VLOOKUP($F170,WP!$B$2:$C$23,2,0),VLOOKUP($C170,Series!$A$3:$F$11,6,0))&amp;" - "&amp;(IFERROR(IF(FIND("_",$B170)&gt;0,MID($B170,FIND("_",$B170)+1,LEN($B170)),IF(FIND("-",$B170)&gt;0,MID($B170,FIND("-",$B170)+1,LEN($B170)))),""))),""))&lt;64,_xlfn.IFNA(IF(IFERROR(IF(FIND("_",$B170)&gt;0,MID($B170,FIND("_",$B170)+1,LEN($B170)),IF(FIND("-",$B170)&gt;0,MID($B170,FIND("-",$B170)+1,LEN($B170)))),"")="",IFERROR(VLOOKUP($F170,WP!$B$2:$C$23,2,0),VLOOKUP($C170,Series!$A$3:$F$11,6,0)),IFERROR(VLOOKUP($F170,WP!$B$2:$C$23,2,0),VLOOKUP($C170,Series!$A$3:$F$11,6,0))&amp;" - "&amp;(IFERROR(IF(FIND("_",$B170)&gt;0,MID($B170,FIND("_",$B170)+1,LEN($B170)),IF(FIND("-",$B170)&gt;0,MID($B170,FIND("-",$B170)+1,LEN($B170)))),""))),""),LEFT((_xlfn.IFNA(IF(IFERROR(IF(FIND("_",$B170)&gt;0,MID($B170,FIND("_",$B170)+1,LEN($B170)),IF(FIND("-",$B170)&gt;0,MID($B170,FIND("-",$B170)+1,LEN($B170)))),"")="",IFERROR(VLOOKUP($F170,WP!$B$2:$C$23,2,0),VLOOKUP($C170,Series!$A$3:$F$11,6,0)),IFERROR(VLOOKUP($F170,WP!$B$2:$C$23,2,0),VLOOKUP($C170,Series!$A$3:$F$11,6,0))&amp;" - "&amp;(IFERROR(IF(FIND("_",$B170)&gt;0,MID($B170,FIND("_",$B170)+1,LEN($B170)),IF(FIND("-",$B170)&gt;0,MID($B170,FIND("-",$B170)+1,LEN($B170)))),""))),"")),64))</f>
        <v/>
      </c>
      <c r="H170" s="12"/>
      <c r="I170" s="12" t="str">
        <f>IF($D170&lt;&gt;"",COUNTIF($D$7:$D170,"="&amp;$D170),"")</f>
        <v/>
      </c>
      <c r="J170"/>
      <c r="K170" s="8"/>
      <c r="L170"/>
    </row>
    <row r="171" spans="1:12" x14ac:dyDescent="0.3">
      <c r="A171" s="1"/>
      <c r="B171" s="26"/>
      <c r="C171" s="12" t="str">
        <f>_xlfn.IFNA(IFERROR(IF(FIND("_",$B171)&gt;0,INDEX(WP!$A$2:$F$23,MATCH(LEFT($B171,FIND("_",$B171)-1),WP!$E$2:$E$23,0),1),IF(FIND("-",$B171)&gt;0,INDEX(WP!$A$2:$F$23,MATCH(LEFT($B171,FIND("_",$B171)-1),WP!$E$2:$E$23,0),1))),INDEX(WP!$A$2:$F$23,MATCH(Results!$B171,WP!$E$2:$E$23,0),1)),"")</f>
        <v/>
      </c>
      <c r="D171" s="12" t="str">
        <f>IFERROR(IFERROR(IF(RIGHT(INDEX(WP!$A$2:$F$23,MATCH(IF(FIND("_",$B171)&gt;0,LEFT($B171,FIND("_",$B171)-1)),WP!$E$2:$E$23,0),2),6)="Series",LEFT(INDEX(WP!$A$2:$F$23,MATCH(IF(FIND("_",$B171)&gt;0,LEFT($B171,FIND("_",$B171)-1)),WP!$E$2:$E$23,0),2),5),""),IF(RIGHT(INDEX(WP!$A$2:$F$23,MATCH($B171,WP!$E$2:$E$23,0),2),6)="Series",LEFT(INDEX(WP!$A$2:$F$23,MATCH($B171,WP!$E$2:$E$23,0),2),5),"")),"")</f>
        <v/>
      </c>
      <c r="E171" s="17" t="str">
        <f>IFERROR(VLOOKUP(VALUE($D171),Series!$B$3:$F$11,2,0),"")</f>
        <v/>
      </c>
      <c r="F171" s="12" t="str">
        <f>_xlfn.IFNA(IF(IF($D171&lt;&gt;"",COUNTIF($E:$E,"="&amp;$D171),"")="",IF(RIGHT(IFERROR(IF(FIND("_",$B171)&gt;0,INDEX(WP!$A$2:$F$23,MATCH(LEFT($B171,FIND("_",$B171)-1),WP!$E$2:$E$23,0),2),IF(FIND("-",$B171)&gt;0,INDEX(WP!$A$2:$F$23,MATCH(LEFT($B171,FIND("_",$B171)-1),WP!$E$2:$E$23,0),2))),INDEX(WP!$A$2:$F$23,MATCH(Results!$B171,WP!$E$2:$E$23,0),2)),6)="Series",LEFT(IFERROR(IF(FIND("_",$B171)&gt;0,INDEX(WP!$A$2:$F$23,MATCH(LEFT($B171,FIND("_",$B171)-1),WP!$E$2:$E$23,0),2),IF(FIND("-",$B171)&gt;0,INDEX(WP!$A$2:$F$23,MATCH(LEFT($B171,FIND("_",$B171)-1),WP!$E$2:$E$23,0),2))),INDEX(WP!$A$2:$F$23,MATCH(Results!$B171,WP!$E$2:$E$23,0),2)),5),(IFERROR(IF(FIND("_",$B171)&gt;0,INDEX(WP!$A$2:$F$23,MATCH(LEFT($B171,FIND("_",$B171)-1),WP!$E$2:$E$23,0),2),IF(FIND("-",$B171)&gt;0,INDEX(WP!$A$2:$F$23,MATCH(LEFT($B171,FIND("_",$B171)-1),WP!$E$2:$E$23,0),2))),INDEX(WP!$A$2:$F$23,MATCH(Results!$B171,WP!$E$2:$E$23,0),2)))),IF(RIGHT(IFERROR(IF(FIND("_",$B171)&gt;0,INDEX(WP!$A$2:$F$23,MATCH(LEFT($B171,FIND("_",$B171)-1),WP!$E$2:$E$23,0),2),IF(FIND("-",$B171)&gt;0,INDEX(WP!$A$2:$F$23,MATCH(LEFT($B171,FIND("_",$B171)-1),WP!$E$2:$E$23,0),2))),INDEX(WP!$A$2:$F$23,MATCH(Results!$B171,WP!$E$2:$E$23,0),2)),6)="Series",LEFT(IFERROR(IF(FIND("_",$B171)&gt;0,INDEX(WP!$A$2:$F$23,MATCH(LEFT($B171,FIND("_",$B171)-1),WP!$E$2:$E$23,0),2),IF(FIND("-",$B171)&gt;0,INDEX(WP!$A$2:$F$23,MATCH(LEFT($B171,FIND("_",$B171)-1),WP!$E$2:$E$23,0),2))),INDEX(WP!$A$2:$F$23,MATCH(Results!$B171,WP!$E$2:$E$23,0),2)),5),(IFERROR(IF(FIND("_",$B171)&gt;0,INDEX(WP!$A$2:$F$23,MATCH(LEFT($B171,FIND("_",$B171)-1),WP!$E$2:$E$23,0),2),IF(FIND("-",$B171)&gt;0,INDEX(WP!$A$2:$F$23,MATCH(LEFT($B171,FIND("_",$B171)-1),WP!$E$2:$E$23,0),2))),INDEX(WP!$A$2:$F$23,MATCH(Results!$B171,WP!$E$2:$E$23,0),2))))&amp;"-"&amp;$I171),"")</f>
        <v/>
      </c>
      <c r="G171" s="17" t="str">
        <f>IF(LEN(_xlfn.IFNA(IF(IFERROR(IF(FIND("_",$B171)&gt;0,MID($B171,FIND("_",$B171)+1,LEN($B171)),IF(FIND("-",$B171)&gt;0,MID($B171,FIND("-",$B171)+1,LEN($B171)))),"")="",IFERROR(VLOOKUP($F171,WP!$B$2:$C$23,2,0),VLOOKUP($C171,Series!$A$3:$F$11,6,0)),IFERROR(VLOOKUP($F171,WP!$B$2:$C$23,2,0),VLOOKUP($C171,Series!$A$3:$F$11,6,0))&amp;" - "&amp;(IFERROR(IF(FIND("_",$B171)&gt;0,MID($B171,FIND("_",$B171)+1,LEN($B171)),IF(FIND("-",$B171)&gt;0,MID($B171,FIND("-",$B171)+1,LEN($B171)))),""))),""))&lt;64,_xlfn.IFNA(IF(IFERROR(IF(FIND("_",$B171)&gt;0,MID($B171,FIND("_",$B171)+1,LEN($B171)),IF(FIND("-",$B171)&gt;0,MID($B171,FIND("-",$B171)+1,LEN($B171)))),"")="",IFERROR(VLOOKUP($F171,WP!$B$2:$C$23,2,0),VLOOKUP($C171,Series!$A$3:$F$11,6,0)),IFERROR(VLOOKUP($F171,WP!$B$2:$C$23,2,0),VLOOKUP($C171,Series!$A$3:$F$11,6,0))&amp;" - "&amp;(IFERROR(IF(FIND("_",$B171)&gt;0,MID($B171,FIND("_",$B171)+1,LEN($B171)),IF(FIND("-",$B171)&gt;0,MID($B171,FIND("-",$B171)+1,LEN($B171)))),""))),""),LEFT((_xlfn.IFNA(IF(IFERROR(IF(FIND("_",$B171)&gt;0,MID($B171,FIND("_",$B171)+1,LEN($B171)),IF(FIND("-",$B171)&gt;0,MID($B171,FIND("-",$B171)+1,LEN($B171)))),"")="",IFERROR(VLOOKUP($F171,WP!$B$2:$C$23,2,0),VLOOKUP($C171,Series!$A$3:$F$11,6,0)),IFERROR(VLOOKUP($F171,WP!$B$2:$C$23,2,0),VLOOKUP($C171,Series!$A$3:$F$11,6,0))&amp;" - "&amp;(IFERROR(IF(FIND("_",$B171)&gt;0,MID($B171,FIND("_",$B171)+1,LEN($B171)),IF(FIND("-",$B171)&gt;0,MID($B171,FIND("-",$B171)+1,LEN($B171)))),""))),"")),64))</f>
        <v/>
      </c>
      <c r="H171" s="12"/>
      <c r="I171" s="12" t="str">
        <f>IF($D171&lt;&gt;"",COUNTIF($D$7:$D171,"="&amp;$D171),"")</f>
        <v/>
      </c>
      <c r="J171"/>
      <c r="K171" s="8"/>
      <c r="L171"/>
    </row>
    <row r="172" spans="1:12" x14ac:dyDescent="0.3">
      <c r="A172" s="1"/>
      <c r="B172" s="26"/>
      <c r="C172" s="12" t="str">
        <f>_xlfn.IFNA(IFERROR(IF(FIND("_",$B172)&gt;0,INDEX(WP!$A$2:$F$23,MATCH(LEFT($B172,FIND("_",$B172)-1),WP!$E$2:$E$23,0),1),IF(FIND("-",$B172)&gt;0,INDEX(WP!$A$2:$F$23,MATCH(LEFT($B172,FIND("_",$B172)-1),WP!$E$2:$E$23,0),1))),INDEX(WP!$A$2:$F$23,MATCH(Results!$B172,WP!$E$2:$E$23,0),1)),"")</f>
        <v/>
      </c>
      <c r="D172" s="12" t="str">
        <f>IFERROR(IFERROR(IF(RIGHT(INDEX(WP!$A$2:$F$23,MATCH(IF(FIND("_",$B172)&gt;0,LEFT($B172,FIND("_",$B172)-1)),WP!$E$2:$E$23,0),2),6)="Series",LEFT(INDEX(WP!$A$2:$F$23,MATCH(IF(FIND("_",$B172)&gt;0,LEFT($B172,FIND("_",$B172)-1)),WP!$E$2:$E$23,0),2),5),""),IF(RIGHT(INDEX(WP!$A$2:$F$23,MATCH($B172,WP!$E$2:$E$23,0),2),6)="Series",LEFT(INDEX(WP!$A$2:$F$23,MATCH($B172,WP!$E$2:$E$23,0),2),5),"")),"")</f>
        <v/>
      </c>
      <c r="E172" s="17" t="str">
        <f>IFERROR(VLOOKUP(VALUE($D172),Series!$B$3:$F$11,2,0),"")</f>
        <v/>
      </c>
      <c r="F172" s="12" t="str">
        <f>_xlfn.IFNA(IF(IF($D172&lt;&gt;"",COUNTIF($E:$E,"="&amp;$D172),"")="",IF(RIGHT(IFERROR(IF(FIND("_",$B172)&gt;0,INDEX(WP!$A$2:$F$23,MATCH(LEFT($B172,FIND("_",$B172)-1),WP!$E$2:$E$23,0),2),IF(FIND("-",$B172)&gt;0,INDEX(WP!$A$2:$F$23,MATCH(LEFT($B172,FIND("_",$B172)-1),WP!$E$2:$E$23,0),2))),INDEX(WP!$A$2:$F$23,MATCH(Results!$B172,WP!$E$2:$E$23,0),2)),6)="Series",LEFT(IFERROR(IF(FIND("_",$B172)&gt;0,INDEX(WP!$A$2:$F$23,MATCH(LEFT($B172,FIND("_",$B172)-1),WP!$E$2:$E$23,0),2),IF(FIND("-",$B172)&gt;0,INDEX(WP!$A$2:$F$23,MATCH(LEFT($B172,FIND("_",$B172)-1),WP!$E$2:$E$23,0),2))),INDEX(WP!$A$2:$F$23,MATCH(Results!$B172,WP!$E$2:$E$23,0),2)),5),(IFERROR(IF(FIND("_",$B172)&gt;0,INDEX(WP!$A$2:$F$23,MATCH(LEFT($B172,FIND("_",$B172)-1),WP!$E$2:$E$23,0),2),IF(FIND("-",$B172)&gt;0,INDEX(WP!$A$2:$F$23,MATCH(LEFT($B172,FIND("_",$B172)-1),WP!$E$2:$E$23,0),2))),INDEX(WP!$A$2:$F$23,MATCH(Results!$B172,WP!$E$2:$E$23,0),2)))),IF(RIGHT(IFERROR(IF(FIND("_",$B172)&gt;0,INDEX(WP!$A$2:$F$23,MATCH(LEFT($B172,FIND("_",$B172)-1),WP!$E$2:$E$23,0),2),IF(FIND("-",$B172)&gt;0,INDEX(WP!$A$2:$F$23,MATCH(LEFT($B172,FIND("_",$B172)-1),WP!$E$2:$E$23,0),2))),INDEX(WP!$A$2:$F$23,MATCH(Results!$B172,WP!$E$2:$E$23,0),2)),6)="Series",LEFT(IFERROR(IF(FIND("_",$B172)&gt;0,INDEX(WP!$A$2:$F$23,MATCH(LEFT($B172,FIND("_",$B172)-1),WP!$E$2:$E$23,0),2),IF(FIND("-",$B172)&gt;0,INDEX(WP!$A$2:$F$23,MATCH(LEFT($B172,FIND("_",$B172)-1),WP!$E$2:$E$23,0),2))),INDEX(WP!$A$2:$F$23,MATCH(Results!$B172,WP!$E$2:$E$23,0),2)),5),(IFERROR(IF(FIND("_",$B172)&gt;0,INDEX(WP!$A$2:$F$23,MATCH(LEFT($B172,FIND("_",$B172)-1),WP!$E$2:$E$23,0),2),IF(FIND("-",$B172)&gt;0,INDEX(WP!$A$2:$F$23,MATCH(LEFT($B172,FIND("_",$B172)-1),WP!$E$2:$E$23,0),2))),INDEX(WP!$A$2:$F$23,MATCH(Results!$B172,WP!$E$2:$E$23,0),2))))&amp;"-"&amp;$I172),"")</f>
        <v/>
      </c>
      <c r="G172" s="17" t="str">
        <f>IF(LEN(_xlfn.IFNA(IF(IFERROR(IF(FIND("_",$B172)&gt;0,MID($B172,FIND("_",$B172)+1,LEN($B172)),IF(FIND("-",$B172)&gt;0,MID($B172,FIND("-",$B172)+1,LEN($B172)))),"")="",IFERROR(VLOOKUP($F172,WP!$B$2:$C$23,2,0),VLOOKUP($C172,Series!$A$3:$F$11,6,0)),IFERROR(VLOOKUP($F172,WP!$B$2:$C$23,2,0),VLOOKUP($C172,Series!$A$3:$F$11,6,0))&amp;" - "&amp;(IFERROR(IF(FIND("_",$B172)&gt;0,MID($B172,FIND("_",$B172)+1,LEN($B172)),IF(FIND("-",$B172)&gt;0,MID($B172,FIND("-",$B172)+1,LEN($B172)))),""))),""))&lt;64,_xlfn.IFNA(IF(IFERROR(IF(FIND("_",$B172)&gt;0,MID($B172,FIND("_",$B172)+1,LEN($B172)),IF(FIND("-",$B172)&gt;0,MID($B172,FIND("-",$B172)+1,LEN($B172)))),"")="",IFERROR(VLOOKUP($F172,WP!$B$2:$C$23,2,0),VLOOKUP($C172,Series!$A$3:$F$11,6,0)),IFERROR(VLOOKUP($F172,WP!$B$2:$C$23,2,0),VLOOKUP($C172,Series!$A$3:$F$11,6,0))&amp;" - "&amp;(IFERROR(IF(FIND("_",$B172)&gt;0,MID($B172,FIND("_",$B172)+1,LEN($B172)),IF(FIND("-",$B172)&gt;0,MID($B172,FIND("-",$B172)+1,LEN($B172)))),""))),""),LEFT((_xlfn.IFNA(IF(IFERROR(IF(FIND("_",$B172)&gt;0,MID($B172,FIND("_",$B172)+1,LEN($B172)),IF(FIND("-",$B172)&gt;0,MID($B172,FIND("-",$B172)+1,LEN($B172)))),"")="",IFERROR(VLOOKUP($F172,WP!$B$2:$C$23,2,0),VLOOKUP($C172,Series!$A$3:$F$11,6,0)),IFERROR(VLOOKUP($F172,WP!$B$2:$C$23,2,0),VLOOKUP($C172,Series!$A$3:$F$11,6,0))&amp;" - "&amp;(IFERROR(IF(FIND("_",$B172)&gt;0,MID($B172,FIND("_",$B172)+1,LEN($B172)),IF(FIND("-",$B172)&gt;0,MID($B172,FIND("-",$B172)+1,LEN($B172)))),""))),"")),64))</f>
        <v/>
      </c>
      <c r="H172" s="12"/>
      <c r="I172" s="12" t="str">
        <f>IF($D172&lt;&gt;"",COUNTIF($D$7:$D172,"="&amp;$D172),"")</f>
        <v/>
      </c>
      <c r="J172"/>
      <c r="K172" s="8"/>
      <c r="L172"/>
    </row>
    <row r="173" spans="1:12" x14ac:dyDescent="0.3">
      <c r="A173" s="1"/>
      <c r="B173" s="26"/>
      <c r="C173" s="12" t="str">
        <f>_xlfn.IFNA(IFERROR(IF(FIND("_",$B173)&gt;0,INDEX(WP!$A$2:$F$23,MATCH(LEFT($B173,FIND("_",$B173)-1),WP!$E$2:$E$23,0),1),IF(FIND("-",$B173)&gt;0,INDEX(WP!$A$2:$F$23,MATCH(LEFT($B173,FIND("_",$B173)-1),WP!$E$2:$E$23,0),1))),INDEX(WP!$A$2:$F$23,MATCH(Results!$B173,WP!$E$2:$E$23,0),1)),"")</f>
        <v/>
      </c>
      <c r="D173" s="12" t="str">
        <f>IFERROR(IFERROR(IF(RIGHT(INDEX(WP!$A$2:$F$23,MATCH(IF(FIND("_",$B173)&gt;0,LEFT($B173,FIND("_",$B173)-1)),WP!$E$2:$E$23,0),2),6)="Series",LEFT(INDEX(WP!$A$2:$F$23,MATCH(IF(FIND("_",$B173)&gt;0,LEFT($B173,FIND("_",$B173)-1)),WP!$E$2:$E$23,0),2),5),""),IF(RIGHT(INDEX(WP!$A$2:$F$23,MATCH($B173,WP!$E$2:$E$23,0),2),6)="Series",LEFT(INDEX(WP!$A$2:$F$23,MATCH($B173,WP!$E$2:$E$23,0),2),5),"")),"")</f>
        <v/>
      </c>
      <c r="E173" s="17" t="str">
        <f>IFERROR(VLOOKUP(VALUE($D173),Series!$B$3:$F$11,2,0),"")</f>
        <v/>
      </c>
      <c r="F173" s="12" t="str">
        <f>_xlfn.IFNA(IF(IF($D173&lt;&gt;"",COUNTIF($E:$E,"="&amp;$D173),"")="",IF(RIGHT(IFERROR(IF(FIND("_",$B173)&gt;0,INDEX(WP!$A$2:$F$23,MATCH(LEFT($B173,FIND("_",$B173)-1),WP!$E$2:$E$23,0),2),IF(FIND("-",$B173)&gt;0,INDEX(WP!$A$2:$F$23,MATCH(LEFT($B173,FIND("_",$B173)-1),WP!$E$2:$E$23,0),2))),INDEX(WP!$A$2:$F$23,MATCH(Results!$B173,WP!$E$2:$E$23,0),2)),6)="Series",LEFT(IFERROR(IF(FIND("_",$B173)&gt;0,INDEX(WP!$A$2:$F$23,MATCH(LEFT($B173,FIND("_",$B173)-1),WP!$E$2:$E$23,0),2),IF(FIND("-",$B173)&gt;0,INDEX(WP!$A$2:$F$23,MATCH(LEFT($B173,FIND("_",$B173)-1),WP!$E$2:$E$23,0),2))),INDEX(WP!$A$2:$F$23,MATCH(Results!$B173,WP!$E$2:$E$23,0),2)),5),(IFERROR(IF(FIND("_",$B173)&gt;0,INDEX(WP!$A$2:$F$23,MATCH(LEFT($B173,FIND("_",$B173)-1),WP!$E$2:$E$23,0),2),IF(FIND("-",$B173)&gt;0,INDEX(WP!$A$2:$F$23,MATCH(LEFT($B173,FIND("_",$B173)-1),WP!$E$2:$E$23,0),2))),INDEX(WP!$A$2:$F$23,MATCH(Results!$B173,WP!$E$2:$E$23,0),2)))),IF(RIGHT(IFERROR(IF(FIND("_",$B173)&gt;0,INDEX(WP!$A$2:$F$23,MATCH(LEFT($B173,FIND("_",$B173)-1),WP!$E$2:$E$23,0),2),IF(FIND("-",$B173)&gt;0,INDEX(WP!$A$2:$F$23,MATCH(LEFT($B173,FIND("_",$B173)-1),WP!$E$2:$E$23,0),2))),INDEX(WP!$A$2:$F$23,MATCH(Results!$B173,WP!$E$2:$E$23,0),2)),6)="Series",LEFT(IFERROR(IF(FIND("_",$B173)&gt;0,INDEX(WP!$A$2:$F$23,MATCH(LEFT($B173,FIND("_",$B173)-1),WP!$E$2:$E$23,0),2),IF(FIND("-",$B173)&gt;0,INDEX(WP!$A$2:$F$23,MATCH(LEFT($B173,FIND("_",$B173)-1),WP!$E$2:$E$23,0),2))),INDEX(WP!$A$2:$F$23,MATCH(Results!$B173,WP!$E$2:$E$23,0),2)),5),(IFERROR(IF(FIND("_",$B173)&gt;0,INDEX(WP!$A$2:$F$23,MATCH(LEFT($B173,FIND("_",$B173)-1),WP!$E$2:$E$23,0),2),IF(FIND("-",$B173)&gt;0,INDEX(WP!$A$2:$F$23,MATCH(LEFT($B173,FIND("_",$B173)-1),WP!$E$2:$E$23,0),2))),INDEX(WP!$A$2:$F$23,MATCH(Results!$B173,WP!$E$2:$E$23,0),2))))&amp;"-"&amp;$I173),"")</f>
        <v/>
      </c>
      <c r="G173" s="17" t="str">
        <f>IF(LEN(_xlfn.IFNA(IF(IFERROR(IF(FIND("_",$B173)&gt;0,MID($B173,FIND("_",$B173)+1,LEN($B173)),IF(FIND("-",$B173)&gt;0,MID($B173,FIND("-",$B173)+1,LEN($B173)))),"")="",IFERROR(VLOOKUP($F173,WP!$B$2:$C$23,2,0),VLOOKUP($C173,Series!$A$3:$F$11,6,0)),IFERROR(VLOOKUP($F173,WP!$B$2:$C$23,2,0),VLOOKUP($C173,Series!$A$3:$F$11,6,0))&amp;" - "&amp;(IFERROR(IF(FIND("_",$B173)&gt;0,MID($B173,FIND("_",$B173)+1,LEN($B173)),IF(FIND("-",$B173)&gt;0,MID($B173,FIND("-",$B173)+1,LEN($B173)))),""))),""))&lt;64,_xlfn.IFNA(IF(IFERROR(IF(FIND("_",$B173)&gt;0,MID($B173,FIND("_",$B173)+1,LEN($B173)),IF(FIND("-",$B173)&gt;0,MID($B173,FIND("-",$B173)+1,LEN($B173)))),"")="",IFERROR(VLOOKUP($F173,WP!$B$2:$C$23,2,0),VLOOKUP($C173,Series!$A$3:$F$11,6,0)),IFERROR(VLOOKUP($F173,WP!$B$2:$C$23,2,0),VLOOKUP($C173,Series!$A$3:$F$11,6,0))&amp;" - "&amp;(IFERROR(IF(FIND("_",$B173)&gt;0,MID($B173,FIND("_",$B173)+1,LEN($B173)),IF(FIND("-",$B173)&gt;0,MID($B173,FIND("-",$B173)+1,LEN($B173)))),""))),""),LEFT((_xlfn.IFNA(IF(IFERROR(IF(FIND("_",$B173)&gt;0,MID($B173,FIND("_",$B173)+1,LEN($B173)),IF(FIND("-",$B173)&gt;0,MID($B173,FIND("-",$B173)+1,LEN($B173)))),"")="",IFERROR(VLOOKUP($F173,WP!$B$2:$C$23,2,0),VLOOKUP($C173,Series!$A$3:$F$11,6,0)),IFERROR(VLOOKUP($F173,WP!$B$2:$C$23,2,0),VLOOKUP($C173,Series!$A$3:$F$11,6,0))&amp;" - "&amp;(IFERROR(IF(FIND("_",$B173)&gt;0,MID($B173,FIND("_",$B173)+1,LEN($B173)),IF(FIND("-",$B173)&gt;0,MID($B173,FIND("-",$B173)+1,LEN($B173)))),""))),"")),64))</f>
        <v/>
      </c>
      <c r="H173" s="12"/>
      <c r="I173" s="12" t="str">
        <f>IF($D173&lt;&gt;"",COUNTIF($D$7:$D173,"="&amp;$D173),"")</f>
        <v/>
      </c>
      <c r="J173"/>
      <c r="K173" s="8"/>
      <c r="L173"/>
    </row>
    <row r="174" spans="1:12" x14ac:dyDescent="0.3">
      <c r="A174" s="1"/>
      <c r="B174" s="26"/>
      <c r="C174" s="12" t="str">
        <f>_xlfn.IFNA(IFERROR(IF(FIND("_",$B174)&gt;0,INDEX(WP!$A$2:$F$23,MATCH(LEFT($B174,FIND("_",$B174)-1),WP!$E$2:$E$23,0),1),IF(FIND("-",$B174)&gt;0,INDEX(WP!$A$2:$F$23,MATCH(LEFT($B174,FIND("_",$B174)-1),WP!$E$2:$E$23,0),1))),INDEX(WP!$A$2:$F$23,MATCH(Results!$B174,WP!$E$2:$E$23,0),1)),"")</f>
        <v/>
      </c>
      <c r="D174" s="12" t="str">
        <f>IFERROR(IFERROR(IF(RIGHT(INDEX(WP!$A$2:$F$23,MATCH(IF(FIND("_",$B174)&gt;0,LEFT($B174,FIND("_",$B174)-1)),WP!$E$2:$E$23,0),2),6)="Series",LEFT(INDEX(WP!$A$2:$F$23,MATCH(IF(FIND("_",$B174)&gt;0,LEFT($B174,FIND("_",$B174)-1)),WP!$E$2:$E$23,0),2),5),""),IF(RIGHT(INDEX(WP!$A$2:$F$23,MATCH($B174,WP!$E$2:$E$23,0),2),6)="Series",LEFT(INDEX(WP!$A$2:$F$23,MATCH($B174,WP!$E$2:$E$23,0),2),5),"")),"")</f>
        <v/>
      </c>
      <c r="E174" s="17" t="str">
        <f>IFERROR(VLOOKUP(VALUE($D174),Series!$B$3:$F$11,2,0),"")</f>
        <v/>
      </c>
      <c r="F174" s="12" t="str">
        <f>_xlfn.IFNA(IF(IF($D174&lt;&gt;"",COUNTIF($E:$E,"="&amp;$D174),"")="",IF(RIGHT(IFERROR(IF(FIND("_",$B174)&gt;0,INDEX(WP!$A$2:$F$23,MATCH(LEFT($B174,FIND("_",$B174)-1),WP!$E$2:$E$23,0),2),IF(FIND("-",$B174)&gt;0,INDEX(WP!$A$2:$F$23,MATCH(LEFT($B174,FIND("_",$B174)-1),WP!$E$2:$E$23,0),2))),INDEX(WP!$A$2:$F$23,MATCH(Results!$B174,WP!$E$2:$E$23,0),2)),6)="Series",LEFT(IFERROR(IF(FIND("_",$B174)&gt;0,INDEX(WP!$A$2:$F$23,MATCH(LEFT($B174,FIND("_",$B174)-1),WP!$E$2:$E$23,0),2),IF(FIND("-",$B174)&gt;0,INDEX(WP!$A$2:$F$23,MATCH(LEFT($B174,FIND("_",$B174)-1),WP!$E$2:$E$23,0),2))),INDEX(WP!$A$2:$F$23,MATCH(Results!$B174,WP!$E$2:$E$23,0),2)),5),(IFERROR(IF(FIND("_",$B174)&gt;0,INDEX(WP!$A$2:$F$23,MATCH(LEFT($B174,FIND("_",$B174)-1),WP!$E$2:$E$23,0),2),IF(FIND("-",$B174)&gt;0,INDEX(WP!$A$2:$F$23,MATCH(LEFT($B174,FIND("_",$B174)-1),WP!$E$2:$E$23,0),2))),INDEX(WP!$A$2:$F$23,MATCH(Results!$B174,WP!$E$2:$E$23,0),2)))),IF(RIGHT(IFERROR(IF(FIND("_",$B174)&gt;0,INDEX(WP!$A$2:$F$23,MATCH(LEFT($B174,FIND("_",$B174)-1),WP!$E$2:$E$23,0),2),IF(FIND("-",$B174)&gt;0,INDEX(WP!$A$2:$F$23,MATCH(LEFT($B174,FIND("_",$B174)-1),WP!$E$2:$E$23,0),2))),INDEX(WP!$A$2:$F$23,MATCH(Results!$B174,WP!$E$2:$E$23,0),2)),6)="Series",LEFT(IFERROR(IF(FIND("_",$B174)&gt;0,INDEX(WP!$A$2:$F$23,MATCH(LEFT($B174,FIND("_",$B174)-1),WP!$E$2:$E$23,0),2),IF(FIND("-",$B174)&gt;0,INDEX(WP!$A$2:$F$23,MATCH(LEFT($B174,FIND("_",$B174)-1),WP!$E$2:$E$23,0),2))),INDEX(WP!$A$2:$F$23,MATCH(Results!$B174,WP!$E$2:$E$23,0),2)),5),(IFERROR(IF(FIND("_",$B174)&gt;0,INDEX(WP!$A$2:$F$23,MATCH(LEFT($B174,FIND("_",$B174)-1),WP!$E$2:$E$23,0),2),IF(FIND("-",$B174)&gt;0,INDEX(WP!$A$2:$F$23,MATCH(LEFT($B174,FIND("_",$B174)-1),WP!$E$2:$E$23,0),2))),INDEX(WP!$A$2:$F$23,MATCH(Results!$B174,WP!$E$2:$E$23,0),2))))&amp;"-"&amp;$I174),"")</f>
        <v/>
      </c>
      <c r="G174" s="17" t="str">
        <f>IF(LEN(_xlfn.IFNA(IF(IFERROR(IF(FIND("_",$B174)&gt;0,MID($B174,FIND("_",$B174)+1,LEN($B174)),IF(FIND("-",$B174)&gt;0,MID($B174,FIND("-",$B174)+1,LEN($B174)))),"")="",IFERROR(VLOOKUP($F174,WP!$B$2:$C$23,2,0),VLOOKUP($C174,Series!$A$3:$F$11,6,0)),IFERROR(VLOOKUP($F174,WP!$B$2:$C$23,2,0),VLOOKUP($C174,Series!$A$3:$F$11,6,0))&amp;" - "&amp;(IFERROR(IF(FIND("_",$B174)&gt;0,MID($B174,FIND("_",$B174)+1,LEN($B174)),IF(FIND("-",$B174)&gt;0,MID($B174,FIND("-",$B174)+1,LEN($B174)))),""))),""))&lt;64,_xlfn.IFNA(IF(IFERROR(IF(FIND("_",$B174)&gt;0,MID($B174,FIND("_",$B174)+1,LEN($B174)),IF(FIND("-",$B174)&gt;0,MID($B174,FIND("-",$B174)+1,LEN($B174)))),"")="",IFERROR(VLOOKUP($F174,WP!$B$2:$C$23,2,0),VLOOKUP($C174,Series!$A$3:$F$11,6,0)),IFERROR(VLOOKUP($F174,WP!$B$2:$C$23,2,0),VLOOKUP($C174,Series!$A$3:$F$11,6,0))&amp;" - "&amp;(IFERROR(IF(FIND("_",$B174)&gt;0,MID($B174,FIND("_",$B174)+1,LEN($B174)),IF(FIND("-",$B174)&gt;0,MID($B174,FIND("-",$B174)+1,LEN($B174)))),""))),""),LEFT((_xlfn.IFNA(IF(IFERROR(IF(FIND("_",$B174)&gt;0,MID($B174,FIND("_",$B174)+1,LEN($B174)),IF(FIND("-",$B174)&gt;0,MID($B174,FIND("-",$B174)+1,LEN($B174)))),"")="",IFERROR(VLOOKUP($F174,WP!$B$2:$C$23,2,0),VLOOKUP($C174,Series!$A$3:$F$11,6,0)),IFERROR(VLOOKUP($F174,WP!$B$2:$C$23,2,0),VLOOKUP($C174,Series!$A$3:$F$11,6,0))&amp;" - "&amp;(IFERROR(IF(FIND("_",$B174)&gt;0,MID($B174,FIND("_",$B174)+1,LEN($B174)),IF(FIND("-",$B174)&gt;0,MID($B174,FIND("-",$B174)+1,LEN($B174)))),""))),"")),64))</f>
        <v/>
      </c>
      <c r="H174" s="12"/>
      <c r="I174" s="12" t="str">
        <f>IF($D174&lt;&gt;"",COUNTIF($D$7:$D174,"="&amp;$D174),"")</f>
        <v/>
      </c>
      <c r="J174"/>
      <c r="K174" s="8"/>
      <c r="L174"/>
    </row>
    <row r="175" spans="1:12" x14ac:dyDescent="0.3">
      <c r="A175" s="1"/>
      <c r="B175" s="26"/>
      <c r="C175" s="12" t="str">
        <f>_xlfn.IFNA(IFERROR(IF(FIND("_",$B175)&gt;0,INDEX(WP!$A$2:$F$23,MATCH(LEFT($B175,FIND("_",$B175)-1),WP!$E$2:$E$23,0),1),IF(FIND("-",$B175)&gt;0,INDEX(WP!$A$2:$F$23,MATCH(LEFT($B175,FIND("_",$B175)-1),WP!$E$2:$E$23,0),1))),INDEX(WP!$A$2:$F$23,MATCH(Results!$B175,WP!$E$2:$E$23,0),1)),"")</f>
        <v/>
      </c>
      <c r="D175" s="12" t="str">
        <f>IFERROR(IFERROR(IF(RIGHT(INDEX(WP!$A$2:$F$23,MATCH(IF(FIND("_",$B175)&gt;0,LEFT($B175,FIND("_",$B175)-1)),WP!$E$2:$E$23,0),2),6)="Series",LEFT(INDEX(WP!$A$2:$F$23,MATCH(IF(FIND("_",$B175)&gt;0,LEFT($B175,FIND("_",$B175)-1)),WP!$E$2:$E$23,0),2),5),""),IF(RIGHT(INDEX(WP!$A$2:$F$23,MATCH($B175,WP!$E$2:$E$23,0),2),6)="Series",LEFT(INDEX(WP!$A$2:$F$23,MATCH($B175,WP!$E$2:$E$23,0),2),5),"")),"")</f>
        <v/>
      </c>
      <c r="E175" s="17" t="str">
        <f>IFERROR(VLOOKUP(VALUE($D175),Series!$B$3:$F$11,2,0),"")</f>
        <v/>
      </c>
      <c r="F175" s="12" t="str">
        <f>_xlfn.IFNA(IF(IF($D175&lt;&gt;"",COUNTIF($E:$E,"="&amp;$D175),"")="",IF(RIGHT(IFERROR(IF(FIND("_",$B175)&gt;0,INDEX(WP!$A$2:$F$23,MATCH(LEFT($B175,FIND("_",$B175)-1),WP!$E$2:$E$23,0),2),IF(FIND("-",$B175)&gt;0,INDEX(WP!$A$2:$F$23,MATCH(LEFT($B175,FIND("_",$B175)-1),WP!$E$2:$E$23,0),2))),INDEX(WP!$A$2:$F$23,MATCH(Results!$B175,WP!$E$2:$E$23,0),2)),6)="Series",LEFT(IFERROR(IF(FIND("_",$B175)&gt;0,INDEX(WP!$A$2:$F$23,MATCH(LEFT($B175,FIND("_",$B175)-1),WP!$E$2:$E$23,0),2),IF(FIND("-",$B175)&gt;0,INDEX(WP!$A$2:$F$23,MATCH(LEFT($B175,FIND("_",$B175)-1),WP!$E$2:$E$23,0),2))),INDEX(WP!$A$2:$F$23,MATCH(Results!$B175,WP!$E$2:$E$23,0),2)),5),(IFERROR(IF(FIND("_",$B175)&gt;0,INDEX(WP!$A$2:$F$23,MATCH(LEFT($B175,FIND("_",$B175)-1),WP!$E$2:$E$23,0),2),IF(FIND("-",$B175)&gt;0,INDEX(WP!$A$2:$F$23,MATCH(LEFT($B175,FIND("_",$B175)-1),WP!$E$2:$E$23,0),2))),INDEX(WP!$A$2:$F$23,MATCH(Results!$B175,WP!$E$2:$E$23,0),2)))),IF(RIGHT(IFERROR(IF(FIND("_",$B175)&gt;0,INDEX(WP!$A$2:$F$23,MATCH(LEFT($B175,FIND("_",$B175)-1),WP!$E$2:$E$23,0),2),IF(FIND("-",$B175)&gt;0,INDEX(WP!$A$2:$F$23,MATCH(LEFT($B175,FIND("_",$B175)-1),WP!$E$2:$E$23,0),2))),INDEX(WP!$A$2:$F$23,MATCH(Results!$B175,WP!$E$2:$E$23,0),2)),6)="Series",LEFT(IFERROR(IF(FIND("_",$B175)&gt;0,INDEX(WP!$A$2:$F$23,MATCH(LEFT($B175,FIND("_",$B175)-1),WP!$E$2:$E$23,0),2),IF(FIND("-",$B175)&gt;0,INDEX(WP!$A$2:$F$23,MATCH(LEFT($B175,FIND("_",$B175)-1),WP!$E$2:$E$23,0),2))),INDEX(WP!$A$2:$F$23,MATCH(Results!$B175,WP!$E$2:$E$23,0),2)),5),(IFERROR(IF(FIND("_",$B175)&gt;0,INDEX(WP!$A$2:$F$23,MATCH(LEFT($B175,FIND("_",$B175)-1),WP!$E$2:$E$23,0),2),IF(FIND("-",$B175)&gt;0,INDEX(WP!$A$2:$F$23,MATCH(LEFT($B175,FIND("_",$B175)-1),WP!$E$2:$E$23,0),2))),INDEX(WP!$A$2:$F$23,MATCH(Results!$B175,WP!$E$2:$E$23,0),2))))&amp;"-"&amp;$I175),"")</f>
        <v/>
      </c>
      <c r="G175" s="17" t="str">
        <f>IF(LEN(_xlfn.IFNA(IF(IFERROR(IF(FIND("_",$B175)&gt;0,MID($B175,FIND("_",$B175)+1,LEN($B175)),IF(FIND("-",$B175)&gt;0,MID($B175,FIND("-",$B175)+1,LEN($B175)))),"")="",IFERROR(VLOOKUP($F175,WP!$B$2:$C$23,2,0),VLOOKUP($C175,Series!$A$3:$F$11,6,0)),IFERROR(VLOOKUP($F175,WP!$B$2:$C$23,2,0),VLOOKUP($C175,Series!$A$3:$F$11,6,0))&amp;" - "&amp;(IFERROR(IF(FIND("_",$B175)&gt;0,MID($B175,FIND("_",$B175)+1,LEN($B175)),IF(FIND("-",$B175)&gt;0,MID($B175,FIND("-",$B175)+1,LEN($B175)))),""))),""))&lt;64,_xlfn.IFNA(IF(IFERROR(IF(FIND("_",$B175)&gt;0,MID($B175,FIND("_",$B175)+1,LEN($B175)),IF(FIND("-",$B175)&gt;0,MID($B175,FIND("-",$B175)+1,LEN($B175)))),"")="",IFERROR(VLOOKUP($F175,WP!$B$2:$C$23,2,0),VLOOKUP($C175,Series!$A$3:$F$11,6,0)),IFERROR(VLOOKUP($F175,WP!$B$2:$C$23,2,0),VLOOKUP($C175,Series!$A$3:$F$11,6,0))&amp;" - "&amp;(IFERROR(IF(FIND("_",$B175)&gt;0,MID($B175,FIND("_",$B175)+1,LEN($B175)),IF(FIND("-",$B175)&gt;0,MID($B175,FIND("-",$B175)+1,LEN($B175)))),""))),""),LEFT((_xlfn.IFNA(IF(IFERROR(IF(FIND("_",$B175)&gt;0,MID($B175,FIND("_",$B175)+1,LEN($B175)),IF(FIND("-",$B175)&gt;0,MID($B175,FIND("-",$B175)+1,LEN($B175)))),"")="",IFERROR(VLOOKUP($F175,WP!$B$2:$C$23,2,0),VLOOKUP($C175,Series!$A$3:$F$11,6,0)),IFERROR(VLOOKUP($F175,WP!$B$2:$C$23,2,0),VLOOKUP($C175,Series!$A$3:$F$11,6,0))&amp;" - "&amp;(IFERROR(IF(FIND("_",$B175)&gt;0,MID($B175,FIND("_",$B175)+1,LEN($B175)),IF(FIND("-",$B175)&gt;0,MID($B175,FIND("-",$B175)+1,LEN($B175)))),""))),"")),64))</f>
        <v/>
      </c>
      <c r="H175" s="12"/>
      <c r="I175" s="12" t="str">
        <f>IF($D175&lt;&gt;"",COUNTIF($D$7:$D175,"="&amp;$D175),"")</f>
        <v/>
      </c>
      <c r="J175"/>
      <c r="K175" s="8"/>
      <c r="L175"/>
    </row>
    <row r="176" spans="1:12" x14ac:dyDescent="0.3">
      <c r="A176" s="1"/>
      <c r="B176" s="26"/>
      <c r="C176" s="12" t="str">
        <f>_xlfn.IFNA(IFERROR(IF(FIND("_",$B176)&gt;0,INDEX(WP!$A$2:$F$23,MATCH(LEFT($B176,FIND("_",$B176)-1),WP!$E$2:$E$23,0),1),IF(FIND("-",$B176)&gt;0,INDEX(WP!$A$2:$F$23,MATCH(LEFT($B176,FIND("_",$B176)-1),WP!$E$2:$E$23,0),1))),INDEX(WP!$A$2:$F$23,MATCH(Results!$B176,WP!$E$2:$E$23,0),1)),"")</f>
        <v/>
      </c>
      <c r="D176" s="12" t="str">
        <f>IFERROR(IFERROR(IF(RIGHT(INDEX(WP!$A$2:$F$23,MATCH(IF(FIND("_",$B176)&gt;0,LEFT($B176,FIND("_",$B176)-1)),WP!$E$2:$E$23,0),2),6)="Series",LEFT(INDEX(WP!$A$2:$F$23,MATCH(IF(FIND("_",$B176)&gt;0,LEFT($B176,FIND("_",$B176)-1)),WP!$E$2:$E$23,0),2),5),""),IF(RIGHT(INDEX(WP!$A$2:$F$23,MATCH($B176,WP!$E$2:$E$23,0),2),6)="Series",LEFT(INDEX(WP!$A$2:$F$23,MATCH($B176,WP!$E$2:$E$23,0),2),5),"")),"")</f>
        <v/>
      </c>
      <c r="E176" s="17" t="str">
        <f>IFERROR(VLOOKUP(VALUE($D176),Series!$B$3:$F$11,2,0),"")</f>
        <v/>
      </c>
      <c r="F176" s="12" t="str">
        <f>_xlfn.IFNA(IF(IF($D176&lt;&gt;"",COUNTIF($E:$E,"="&amp;$D176),"")="",IF(RIGHT(IFERROR(IF(FIND("_",$B176)&gt;0,INDEX(WP!$A$2:$F$23,MATCH(LEFT($B176,FIND("_",$B176)-1),WP!$E$2:$E$23,0),2),IF(FIND("-",$B176)&gt;0,INDEX(WP!$A$2:$F$23,MATCH(LEFT($B176,FIND("_",$B176)-1),WP!$E$2:$E$23,0),2))),INDEX(WP!$A$2:$F$23,MATCH(Results!$B176,WP!$E$2:$E$23,0),2)),6)="Series",LEFT(IFERROR(IF(FIND("_",$B176)&gt;0,INDEX(WP!$A$2:$F$23,MATCH(LEFT($B176,FIND("_",$B176)-1),WP!$E$2:$E$23,0),2),IF(FIND("-",$B176)&gt;0,INDEX(WP!$A$2:$F$23,MATCH(LEFT($B176,FIND("_",$B176)-1),WP!$E$2:$E$23,0),2))),INDEX(WP!$A$2:$F$23,MATCH(Results!$B176,WP!$E$2:$E$23,0),2)),5),(IFERROR(IF(FIND("_",$B176)&gt;0,INDEX(WP!$A$2:$F$23,MATCH(LEFT($B176,FIND("_",$B176)-1),WP!$E$2:$E$23,0),2),IF(FIND("-",$B176)&gt;0,INDEX(WP!$A$2:$F$23,MATCH(LEFT($B176,FIND("_",$B176)-1),WP!$E$2:$E$23,0),2))),INDEX(WP!$A$2:$F$23,MATCH(Results!$B176,WP!$E$2:$E$23,0),2)))),IF(RIGHT(IFERROR(IF(FIND("_",$B176)&gt;0,INDEX(WP!$A$2:$F$23,MATCH(LEFT($B176,FIND("_",$B176)-1),WP!$E$2:$E$23,0),2),IF(FIND("-",$B176)&gt;0,INDEX(WP!$A$2:$F$23,MATCH(LEFT($B176,FIND("_",$B176)-1),WP!$E$2:$E$23,0),2))),INDEX(WP!$A$2:$F$23,MATCH(Results!$B176,WP!$E$2:$E$23,0),2)),6)="Series",LEFT(IFERROR(IF(FIND("_",$B176)&gt;0,INDEX(WP!$A$2:$F$23,MATCH(LEFT($B176,FIND("_",$B176)-1),WP!$E$2:$E$23,0),2),IF(FIND("-",$B176)&gt;0,INDEX(WP!$A$2:$F$23,MATCH(LEFT($B176,FIND("_",$B176)-1),WP!$E$2:$E$23,0),2))),INDEX(WP!$A$2:$F$23,MATCH(Results!$B176,WP!$E$2:$E$23,0),2)),5),(IFERROR(IF(FIND("_",$B176)&gt;0,INDEX(WP!$A$2:$F$23,MATCH(LEFT($B176,FIND("_",$B176)-1),WP!$E$2:$E$23,0),2),IF(FIND("-",$B176)&gt;0,INDEX(WP!$A$2:$F$23,MATCH(LEFT($B176,FIND("_",$B176)-1),WP!$E$2:$E$23,0),2))),INDEX(WP!$A$2:$F$23,MATCH(Results!$B176,WP!$E$2:$E$23,0),2))))&amp;"-"&amp;$I176),"")</f>
        <v/>
      </c>
      <c r="G176" s="17" t="str">
        <f>IF(LEN(_xlfn.IFNA(IF(IFERROR(IF(FIND("_",$B176)&gt;0,MID($B176,FIND("_",$B176)+1,LEN($B176)),IF(FIND("-",$B176)&gt;0,MID($B176,FIND("-",$B176)+1,LEN($B176)))),"")="",IFERROR(VLOOKUP($F176,WP!$B$2:$C$23,2,0),VLOOKUP($C176,Series!$A$3:$F$11,6,0)),IFERROR(VLOOKUP($F176,WP!$B$2:$C$23,2,0),VLOOKUP($C176,Series!$A$3:$F$11,6,0))&amp;" - "&amp;(IFERROR(IF(FIND("_",$B176)&gt;0,MID($B176,FIND("_",$B176)+1,LEN($B176)),IF(FIND("-",$B176)&gt;0,MID($B176,FIND("-",$B176)+1,LEN($B176)))),""))),""))&lt;64,_xlfn.IFNA(IF(IFERROR(IF(FIND("_",$B176)&gt;0,MID($B176,FIND("_",$B176)+1,LEN($B176)),IF(FIND("-",$B176)&gt;0,MID($B176,FIND("-",$B176)+1,LEN($B176)))),"")="",IFERROR(VLOOKUP($F176,WP!$B$2:$C$23,2,0),VLOOKUP($C176,Series!$A$3:$F$11,6,0)),IFERROR(VLOOKUP($F176,WP!$B$2:$C$23,2,0),VLOOKUP($C176,Series!$A$3:$F$11,6,0))&amp;" - "&amp;(IFERROR(IF(FIND("_",$B176)&gt;0,MID($B176,FIND("_",$B176)+1,LEN($B176)),IF(FIND("-",$B176)&gt;0,MID($B176,FIND("-",$B176)+1,LEN($B176)))),""))),""),LEFT((_xlfn.IFNA(IF(IFERROR(IF(FIND("_",$B176)&gt;0,MID($B176,FIND("_",$B176)+1,LEN($B176)),IF(FIND("-",$B176)&gt;0,MID($B176,FIND("-",$B176)+1,LEN($B176)))),"")="",IFERROR(VLOOKUP($F176,WP!$B$2:$C$23,2,0),VLOOKUP($C176,Series!$A$3:$F$11,6,0)),IFERROR(VLOOKUP($F176,WP!$B$2:$C$23,2,0),VLOOKUP($C176,Series!$A$3:$F$11,6,0))&amp;" - "&amp;(IFERROR(IF(FIND("_",$B176)&gt;0,MID($B176,FIND("_",$B176)+1,LEN($B176)),IF(FIND("-",$B176)&gt;0,MID($B176,FIND("-",$B176)+1,LEN($B176)))),""))),"")),64))</f>
        <v/>
      </c>
      <c r="H176" s="12"/>
      <c r="I176" s="12" t="str">
        <f>IF($D176&lt;&gt;"",COUNTIF($D$7:$D176,"="&amp;$D176),"")</f>
        <v/>
      </c>
      <c r="J176"/>
      <c r="K176" s="8"/>
      <c r="L176"/>
    </row>
    <row r="177" spans="1:12" x14ac:dyDescent="0.3">
      <c r="A177" s="1"/>
      <c r="B177" s="26"/>
      <c r="C177" s="12" t="str">
        <f>_xlfn.IFNA(IFERROR(IF(FIND("_",$B177)&gt;0,INDEX(WP!$A$2:$F$23,MATCH(LEFT($B177,FIND("_",$B177)-1),WP!$E$2:$E$23,0),1),IF(FIND("-",$B177)&gt;0,INDEX(WP!$A$2:$F$23,MATCH(LEFT($B177,FIND("_",$B177)-1),WP!$E$2:$E$23,0),1))),INDEX(WP!$A$2:$F$23,MATCH(Results!$B177,WP!$E$2:$E$23,0),1)),"")</f>
        <v/>
      </c>
      <c r="D177" s="12" t="str">
        <f>IFERROR(IFERROR(IF(RIGHT(INDEX(WP!$A$2:$F$23,MATCH(IF(FIND("_",$B177)&gt;0,LEFT($B177,FIND("_",$B177)-1)),WP!$E$2:$E$23,0),2),6)="Series",LEFT(INDEX(WP!$A$2:$F$23,MATCH(IF(FIND("_",$B177)&gt;0,LEFT($B177,FIND("_",$B177)-1)),WP!$E$2:$E$23,0),2),5),""),IF(RIGHT(INDEX(WP!$A$2:$F$23,MATCH($B177,WP!$E$2:$E$23,0),2),6)="Series",LEFT(INDEX(WP!$A$2:$F$23,MATCH($B177,WP!$E$2:$E$23,0),2),5),"")),"")</f>
        <v/>
      </c>
      <c r="E177" s="17" t="str">
        <f>IFERROR(VLOOKUP(VALUE($D177),Series!$B$3:$F$11,2,0),"")</f>
        <v/>
      </c>
      <c r="F177" s="12" t="str">
        <f>_xlfn.IFNA(IF(IF($D177&lt;&gt;"",COUNTIF($E:$E,"="&amp;$D177),"")="",IF(RIGHT(IFERROR(IF(FIND("_",$B177)&gt;0,INDEX(WP!$A$2:$F$23,MATCH(LEFT($B177,FIND("_",$B177)-1),WP!$E$2:$E$23,0),2),IF(FIND("-",$B177)&gt;0,INDEX(WP!$A$2:$F$23,MATCH(LEFT($B177,FIND("_",$B177)-1),WP!$E$2:$E$23,0),2))),INDEX(WP!$A$2:$F$23,MATCH(Results!$B177,WP!$E$2:$E$23,0),2)),6)="Series",LEFT(IFERROR(IF(FIND("_",$B177)&gt;0,INDEX(WP!$A$2:$F$23,MATCH(LEFT($B177,FIND("_",$B177)-1),WP!$E$2:$E$23,0),2),IF(FIND("-",$B177)&gt;0,INDEX(WP!$A$2:$F$23,MATCH(LEFT($B177,FIND("_",$B177)-1),WP!$E$2:$E$23,0),2))),INDEX(WP!$A$2:$F$23,MATCH(Results!$B177,WP!$E$2:$E$23,0),2)),5),(IFERROR(IF(FIND("_",$B177)&gt;0,INDEX(WP!$A$2:$F$23,MATCH(LEFT($B177,FIND("_",$B177)-1),WP!$E$2:$E$23,0),2),IF(FIND("-",$B177)&gt;0,INDEX(WP!$A$2:$F$23,MATCH(LEFT($B177,FIND("_",$B177)-1),WP!$E$2:$E$23,0),2))),INDEX(WP!$A$2:$F$23,MATCH(Results!$B177,WP!$E$2:$E$23,0),2)))),IF(RIGHT(IFERROR(IF(FIND("_",$B177)&gt;0,INDEX(WP!$A$2:$F$23,MATCH(LEFT($B177,FIND("_",$B177)-1),WP!$E$2:$E$23,0),2),IF(FIND("-",$B177)&gt;0,INDEX(WP!$A$2:$F$23,MATCH(LEFT($B177,FIND("_",$B177)-1),WP!$E$2:$E$23,0),2))),INDEX(WP!$A$2:$F$23,MATCH(Results!$B177,WP!$E$2:$E$23,0),2)),6)="Series",LEFT(IFERROR(IF(FIND("_",$B177)&gt;0,INDEX(WP!$A$2:$F$23,MATCH(LEFT($B177,FIND("_",$B177)-1),WP!$E$2:$E$23,0),2),IF(FIND("-",$B177)&gt;0,INDEX(WP!$A$2:$F$23,MATCH(LEFT($B177,FIND("_",$B177)-1),WP!$E$2:$E$23,0),2))),INDEX(WP!$A$2:$F$23,MATCH(Results!$B177,WP!$E$2:$E$23,0),2)),5),(IFERROR(IF(FIND("_",$B177)&gt;0,INDEX(WP!$A$2:$F$23,MATCH(LEFT($B177,FIND("_",$B177)-1),WP!$E$2:$E$23,0),2),IF(FIND("-",$B177)&gt;0,INDEX(WP!$A$2:$F$23,MATCH(LEFT($B177,FIND("_",$B177)-1),WP!$E$2:$E$23,0),2))),INDEX(WP!$A$2:$F$23,MATCH(Results!$B177,WP!$E$2:$E$23,0),2))))&amp;"-"&amp;$I177),"")</f>
        <v/>
      </c>
      <c r="G177" s="17" t="str">
        <f>IF(LEN(_xlfn.IFNA(IF(IFERROR(IF(FIND("_",$B177)&gt;0,MID($B177,FIND("_",$B177)+1,LEN($B177)),IF(FIND("-",$B177)&gt;0,MID($B177,FIND("-",$B177)+1,LEN($B177)))),"")="",IFERROR(VLOOKUP($F177,WP!$B$2:$C$23,2,0),VLOOKUP($C177,Series!$A$3:$F$11,6,0)),IFERROR(VLOOKUP($F177,WP!$B$2:$C$23,2,0),VLOOKUP($C177,Series!$A$3:$F$11,6,0))&amp;" - "&amp;(IFERROR(IF(FIND("_",$B177)&gt;0,MID($B177,FIND("_",$B177)+1,LEN($B177)),IF(FIND("-",$B177)&gt;0,MID($B177,FIND("-",$B177)+1,LEN($B177)))),""))),""))&lt;64,_xlfn.IFNA(IF(IFERROR(IF(FIND("_",$B177)&gt;0,MID($B177,FIND("_",$B177)+1,LEN($B177)),IF(FIND("-",$B177)&gt;0,MID($B177,FIND("-",$B177)+1,LEN($B177)))),"")="",IFERROR(VLOOKUP($F177,WP!$B$2:$C$23,2,0),VLOOKUP($C177,Series!$A$3:$F$11,6,0)),IFERROR(VLOOKUP($F177,WP!$B$2:$C$23,2,0),VLOOKUP($C177,Series!$A$3:$F$11,6,0))&amp;" - "&amp;(IFERROR(IF(FIND("_",$B177)&gt;0,MID($B177,FIND("_",$B177)+1,LEN($B177)),IF(FIND("-",$B177)&gt;0,MID($B177,FIND("-",$B177)+1,LEN($B177)))),""))),""),LEFT((_xlfn.IFNA(IF(IFERROR(IF(FIND("_",$B177)&gt;0,MID($B177,FIND("_",$B177)+1,LEN($B177)),IF(FIND("-",$B177)&gt;0,MID($B177,FIND("-",$B177)+1,LEN($B177)))),"")="",IFERROR(VLOOKUP($F177,WP!$B$2:$C$23,2,0),VLOOKUP($C177,Series!$A$3:$F$11,6,0)),IFERROR(VLOOKUP($F177,WP!$B$2:$C$23,2,0),VLOOKUP($C177,Series!$A$3:$F$11,6,0))&amp;" - "&amp;(IFERROR(IF(FIND("_",$B177)&gt;0,MID($B177,FIND("_",$B177)+1,LEN($B177)),IF(FIND("-",$B177)&gt;0,MID($B177,FIND("-",$B177)+1,LEN($B177)))),""))),"")),64))</f>
        <v/>
      </c>
      <c r="H177" s="12"/>
      <c r="I177" s="12" t="str">
        <f>IF($D177&lt;&gt;"",COUNTIF($D$7:$D177,"="&amp;$D177),"")</f>
        <v/>
      </c>
      <c r="J177"/>
      <c r="K177" s="8"/>
      <c r="L177"/>
    </row>
    <row r="178" spans="1:12" x14ac:dyDescent="0.3">
      <c r="A178" s="1"/>
      <c r="B178" s="26"/>
      <c r="C178" s="12" t="str">
        <f>_xlfn.IFNA(IFERROR(IF(FIND("_",$B178)&gt;0,INDEX(WP!$A$2:$F$23,MATCH(LEFT($B178,FIND("_",$B178)-1),WP!$E$2:$E$23,0),1),IF(FIND("-",$B178)&gt;0,INDEX(WP!$A$2:$F$23,MATCH(LEFT($B178,FIND("_",$B178)-1),WP!$E$2:$E$23,0),1))),INDEX(WP!$A$2:$F$23,MATCH(Results!$B178,WP!$E$2:$E$23,0),1)),"")</f>
        <v/>
      </c>
      <c r="D178" s="12" t="str">
        <f>IFERROR(IFERROR(IF(RIGHT(INDEX(WP!$A$2:$F$23,MATCH(IF(FIND("_",$B178)&gt;0,LEFT($B178,FIND("_",$B178)-1)),WP!$E$2:$E$23,0),2),6)="Series",LEFT(INDEX(WP!$A$2:$F$23,MATCH(IF(FIND("_",$B178)&gt;0,LEFT($B178,FIND("_",$B178)-1)),WP!$E$2:$E$23,0),2),5),""),IF(RIGHT(INDEX(WP!$A$2:$F$23,MATCH($B178,WP!$E$2:$E$23,0),2),6)="Series",LEFT(INDEX(WP!$A$2:$F$23,MATCH($B178,WP!$E$2:$E$23,0),2),5),"")),"")</f>
        <v/>
      </c>
      <c r="E178" s="17" t="str">
        <f>IFERROR(VLOOKUP(VALUE($D178),Series!$B$3:$F$11,2,0),"")</f>
        <v/>
      </c>
      <c r="F178" s="12" t="str">
        <f>_xlfn.IFNA(IF(IF($D178&lt;&gt;"",COUNTIF($E:$E,"="&amp;$D178),"")="",IF(RIGHT(IFERROR(IF(FIND("_",$B178)&gt;0,INDEX(WP!$A$2:$F$23,MATCH(LEFT($B178,FIND("_",$B178)-1),WP!$E$2:$E$23,0),2),IF(FIND("-",$B178)&gt;0,INDEX(WP!$A$2:$F$23,MATCH(LEFT($B178,FIND("_",$B178)-1),WP!$E$2:$E$23,0),2))),INDEX(WP!$A$2:$F$23,MATCH(Results!$B178,WP!$E$2:$E$23,0),2)),6)="Series",LEFT(IFERROR(IF(FIND("_",$B178)&gt;0,INDEX(WP!$A$2:$F$23,MATCH(LEFT($B178,FIND("_",$B178)-1),WP!$E$2:$E$23,0),2),IF(FIND("-",$B178)&gt;0,INDEX(WP!$A$2:$F$23,MATCH(LEFT($B178,FIND("_",$B178)-1),WP!$E$2:$E$23,0),2))),INDEX(WP!$A$2:$F$23,MATCH(Results!$B178,WP!$E$2:$E$23,0),2)),5),(IFERROR(IF(FIND("_",$B178)&gt;0,INDEX(WP!$A$2:$F$23,MATCH(LEFT($B178,FIND("_",$B178)-1),WP!$E$2:$E$23,0),2),IF(FIND("-",$B178)&gt;0,INDEX(WP!$A$2:$F$23,MATCH(LEFT($B178,FIND("_",$B178)-1),WP!$E$2:$E$23,0),2))),INDEX(WP!$A$2:$F$23,MATCH(Results!$B178,WP!$E$2:$E$23,0),2)))),IF(RIGHT(IFERROR(IF(FIND("_",$B178)&gt;0,INDEX(WP!$A$2:$F$23,MATCH(LEFT($B178,FIND("_",$B178)-1),WP!$E$2:$E$23,0),2),IF(FIND("-",$B178)&gt;0,INDEX(WP!$A$2:$F$23,MATCH(LEFT($B178,FIND("_",$B178)-1),WP!$E$2:$E$23,0),2))),INDEX(WP!$A$2:$F$23,MATCH(Results!$B178,WP!$E$2:$E$23,0),2)),6)="Series",LEFT(IFERROR(IF(FIND("_",$B178)&gt;0,INDEX(WP!$A$2:$F$23,MATCH(LEFT($B178,FIND("_",$B178)-1),WP!$E$2:$E$23,0),2),IF(FIND("-",$B178)&gt;0,INDEX(WP!$A$2:$F$23,MATCH(LEFT($B178,FIND("_",$B178)-1),WP!$E$2:$E$23,0),2))),INDEX(WP!$A$2:$F$23,MATCH(Results!$B178,WP!$E$2:$E$23,0),2)),5),(IFERROR(IF(FIND("_",$B178)&gt;0,INDEX(WP!$A$2:$F$23,MATCH(LEFT($B178,FIND("_",$B178)-1),WP!$E$2:$E$23,0),2),IF(FIND("-",$B178)&gt;0,INDEX(WP!$A$2:$F$23,MATCH(LEFT($B178,FIND("_",$B178)-1),WP!$E$2:$E$23,0),2))),INDEX(WP!$A$2:$F$23,MATCH(Results!$B178,WP!$E$2:$E$23,0),2))))&amp;"-"&amp;$I178),"")</f>
        <v/>
      </c>
      <c r="G178" s="17" t="str">
        <f>IF(LEN(_xlfn.IFNA(IF(IFERROR(IF(FIND("_",$B178)&gt;0,MID($B178,FIND("_",$B178)+1,LEN($B178)),IF(FIND("-",$B178)&gt;0,MID($B178,FIND("-",$B178)+1,LEN($B178)))),"")="",IFERROR(VLOOKUP($F178,WP!$B$2:$C$23,2,0),VLOOKUP($C178,Series!$A$3:$F$11,6,0)),IFERROR(VLOOKUP($F178,WP!$B$2:$C$23,2,0),VLOOKUP($C178,Series!$A$3:$F$11,6,0))&amp;" - "&amp;(IFERROR(IF(FIND("_",$B178)&gt;0,MID($B178,FIND("_",$B178)+1,LEN($B178)),IF(FIND("-",$B178)&gt;0,MID($B178,FIND("-",$B178)+1,LEN($B178)))),""))),""))&lt;64,_xlfn.IFNA(IF(IFERROR(IF(FIND("_",$B178)&gt;0,MID($B178,FIND("_",$B178)+1,LEN($B178)),IF(FIND("-",$B178)&gt;0,MID($B178,FIND("-",$B178)+1,LEN($B178)))),"")="",IFERROR(VLOOKUP($F178,WP!$B$2:$C$23,2,0),VLOOKUP($C178,Series!$A$3:$F$11,6,0)),IFERROR(VLOOKUP($F178,WP!$B$2:$C$23,2,0),VLOOKUP($C178,Series!$A$3:$F$11,6,0))&amp;" - "&amp;(IFERROR(IF(FIND("_",$B178)&gt;0,MID($B178,FIND("_",$B178)+1,LEN($B178)),IF(FIND("-",$B178)&gt;0,MID($B178,FIND("-",$B178)+1,LEN($B178)))),""))),""),LEFT((_xlfn.IFNA(IF(IFERROR(IF(FIND("_",$B178)&gt;0,MID($B178,FIND("_",$B178)+1,LEN($B178)),IF(FIND("-",$B178)&gt;0,MID($B178,FIND("-",$B178)+1,LEN($B178)))),"")="",IFERROR(VLOOKUP($F178,WP!$B$2:$C$23,2,0),VLOOKUP($C178,Series!$A$3:$F$11,6,0)),IFERROR(VLOOKUP($F178,WP!$B$2:$C$23,2,0),VLOOKUP($C178,Series!$A$3:$F$11,6,0))&amp;" - "&amp;(IFERROR(IF(FIND("_",$B178)&gt;0,MID($B178,FIND("_",$B178)+1,LEN($B178)),IF(FIND("-",$B178)&gt;0,MID($B178,FIND("-",$B178)+1,LEN($B178)))),""))),"")),64))</f>
        <v/>
      </c>
      <c r="H178" s="12"/>
      <c r="I178" s="12" t="str">
        <f>IF($D178&lt;&gt;"",COUNTIF($D$7:$D178,"="&amp;$D178),"")</f>
        <v/>
      </c>
      <c r="J178"/>
      <c r="K178" s="8"/>
      <c r="L178"/>
    </row>
    <row r="179" spans="1:12" x14ac:dyDescent="0.3">
      <c r="A179" s="1"/>
      <c r="B179" s="26"/>
      <c r="C179" s="12" t="str">
        <f>_xlfn.IFNA(IFERROR(IF(FIND("_",$B179)&gt;0,INDEX(WP!$A$2:$F$23,MATCH(LEFT($B179,FIND("_",$B179)-1),WP!$E$2:$E$23,0),1),IF(FIND("-",$B179)&gt;0,INDEX(WP!$A$2:$F$23,MATCH(LEFT($B179,FIND("_",$B179)-1),WP!$E$2:$E$23,0),1))),INDEX(WP!$A$2:$F$23,MATCH(Results!$B179,WP!$E$2:$E$23,0),1)),"")</f>
        <v/>
      </c>
      <c r="D179" s="12" t="str">
        <f>IFERROR(IFERROR(IF(RIGHT(INDEX(WP!$A$2:$F$23,MATCH(IF(FIND("_",$B179)&gt;0,LEFT($B179,FIND("_",$B179)-1)),WP!$E$2:$E$23,0),2),6)="Series",LEFT(INDEX(WP!$A$2:$F$23,MATCH(IF(FIND("_",$B179)&gt;0,LEFT($B179,FIND("_",$B179)-1)),WP!$E$2:$E$23,0),2),5),""),IF(RIGHT(INDEX(WP!$A$2:$F$23,MATCH($B179,WP!$E$2:$E$23,0),2),6)="Series",LEFT(INDEX(WP!$A$2:$F$23,MATCH($B179,WP!$E$2:$E$23,0),2),5),"")),"")</f>
        <v/>
      </c>
      <c r="E179" s="17" t="str">
        <f>IFERROR(VLOOKUP(VALUE($D179),Series!$B$3:$F$11,2,0),"")</f>
        <v/>
      </c>
      <c r="F179" s="12" t="str">
        <f>_xlfn.IFNA(IF(IF($D179&lt;&gt;"",COUNTIF($E:$E,"="&amp;$D179),"")="",IF(RIGHT(IFERROR(IF(FIND("_",$B179)&gt;0,INDEX(WP!$A$2:$F$23,MATCH(LEFT($B179,FIND("_",$B179)-1),WP!$E$2:$E$23,0),2),IF(FIND("-",$B179)&gt;0,INDEX(WP!$A$2:$F$23,MATCH(LEFT($B179,FIND("_",$B179)-1),WP!$E$2:$E$23,0),2))),INDEX(WP!$A$2:$F$23,MATCH(Results!$B179,WP!$E$2:$E$23,0),2)),6)="Series",LEFT(IFERROR(IF(FIND("_",$B179)&gt;0,INDEX(WP!$A$2:$F$23,MATCH(LEFT($B179,FIND("_",$B179)-1),WP!$E$2:$E$23,0),2),IF(FIND("-",$B179)&gt;0,INDEX(WP!$A$2:$F$23,MATCH(LEFT($B179,FIND("_",$B179)-1),WP!$E$2:$E$23,0),2))),INDEX(WP!$A$2:$F$23,MATCH(Results!$B179,WP!$E$2:$E$23,0),2)),5),(IFERROR(IF(FIND("_",$B179)&gt;0,INDEX(WP!$A$2:$F$23,MATCH(LEFT($B179,FIND("_",$B179)-1),WP!$E$2:$E$23,0),2),IF(FIND("-",$B179)&gt;0,INDEX(WP!$A$2:$F$23,MATCH(LEFT($B179,FIND("_",$B179)-1),WP!$E$2:$E$23,0),2))),INDEX(WP!$A$2:$F$23,MATCH(Results!$B179,WP!$E$2:$E$23,0),2)))),IF(RIGHT(IFERROR(IF(FIND("_",$B179)&gt;0,INDEX(WP!$A$2:$F$23,MATCH(LEFT($B179,FIND("_",$B179)-1),WP!$E$2:$E$23,0),2),IF(FIND("-",$B179)&gt;0,INDEX(WP!$A$2:$F$23,MATCH(LEFT($B179,FIND("_",$B179)-1),WP!$E$2:$E$23,0),2))),INDEX(WP!$A$2:$F$23,MATCH(Results!$B179,WP!$E$2:$E$23,0),2)),6)="Series",LEFT(IFERROR(IF(FIND("_",$B179)&gt;0,INDEX(WP!$A$2:$F$23,MATCH(LEFT($B179,FIND("_",$B179)-1),WP!$E$2:$E$23,0),2),IF(FIND("-",$B179)&gt;0,INDEX(WP!$A$2:$F$23,MATCH(LEFT($B179,FIND("_",$B179)-1),WP!$E$2:$E$23,0),2))),INDEX(WP!$A$2:$F$23,MATCH(Results!$B179,WP!$E$2:$E$23,0),2)),5),(IFERROR(IF(FIND("_",$B179)&gt;0,INDEX(WP!$A$2:$F$23,MATCH(LEFT($B179,FIND("_",$B179)-1),WP!$E$2:$E$23,0),2),IF(FIND("-",$B179)&gt;0,INDEX(WP!$A$2:$F$23,MATCH(LEFT($B179,FIND("_",$B179)-1),WP!$E$2:$E$23,0),2))),INDEX(WP!$A$2:$F$23,MATCH(Results!$B179,WP!$E$2:$E$23,0),2))))&amp;"-"&amp;$I179),"")</f>
        <v/>
      </c>
      <c r="G179" s="17" t="str">
        <f>IF(LEN(_xlfn.IFNA(IF(IFERROR(IF(FIND("_",$B179)&gt;0,MID($B179,FIND("_",$B179)+1,LEN($B179)),IF(FIND("-",$B179)&gt;0,MID($B179,FIND("-",$B179)+1,LEN($B179)))),"")="",IFERROR(VLOOKUP($F179,WP!$B$2:$C$23,2,0),VLOOKUP($C179,Series!$A$3:$F$11,6,0)),IFERROR(VLOOKUP($F179,WP!$B$2:$C$23,2,0),VLOOKUP($C179,Series!$A$3:$F$11,6,0))&amp;" - "&amp;(IFERROR(IF(FIND("_",$B179)&gt;0,MID($B179,FIND("_",$B179)+1,LEN($B179)),IF(FIND("-",$B179)&gt;0,MID($B179,FIND("-",$B179)+1,LEN($B179)))),""))),""))&lt;64,_xlfn.IFNA(IF(IFERROR(IF(FIND("_",$B179)&gt;0,MID($B179,FIND("_",$B179)+1,LEN($B179)),IF(FIND("-",$B179)&gt;0,MID($B179,FIND("-",$B179)+1,LEN($B179)))),"")="",IFERROR(VLOOKUP($F179,WP!$B$2:$C$23,2,0),VLOOKUP($C179,Series!$A$3:$F$11,6,0)),IFERROR(VLOOKUP($F179,WP!$B$2:$C$23,2,0),VLOOKUP($C179,Series!$A$3:$F$11,6,0))&amp;" - "&amp;(IFERROR(IF(FIND("_",$B179)&gt;0,MID($B179,FIND("_",$B179)+1,LEN($B179)),IF(FIND("-",$B179)&gt;0,MID($B179,FIND("-",$B179)+1,LEN($B179)))),""))),""),LEFT((_xlfn.IFNA(IF(IFERROR(IF(FIND("_",$B179)&gt;0,MID($B179,FIND("_",$B179)+1,LEN($B179)),IF(FIND("-",$B179)&gt;0,MID($B179,FIND("-",$B179)+1,LEN($B179)))),"")="",IFERROR(VLOOKUP($F179,WP!$B$2:$C$23,2,0),VLOOKUP($C179,Series!$A$3:$F$11,6,0)),IFERROR(VLOOKUP($F179,WP!$B$2:$C$23,2,0),VLOOKUP($C179,Series!$A$3:$F$11,6,0))&amp;" - "&amp;(IFERROR(IF(FIND("_",$B179)&gt;0,MID($B179,FIND("_",$B179)+1,LEN($B179)),IF(FIND("-",$B179)&gt;0,MID($B179,FIND("-",$B179)+1,LEN($B179)))),""))),"")),64))</f>
        <v/>
      </c>
      <c r="H179" s="12"/>
      <c r="I179" s="12" t="str">
        <f>IF($D179&lt;&gt;"",COUNTIF($D$7:$D179,"="&amp;$D179),"")</f>
        <v/>
      </c>
      <c r="J179"/>
      <c r="K179" s="8"/>
      <c r="L179"/>
    </row>
    <row r="180" spans="1:12" x14ac:dyDescent="0.3">
      <c r="A180" s="1"/>
      <c r="B180" s="26"/>
      <c r="C180" s="12" t="str">
        <f>_xlfn.IFNA(IFERROR(IF(FIND("_",$B180)&gt;0,INDEX(WP!$A$2:$F$23,MATCH(LEFT($B180,FIND("_",$B180)-1),WP!$E$2:$E$23,0),1),IF(FIND("-",$B180)&gt;0,INDEX(WP!$A$2:$F$23,MATCH(LEFT($B180,FIND("_",$B180)-1),WP!$E$2:$E$23,0),1))),INDEX(WP!$A$2:$F$23,MATCH(Results!$B180,WP!$E$2:$E$23,0),1)),"")</f>
        <v/>
      </c>
      <c r="D180" s="12" t="str">
        <f>IFERROR(IFERROR(IF(RIGHT(INDEX(WP!$A$2:$F$23,MATCH(IF(FIND("_",$B180)&gt;0,LEFT($B180,FIND("_",$B180)-1)),WP!$E$2:$E$23,0),2),6)="Series",LEFT(INDEX(WP!$A$2:$F$23,MATCH(IF(FIND("_",$B180)&gt;0,LEFT($B180,FIND("_",$B180)-1)),WP!$E$2:$E$23,0),2),5),""),IF(RIGHT(INDEX(WP!$A$2:$F$23,MATCH($B180,WP!$E$2:$E$23,0),2),6)="Series",LEFT(INDEX(WP!$A$2:$F$23,MATCH($B180,WP!$E$2:$E$23,0),2),5),"")),"")</f>
        <v/>
      </c>
      <c r="E180" s="17" t="str">
        <f>IFERROR(VLOOKUP(VALUE($D180),Series!$B$3:$F$11,2,0),"")</f>
        <v/>
      </c>
      <c r="F180" s="12" t="str">
        <f>_xlfn.IFNA(IF(IF($D180&lt;&gt;"",COUNTIF($E:$E,"="&amp;$D180),"")="",IF(RIGHT(IFERROR(IF(FIND("_",$B180)&gt;0,INDEX(WP!$A$2:$F$23,MATCH(LEFT($B180,FIND("_",$B180)-1),WP!$E$2:$E$23,0),2),IF(FIND("-",$B180)&gt;0,INDEX(WP!$A$2:$F$23,MATCH(LEFT($B180,FIND("_",$B180)-1),WP!$E$2:$E$23,0),2))),INDEX(WP!$A$2:$F$23,MATCH(Results!$B180,WP!$E$2:$E$23,0),2)),6)="Series",LEFT(IFERROR(IF(FIND("_",$B180)&gt;0,INDEX(WP!$A$2:$F$23,MATCH(LEFT($B180,FIND("_",$B180)-1),WP!$E$2:$E$23,0),2),IF(FIND("-",$B180)&gt;0,INDEX(WP!$A$2:$F$23,MATCH(LEFT($B180,FIND("_",$B180)-1),WP!$E$2:$E$23,0),2))),INDEX(WP!$A$2:$F$23,MATCH(Results!$B180,WP!$E$2:$E$23,0),2)),5),(IFERROR(IF(FIND("_",$B180)&gt;0,INDEX(WP!$A$2:$F$23,MATCH(LEFT($B180,FIND("_",$B180)-1),WP!$E$2:$E$23,0),2),IF(FIND("-",$B180)&gt;0,INDEX(WP!$A$2:$F$23,MATCH(LEFT($B180,FIND("_",$B180)-1),WP!$E$2:$E$23,0),2))),INDEX(WP!$A$2:$F$23,MATCH(Results!$B180,WP!$E$2:$E$23,0),2)))),IF(RIGHT(IFERROR(IF(FIND("_",$B180)&gt;0,INDEX(WP!$A$2:$F$23,MATCH(LEFT($B180,FIND("_",$B180)-1),WP!$E$2:$E$23,0),2),IF(FIND("-",$B180)&gt;0,INDEX(WP!$A$2:$F$23,MATCH(LEFT($B180,FIND("_",$B180)-1),WP!$E$2:$E$23,0),2))),INDEX(WP!$A$2:$F$23,MATCH(Results!$B180,WP!$E$2:$E$23,0),2)),6)="Series",LEFT(IFERROR(IF(FIND("_",$B180)&gt;0,INDEX(WP!$A$2:$F$23,MATCH(LEFT($B180,FIND("_",$B180)-1),WP!$E$2:$E$23,0),2),IF(FIND("-",$B180)&gt;0,INDEX(WP!$A$2:$F$23,MATCH(LEFT($B180,FIND("_",$B180)-1),WP!$E$2:$E$23,0),2))),INDEX(WP!$A$2:$F$23,MATCH(Results!$B180,WP!$E$2:$E$23,0),2)),5),(IFERROR(IF(FIND("_",$B180)&gt;0,INDEX(WP!$A$2:$F$23,MATCH(LEFT($B180,FIND("_",$B180)-1),WP!$E$2:$E$23,0),2),IF(FIND("-",$B180)&gt;0,INDEX(WP!$A$2:$F$23,MATCH(LEFT($B180,FIND("_",$B180)-1),WP!$E$2:$E$23,0),2))),INDEX(WP!$A$2:$F$23,MATCH(Results!$B180,WP!$E$2:$E$23,0),2))))&amp;"-"&amp;$I180),"")</f>
        <v/>
      </c>
      <c r="G180" s="17" t="str">
        <f>IF(LEN(_xlfn.IFNA(IF(IFERROR(IF(FIND("_",$B180)&gt;0,MID($B180,FIND("_",$B180)+1,LEN($B180)),IF(FIND("-",$B180)&gt;0,MID($B180,FIND("-",$B180)+1,LEN($B180)))),"")="",IFERROR(VLOOKUP($F180,WP!$B$2:$C$23,2,0),VLOOKUP($C180,Series!$A$3:$F$11,6,0)),IFERROR(VLOOKUP($F180,WP!$B$2:$C$23,2,0),VLOOKUP($C180,Series!$A$3:$F$11,6,0))&amp;" - "&amp;(IFERROR(IF(FIND("_",$B180)&gt;0,MID($B180,FIND("_",$B180)+1,LEN($B180)),IF(FIND("-",$B180)&gt;0,MID($B180,FIND("-",$B180)+1,LEN($B180)))),""))),""))&lt;64,_xlfn.IFNA(IF(IFERROR(IF(FIND("_",$B180)&gt;0,MID($B180,FIND("_",$B180)+1,LEN($B180)),IF(FIND("-",$B180)&gt;0,MID($B180,FIND("-",$B180)+1,LEN($B180)))),"")="",IFERROR(VLOOKUP($F180,WP!$B$2:$C$23,2,0),VLOOKUP($C180,Series!$A$3:$F$11,6,0)),IFERROR(VLOOKUP($F180,WP!$B$2:$C$23,2,0),VLOOKUP($C180,Series!$A$3:$F$11,6,0))&amp;" - "&amp;(IFERROR(IF(FIND("_",$B180)&gt;0,MID($B180,FIND("_",$B180)+1,LEN($B180)),IF(FIND("-",$B180)&gt;0,MID($B180,FIND("-",$B180)+1,LEN($B180)))),""))),""),LEFT((_xlfn.IFNA(IF(IFERROR(IF(FIND("_",$B180)&gt;0,MID($B180,FIND("_",$B180)+1,LEN($B180)),IF(FIND("-",$B180)&gt;0,MID($B180,FIND("-",$B180)+1,LEN($B180)))),"")="",IFERROR(VLOOKUP($F180,WP!$B$2:$C$23,2,0),VLOOKUP($C180,Series!$A$3:$F$11,6,0)),IFERROR(VLOOKUP($F180,WP!$B$2:$C$23,2,0),VLOOKUP($C180,Series!$A$3:$F$11,6,0))&amp;" - "&amp;(IFERROR(IF(FIND("_",$B180)&gt;0,MID($B180,FIND("_",$B180)+1,LEN($B180)),IF(FIND("-",$B180)&gt;0,MID($B180,FIND("-",$B180)+1,LEN($B180)))),""))),"")),64))</f>
        <v/>
      </c>
      <c r="H180" s="12"/>
      <c r="I180" s="12" t="str">
        <f>IF($D180&lt;&gt;"",COUNTIF($D$7:$D180,"="&amp;$D180),"")</f>
        <v/>
      </c>
      <c r="J180"/>
      <c r="K180" s="8"/>
      <c r="L180"/>
    </row>
    <row r="181" spans="1:12" x14ac:dyDescent="0.3">
      <c r="A181" s="1"/>
      <c r="B181" s="26"/>
      <c r="C181" s="12" t="str">
        <f>_xlfn.IFNA(IFERROR(IF(FIND("_",$B181)&gt;0,INDEX(WP!$A$2:$F$23,MATCH(LEFT($B181,FIND("_",$B181)-1),WP!$E$2:$E$23,0),1),IF(FIND("-",$B181)&gt;0,INDEX(WP!$A$2:$F$23,MATCH(LEFT($B181,FIND("_",$B181)-1),WP!$E$2:$E$23,0),1))),INDEX(WP!$A$2:$F$23,MATCH(Results!$B181,WP!$E$2:$E$23,0),1)),"")</f>
        <v/>
      </c>
      <c r="D181" s="12" t="str">
        <f>IFERROR(IFERROR(IF(RIGHT(INDEX(WP!$A$2:$F$23,MATCH(IF(FIND("_",$B181)&gt;0,LEFT($B181,FIND("_",$B181)-1)),WP!$E$2:$E$23,0),2),6)="Series",LEFT(INDEX(WP!$A$2:$F$23,MATCH(IF(FIND("_",$B181)&gt;0,LEFT($B181,FIND("_",$B181)-1)),WP!$E$2:$E$23,0),2),5),""),IF(RIGHT(INDEX(WP!$A$2:$F$23,MATCH($B181,WP!$E$2:$E$23,0),2),6)="Series",LEFT(INDEX(WP!$A$2:$F$23,MATCH($B181,WP!$E$2:$E$23,0),2),5),"")),"")</f>
        <v/>
      </c>
      <c r="E181" s="17" t="str">
        <f>IFERROR(VLOOKUP(VALUE($D181),Series!$B$3:$F$11,2,0),"")</f>
        <v/>
      </c>
      <c r="F181" s="12" t="str">
        <f>_xlfn.IFNA(IF(IF($D181&lt;&gt;"",COUNTIF($E:$E,"="&amp;$D181),"")="",IF(RIGHT(IFERROR(IF(FIND("_",$B181)&gt;0,INDEX(WP!$A$2:$F$23,MATCH(LEFT($B181,FIND("_",$B181)-1),WP!$E$2:$E$23,0),2),IF(FIND("-",$B181)&gt;0,INDEX(WP!$A$2:$F$23,MATCH(LEFT($B181,FIND("_",$B181)-1),WP!$E$2:$E$23,0),2))),INDEX(WP!$A$2:$F$23,MATCH(Results!$B181,WP!$E$2:$E$23,0),2)),6)="Series",LEFT(IFERROR(IF(FIND("_",$B181)&gt;0,INDEX(WP!$A$2:$F$23,MATCH(LEFT($B181,FIND("_",$B181)-1),WP!$E$2:$E$23,0),2),IF(FIND("-",$B181)&gt;0,INDEX(WP!$A$2:$F$23,MATCH(LEFT($B181,FIND("_",$B181)-1),WP!$E$2:$E$23,0),2))),INDEX(WP!$A$2:$F$23,MATCH(Results!$B181,WP!$E$2:$E$23,0),2)),5),(IFERROR(IF(FIND("_",$B181)&gt;0,INDEX(WP!$A$2:$F$23,MATCH(LEFT($B181,FIND("_",$B181)-1),WP!$E$2:$E$23,0),2),IF(FIND("-",$B181)&gt;0,INDEX(WP!$A$2:$F$23,MATCH(LEFT($B181,FIND("_",$B181)-1),WP!$E$2:$E$23,0),2))),INDEX(WP!$A$2:$F$23,MATCH(Results!$B181,WP!$E$2:$E$23,0),2)))),IF(RIGHT(IFERROR(IF(FIND("_",$B181)&gt;0,INDEX(WP!$A$2:$F$23,MATCH(LEFT($B181,FIND("_",$B181)-1),WP!$E$2:$E$23,0),2),IF(FIND("-",$B181)&gt;0,INDEX(WP!$A$2:$F$23,MATCH(LEFT($B181,FIND("_",$B181)-1),WP!$E$2:$E$23,0),2))),INDEX(WP!$A$2:$F$23,MATCH(Results!$B181,WP!$E$2:$E$23,0),2)),6)="Series",LEFT(IFERROR(IF(FIND("_",$B181)&gt;0,INDEX(WP!$A$2:$F$23,MATCH(LEFT($B181,FIND("_",$B181)-1),WP!$E$2:$E$23,0),2),IF(FIND("-",$B181)&gt;0,INDEX(WP!$A$2:$F$23,MATCH(LEFT($B181,FIND("_",$B181)-1),WP!$E$2:$E$23,0),2))),INDEX(WP!$A$2:$F$23,MATCH(Results!$B181,WP!$E$2:$E$23,0),2)),5),(IFERROR(IF(FIND("_",$B181)&gt;0,INDEX(WP!$A$2:$F$23,MATCH(LEFT($B181,FIND("_",$B181)-1),WP!$E$2:$E$23,0),2),IF(FIND("-",$B181)&gt;0,INDEX(WP!$A$2:$F$23,MATCH(LEFT($B181,FIND("_",$B181)-1),WP!$E$2:$E$23,0),2))),INDEX(WP!$A$2:$F$23,MATCH(Results!$B181,WP!$E$2:$E$23,0),2))))&amp;"-"&amp;$I181),"")</f>
        <v/>
      </c>
      <c r="G181" s="17" t="str">
        <f>IF(LEN(_xlfn.IFNA(IF(IFERROR(IF(FIND("_",$B181)&gt;0,MID($B181,FIND("_",$B181)+1,LEN($B181)),IF(FIND("-",$B181)&gt;0,MID($B181,FIND("-",$B181)+1,LEN($B181)))),"")="",IFERROR(VLOOKUP($F181,WP!$B$2:$C$23,2,0),VLOOKUP($C181,Series!$A$3:$F$11,6,0)),IFERROR(VLOOKUP($F181,WP!$B$2:$C$23,2,0),VLOOKUP($C181,Series!$A$3:$F$11,6,0))&amp;" - "&amp;(IFERROR(IF(FIND("_",$B181)&gt;0,MID($B181,FIND("_",$B181)+1,LEN($B181)),IF(FIND("-",$B181)&gt;0,MID($B181,FIND("-",$B181)+1,LEN($B181)))),""))),""))&lt;64,_xlfn.IFNA(IF(IFERROR(IF(FIND("_",$B181)&gt;0,MID($B181,FIND("_",$B181)+1,LEN($B181)),IF(FIND("-",$B181)&gt;0,MID($B181,FIND("-",$B181)+1,LEN($B181)))),"")="",IFERROR(VLOOKUP($F181,WP!$B$2:$C$23,2,0),VLOOKUP($C181,Series!$A$3:$F$11,6,0)),IFERROR(VLOOKUP($F181,WP!$B$2:$C$23,2,0),VLOOKUP($C181,Series!$A$3:$F$11,6,0))&amp;" - "&amp;(IFERROR(IF(FIND("_",$B181)&gt;0,MID($B181,FIND("_",$B181)+1,LEN($B181)),IF(FIND("-",$B181)&gt;0,MID($B181,FIND("-",$B181)+1,LEN($B181)))),""))),""),LEFT((_xlfn.IFNA(IF(IFERROR(IF(FIND("_",$B181)&gt;0,MID($B181,FIND("_",$B181)+1,LEN($B181)),IF(FIND("-",$B181)&gt;0,MID($B181,FIND("-",$B181)+1,LEN($B181)))),"")="",IFERROR(VLOOKUP($F181,WP!$B$2:$C$23,2,0),VLOOKUP($C181,Series!$A$3:$F$11,6,0)),IFERROR(VLOOKUP($F181,WP!$B$2:$C$23,2,0),VLOOKUP($C181,Series!$A$3:$F$11,6,0))&amp;" - "&amp;(IFERROR(IF(FIND("_",$B181)&gt;0,MID($B181,FIND("_",$B181)+1,LEN($B181)),IF(FIND("-",$B181)&gt;0,MID($B181,FIND("-",$B181)+1,LEN($B181)))),""))),"")),64))</f>
        <v/>
      </c>
      <c r="H181" s="12"/>
      <c r="I181" s="12" t="str">
        <f>IF($D181&lt;&gt;"",COUNTIF($D$7:$D181,"="&amp;$D181),"")</f>
        <v/>
      </c>
      <c r="J181"/>
      <c r="K181" s="8"/>
      <c r="L181"/>
    </row>
    <row r="182" spans="1:12" x14ac:dyDescent="0.3">
      <c r="A182" s="1"/>
      <c r="B182" s="26"/>
      <c r="C182" s="12" t="str">
        <f>_xlfn.IFNA(IFERROR(IF(FIND("_",$B182)&gt;0,INDEX(WP!$A$2:$F$23,MATCH(LEFT($B182,FIND("_",$B182)-1),WP!$E$2:$E$23,0),1),IF(FIND("-",$B182)&gt;0,INDEX(WP!$A$2:$F$23,MATCH(LEFT($B182,FIND("_",$B182)-1),WP!$E$2:$E$23,0),1))),INDEX(WP!$A$2:$F$23,MATCH(Results!$B182,WP!$E$2:$E$23,0),1)),"")</f>
        <v/>
      </c>
      <c r="D182" s="12" t="str">
        <f>IFERROR(IFERROR(IF(RIGHT(INDEX(WP!$A$2:$F$23,MATCH(IF(FIND("_",$B182)&gt;0,LEFT($B182,FIND("_",$B182)-1)),WP!$E$2:$E$23,0),2),6)="Series",LEFT(INDEX(WP!$A$2:$F$23,MATCH(IF(FIND("_",$B182)&gt;0,LEFT($B182,FIND("_",$B182)-1)),WP!$E$2:$E$23,0),2),5),""),IF(RIGHT(INDEX(WP!$A$2:$F$23,MATCH($B182,WP!$E$2:$E$23,0),2),6)="Series",LEFT(INDEX(WP!$A$2:$F$23,MATCH($B182,WP!$E$2:$E$23,0),2),5),"")),"")</f>
        <v/>
      </c>
      <c r="E182" s="17" t="str">
        <f>IFERROR(VLOOKUP(VALUE($D182),Series!$B$3:$F$11,2,0),"")</f>
        <v/>
      </c>
      <c r="F182" s="12" t="str">
        <f>_xlfn.IFNA(IF(IF($D182&lt;&gt;"",COUNTIF($E:$E,"="&amp;$D182),"")="",IF(RIGHT(IFERROR(IF(FIND("_",$B182)&gt;0,INDEX(WP!$A$2:$F$23,MATCH(LEFT($B182,FIND("_",$B182)-1),WP!$E$2:$E$23,0),2),IF(FIND("-",$B182)&gt;0,INDEX(WP!$A$2:$F$23,MATCH(LEFT($B182,FIND("_",$B182)-1),WP!$E$2:$E$23,0),2))),INDEX(WP!$A$2:$F$23,MATCH(Results!$B182,WP!$E$2:$E$23,0),2)),6)="Series",LEFT(IFERROR(IF(FIND("_",$B182)&gt;0,INDEX(WP!$A$2:$F$23,MATCH(LEFT($B182,FIND("_",$B182)-1),WP!$E$2:$E$23,0),2),IF(FIND("-",$B182)&gt;0,INDEX(WP!$A$2:$F$23,MATCH(LEFT($B182,FIND("_",$B182)-1),WP!$E$2:$E$23,0),2))),INDEX(WP!$A$2:$F$23,MATCH(Results!$B182,WP!$E$2:$E$23,0),2)),5),(IFERROR(IF(FIND("_",$B182)&gt;0,INDEX(WP!$A$2:$F$23,MATCH(LEFT($B182,FIND("_",$B182)-1),WP!$E$2:$E$23,0),2),IF(FIND("-",$B182)&gt;0,INDEX(WP!$A$2:$F$23,MATCH(LEFT($B182,FIND("_",$B182)-1),WP!$E$2:$E$23,0),2))),INDEX(WP!$A$2:$F$23,MATCH(Results!$B182,WP!$E$2:$E$23,0),2)))),IF(RIGHT(IFERROR(IF(FIND("_",$B182)&gt;0,INDEX(WP!$A$2:$F$23,MATCH(LEFT($B182,FIND("_",$B182)-1),WP!$E$2:$E$23,0),2),IF(FIND("-",$B182)&gt;0,INDEX(WP!$A$2:$F$23,MATCH(LEFT($B182,FIND("_",$B182)-1),WP!$E$2:$E$23,0),2))),INDEX(WP!$A$2:$F$23,MATCH(Results!$B182,WP!$E$2:$E$23,0),2)),6)="Series",LEFT(IFERROR(IF(FIND("_",$B182)&gt;0,INDEX(WP!$A$2:$F$23,MATCH(LEFT($B182,FIND("_",$B182)-1),WP!$E$2:$E$23,0),2),IF(FIND("-",$B182)&gt;0,INDEX(WP!$A$2:$F$23,MATCH(LEFT($B182,FIND("_",$B182)-1),WP!$E$2:$E$23,0),2))),INDEX(WP!$A$2:$F$23,MATCH(Results!$B182,WP!$E$2:$E$23,0),2)),5),(IFERROR(IF(FIND("_",$B182)&gt;0,INDEX(WP!$A$2:$F$23,MATCH(LEFT($B182,FIND("_",$B182)-1),WP!$E$2:$E$23,0),2),IF(FIND("-",$B182)&gt;0,INDEX(WP!$A$2:$F$23,MATCH(LEFT($B182,FIND("_",$B182)-1),WP!$E$2:$E$23,0),2))),INDEX(WP!$A$2:$F$23,MATCH(Results!$B182,WP!$E$2:$E$23,0),2))))&amp;"-"&amp;$I182),"")</f>
        <v/>
      </c>
      <c r="G182" s="17" t="str">
        <f>IF(LEN(_xlfn.IFNA(IF(IFERROR(IF(FIND("_",$B182)&gt;0,MID($B182,FIND("_",$B182)+1,LEN($B182)),IF(FIND("-",$B182)&gt;0,MID($B182,FIND("-",$B182)+1,LEN($B182)))),"")="",IFERROR(VLOOKUP($F182,WP!$B$2:$C$23,2,0),VLOOKUP($C182,Series!$A$3:$F$11,6,0)),IFERROR(VLOOKUP($F182,WP!$B$2:$C$23,2,0),VLOOKUP($C182,Series!$A$3:$F$11,6,0))&amp;" - "&amp;(IFERROR(IF(FIND("_",$B182)&gt;0,MID($B182,FIND("_",$B182)+1,LEN($B182)),IF(FIND("-",$B182)&gt;0,MID($B182,FIND("-",$B182)+1,LEN($B182)))),""))),""))&lt;64,_xlfn.IFNA(IF(IFERROR(IF(FIND("_",$B182)&gt;0,MID($B182,FIND("_",$B182)+1,LEN($B182)),IF(FIND("-",$B182)&gt;0,MID($B182,FIND("-",$B182)+1,LEN($B182)))),"")="",IFERROR(VLOOKUP($F182,WP!$B$2:$C$23,2,0),VLOOKUP($C182,Series!$A$3:$F$11,6,0)),IFERROR(VLOOKUP($F182,WP!$B$2:$C$23,2,0),VLOOKUP($C182,Series!$A$3:$F$11,6,0))&amp;" - "&amp;(IFERROR(IF(FIND("_",$B182)&gt;0,MID($B182,FIND("_",$B182)+1,LEN($B182)),IF(FIND("-",$B182)&gt;0,MID($B182,FIND("-",$B182)+1,LEN($B182)))),""))),""),LEFT((_xlfn.IFNA(IF(IFERROR(IF(FIND("_",$B182)&gt;0,MID($B182,FIND("_",$B182)+1,LEN($B182)),IF(FIND("-",$B182)&gt;0,MID($B182,FIND("-",$B182)+1,LEN($B182)))),"")="",IFERROR(VLOOKUP($F182,WP!$B$2:$C$23,2,0),VLOOKUP($C182,Series!$A$3:$F$11,6,0)),IFERROR(VLOOKUP($F182,WP!$B$2:$C$23,2,0),VLOOKUP($C182,Series!$A$3:$F$11,6,0))&amp;" - "&amp;(IFERROR(IF(FIND("_",$B182)&gt;0,MID($B182,FIND("_",$B182)+1,LEN($B182)),IF(FIND("-",$B182)&gt;0,MID($B182,FIND("-",$B182)+1,LEN($B182)))),""))),"")),64))</f>
        <v/>
      </c>
      <c r="H182" s="12"/>
      <c r="I182" s="12" t="str">
        <f>IF($D182&lt;&gt;"",COUNTIF($D$7:$D182,"="&amp;$D182),"")</f>
        <v/>
      </c>
      <c r="J182"/>
      <c r="K182" s="8"/>
      <c r="L182"/>
    </row>
    <row r="183" spans="1:12" x14ac:dyDescent="0.3">
      <c r="A183" s="1"/>
      <c r="B183" s="26"/>
      <c r="C183" s="12" t="str">
        <f>_xlfn.IFNA(IFERROR(IF(FIND("_",$B183)&gt;0,INDEX(WP!$A$2:$F$23,MATCH(LEFT($B183,FIND("_",$B183)-1),WP!$E$2:$E$23,0),1),IF(FIND("-",$B183)&gt;0,INDEX(WP!$A$2:$F$23,MATCH(LEFT($B183,FIND("_",$B183)-1),WP!$E$2:$E$23,0),1))),INDEX(WP!$A$2:$F$23,MATCH(Results!$B183,WP!$E$2:$E$23,0),1)),"")</f>
        <v/>
      </c>
      <c r="D183" s="12" t="str">
        <f>IFERROR(IFERROR(IF(RIGHT(INDEX(WP!$A$2:$F$23,MATCH(IF(FIND("_",$B183)&gt;0,LEFT($B183,FIND("_",$B183)-1)),WP!$E$2:$E$23,0),2),6)="Series",LEFT(INDEX(WP!$A$2:$F$23,MATCH(IF(FIND("_",$B183)&gt;0,LEFT($B183,FIND("_",$B183)-1)),WP!$E$2:$E$23,0),2),5),""),IF(RIGHT(INDEX(WP!$A$2:$F$23,MATCH($B183,WP!$E$2:$E$23,0),2),6)="Series",LEFT(INDEX(WP!$A$2:$F$23,MATCH($B183,WP!$E$2:$E$23,0),2),5),"")),"")</f>
        <v/>
      </c>
      <c r="E183" s="17" t="str">
        <f>IFERROR(VLOOKUP(VALUE($D183),Series!$B$3:$F$11,2,0),"")</f>
        <v/>
      </c>
      <c r="F183" s="12" t="str">
        <f>_xlfn.IFNA(IF(IF($D183&lt;&gt;"",COUNTIF($E:$E,"="&amp;$D183),"")="",IF(RIGHT(IFERROR(IF(FIND("_",$B183)&gt;0,INDEX(WP!$A$2:$F$23,MATCH(LEFT($B183,FIND("_",$B183)-1),WP!$E$2:$E$23,0),2),IF(FIND("-",$B183)&gt;0,INDEX(WP!$A$2:$F$23,MATCH(LEFT($B183,FIND("_",$B183)-1),WP!$E$2:$E$23,0),2))),INDEX(WP!$A$2:$F$23,MATCH(Results!$B183,WP!$E$2:$E$23,0),2)),6)="Series",LEFT(IFERROR(IF(FIND("_",$B183)&gt;0,INDEX(WP!$A$2:$F$23,MATCH(LEFT($B183,FIND("_",$B183)-1),WP!$E$2:$E$23,0),2),IF(FIND("-",$B183)&gt;0,INDEX(WP!$A$2:$F$23,MATCH(LEFT($B183,FIND("_",$B183)-1),WP!$E$2:$E$23,0),2))),INDEX(WP!$A$2:$F$23,MATCH(Results!$B183,WP!$E$2:$E$23,0),2)),5),(IFERROR(IF(FIND("_",$B183)&gt;0,INDEX(WP!$A$2:$F$23,MATCH(LEFT($B183,FIND("_",$B183)-1),WP!$E$2:$E$23,0),2),IF(FIND("-",$B183)&gt;0,INDEX(WP!$A$2:$F$23,MATCH(LEFT($B183,FIND("_",$B183)-1),WP!$E$2:$E$23,0),2))),INDEX(WP!$A$2:$F$23,MATCH(Results!$B183,WP!$E$2:$E$23,0),2)))),IF(RIGHT(IFERROR(IF(FIND("_",$B183)&gt;0,INDEX(WP!$A$2:$F$23,MATCH(LEFT($B183,FIND("_",$B183)-1),WP!$E$2:$E$23,0),2),IF(FIND("-",$B183)&gt;0,INDEX(WP!$A$2:$F$23,MATCH(LEFT($B183,FIND("_",$B183)-1),WP!$E$2:$E$23,0),2))),INDEX(WP!$A$2:$F$23,MATCH(Results!$B183,WP!$E$2:$E$23,0),2)),6)="Series",LEFT(IFERROR(IF(FIND("_",$B183)&gt;0,INDEX(WP!$A$2:$F$23,MATCH(LEFT($B183,FIND("_",$B183)-1),WP!$E$2:$E$23,0),2),IF(FIND("-",$B183)&gt;0,INDEX(WP!$A$2:$F$23,MATCH(LEFT($B183,FIND("_",$B183)-1),WP!$E$2:$E$23,0),2))),INDEX(WP!$A$2:$F$23,MATCH(Results!$B183,WP!$E$2:$E$23,0),2)),5),(IFERROR(IF(FIND("_",$B183)&gt;0,INDEX(WP!$A$2:$F$23,MATCH(LEFT($B183,FIND("_",$B183)-1),WP!$E$2:$E$23,0),2),IF(FIND("-",$B183)&gt;0,INDEX(WP!$A$2:$F$23,MATCH(LEFT($B183,FIND("_",$B183)-1),WP!$E$2:$E$23,0),2))),INDEX(WP!$A$2:$F$23,MATCH(Results!$B183,WP!$E$2:$E$23,0),2))))&amp;"-"&amp;$I183),"")</f>
        <v/>
      </c>
      <c r="G183" s="17" t="str">
        <f>IF(LEN(_xlfn.IFNA(IF(IFERROR(IF(FIND("_",$B183)&gt;0,MID($B183,FIND("_",$B183)+1,LEN($B183)),IF(FIND("-",$B183)&gt;0,MID($B183,FIND("-",$B183)+1,LEN($B183)))),"")="",IFERROR(VLOOKUP($F183,WP!$B$2:$C$23,2,0),VLOOKUP($C183,Series!$A$3:$F$11,6,0)),IFERROR(VLOOKUP($F183,WP!$B$2:$C$23,2,0),VLOOKUP($C183,Series!$A$3:$F$11,6,0))&amp;" - "&amp;(IFERROR(IF(FIND("_",$B183)&gt;0,MID($B183,FIND("_",$B183)+1,LEN($B183)),IF(FIND("-",$B183)&gt;0,MID($B183,FIND("-",$B183)+1,LEN($B183)))),""))),""))&lt;64,_xlfn.IFNA(IF(IFERROR(IF(FIND("_",$B183)&gt;0,MID($B183,FIND("_",$B183)+1,LEN($B183)),IF(FIND("-",$B183)&gt;0,MID($B183,FIND("-",$B183)+1,LEN($B183)))),"")="",IFERROR(VLOOKUP($F183,WP!$B$2:$C$23,2,0),VLOOKUP($C183,Series!$A$3:$F$11,6,0)),IFERROR(VLOOKUP($F183,WP!$B$2:$C$23,2,0),VLOOKUP($C183,Series!$A$3:$F$11,6,0))&amp;" - "&amp;(IFERROR(IF(FIND("_",$B183)&gt;0,MID($B183,FIND("_",$B183)+1,LEN($B183)),IF(FIND("-",$B183)&gt;0,MID($B183,FIND("-",$B183)+1,LEN($B183)))),""))),""),LEFT((_xlfn.IFNA(IF(IFERROR(IF(FIND("_",$B183)&gt;0,MID($B183,FIND("_",$B183)+1,LEN($B183)),IF(FIND("-",$B183)&gt;0,MID($B183,FIND("-",$B183)+1,LEN($B183)))),"")="",IFERROR(VLOOKUP($F183,WP!$B$2:$C$23,2,0),VLOOKUP($C183,Series!$A$3:$F$11,6,0)),IFERROR(VLOOKUP($F183,WP!$B$2:$C$23,2,0),VLOOKUP($C183,Series!$A$3:$F$11,6,0))&amp;" - "&amp;(IFERROR(IF(FIND("_",$B183)&gt;0,MID($B183,FIND("_",$B183)+1,LEN($B183)),IF(FIND("-",$B183)&gt;0,MID($B183,FIND("-",$B183)+1,LEN($B183)))),""))),"")),64))</f>
        <v/>
      </c>
      <c r="H183" s="12"/>
      <c r="I183" s="12" t="str">
        <f>IF($D183&lt;&gt;"",COUNTIF($D$7:$D183,"="&amp;$D183),"")</f>
        <v/>
      </c>
      <c r="J183"/>
      <c r="K183" s="8"/>
      <c r="L183"/>
    </row>
    <row r="184" spans="1:12" x14ac:dyDescent="0.3">
      <c r="A184" s="1"/>
      <c r="B184" s="26"/>
      <c r="C184" s="12" t="str">
        <f>_xlfn.IFNA(IFERROR(IF(FIND("_",$B184)&gt;0,INDEX(WP!$A$2:$F$23,MATCH(LEFT($B184,FIND("_",$B184)-1),WP!$E$2:$E$23,0),1),IF(FIND("-",$B184)&gt;0,INDEX(WP!$A$2:$F$23,MATCH(LEFT($B184,FIND("_",$B184)-1),WP!$E$2:$E$23,0),1))),INDEX(WP!$A$2:$F$23,MATCH(Results!$B184,WP!$E$2:$E$23,0),1)),"")</f>
        <v/>
      </c>
      <c r="D184" s="12" t="str">
        <f>IFERROR(IFERROR(IF(RIGHT(INDEX(WP!$A$2:$F$23,MATCH(IF(FIND("_",$B184)&gt;0,LEFT($B184,FIND("_",$B184)-1)),WP!$E$2:$E$23,0),2),6)="Series",LEFT(INDEX(WP!$A$2:$F$23,MATCH(IF(FIND("_",$B184)&gt;0,LEFT($B184,FIND("_",$B184)-1)),WP!$E$2:$E$23,0),2),5),""),IF(RIGHT(INDEX(WP!$A$2:$F$23,MATCH($B184,WP!$E$2:$E$23,0),2),6)="Series",LEFT(INDEX(WP!$A$2:$F$23,MATCH($B184,WP!$E$2:$E$23,0),2),5),"")),"")</f>
        <v/>
      </c>
      <c r="E184" s="17" t="str">
        <f>IFERROR(VLOOKUP(VALUE($D184),Series!$B$3:$F$11,2,0),"")</f>
        <v/>
      </c>
      <c r="F184" s="12" t="str">
        <f>_xlfn.IFNA(IF(IF($D184&lt;&gt;"",COUNTIF($E:$E,"="&amp;$D184),"")="",IF(RIGHT(IFERROR(IF(FIND("_",$B184)&gt;0,INDEX(WP!$A$2:$F$23,MATCH(LEFT($B184,FIND("_",$B184)-1),WP!$E$2:$E$23,0),2),IF(FIND("-",$B184)&gt;0,INDEX(WP!$A$2:$F$23,MATCH(LEFT($B184,FIND("_",$B184)-1),WP!$E$2:$E$23,0),2))),INDEX(WP!$A$2:$F$23,MATCH(Results!$B184,WP!$E$2:$E$23,0),2)),6)="Series",LEFT(IFERROR(IF(FIND("_",$B184)&gt;0,INDEX(WP!$A$2:$F$23,MATCH(LEFT($B184,FIND("_",$B184)-1),WP!$E$2:$E$23,0),2),IF(FIND("-",$B184)&gt;0,INDEX(WP!$A$2:$F$23,MATCH(LEFT($B184,FIND("_",$B184)-1),WP!$E$2:$E$23,0),2))),INDEX(WP!$A$2:$F$23,MATCH(Results!$B184,WP!$E$2:$E$23,0),2)),5),(IFERROR(IF(FIND("_",$B184)&gt;0,INDEX(WP!$A$2:$F$23,MATCH(LEFT($B184,FIND("_",$B184)-1),WP!$E$2:$E$23,0),2),IF(FIND("-",$B184)&gt;0,INDEX(WP!$A$2:$F$23,MATCH(LEFT($B184,FIND("_",$B184)-1),WP!$E$2:$E$23,0),2))),INDEX(WP!$A$2:$F$23,MATCH(Results!$B184,WP!$E$2:$E$23,0),2)))),IF(RIGHT(IFERROR(IF(FIND("_",$B184)&gt;0,INDEX(WP!$A$2:$F$23,MATCH(LEFT($B184,FIND("_",$B184)-1),WP!$E$2:$E$23,0),2),IF(FIND("-",$B184)&gt;0,INDEX(WP!$A$2:$F$23,MATCH(LEFT($B184,FIND("_",$B184)-1),WP!$E$2:$E$23,0),2))),INDEX(WP!$A$2:$F$23,MATCH(Results!$B184,WP!$E$2:$E$23,0),2)),6)="Series",LEFT(IFERROR(IF(FIND("_",$B184)&gt;0,INDEX(WP!$A$2:$F$23,MATCH(LEFT($B184,FIND("_",$B184)-1),WP!$E$2:$E$23,0),2),IF(FIND("-",$B184)&gt;0,INDEX(WP!$A$2:$F$23,MATCH(LEFT($B184,FIND("_",$B184)-1),WP!$E$2:$E$23,0),2))),INDEX(WP!$A$2:$F$23,MATCH(Results!$B184,WP!$E$2:$E$23,0),2)),5),(IFERROR(IF(FIND("_",$B184)&gt;0,INDEX(WP!$A$2:$F$23,MATCH(LEFT($B184,FIND("_",$B184)-1),WP!$E$2:$E$23,0),2),IF(FIND("-",$B184)&gt;0,INDEX(WP!$A$2:$F$23,MATCH(LEFT($B184,FIND("_",$B184)-1),WP!$E$2:$E$23,0),2))),INDEX(WP!$A$2:$F$23,MATCH(Results!$B184,WP!$E$2:$E$23,0),2))))&amp;"-"&amp;$I184),"")</f>
        <v/>
      </c>
      <c r="G184" s="17" t="str">
        <f>IF(LEN(_xlfn.IFNA(IF(IFERROR(IF(FIND("_",$B184)&gt;0,MID($B184,FIND("_",$B184)+1,LEN($B184)),IF(FIND("-",$B184)&gt;0,MID($B184,FIND("-",$B184)+1,LEN($B184)))),"")="",IFERROR(VLOOKUP($F184,WP!$B$2:$C$23,2,0),VLOOKUP($C184,Series!$A$3:$F$11,6,0)),IFERROR(VLOOKUP($F184,WP!$B$2:$C$23,2,0),VLOOKUP($C184,Series!$A$3:$F$11,6,0))&amp;" - "&amp;(IFERROR(IF(FIND("_",$B184)&gt;0,MID($B184,FIND("_",$B184)+1,LEN($B184)),IF(FIND("-",$B184)&gt;0,MID($B184,FIND("-",$B184)+1,LEN($B184)))),""))),""))&lt;64,_xlfn.IFNA(IF(IFERROR(IF(FIND("_",$B184)&gt;0,MID($B184,FIND("_",$B184)+1,LEN($B184)),IF(FIND("-",$B184)&gt;0,MID($B184,FIND("-",$B184)+1,LEN($B184)))),"")="",IFERROR(VLOOKUP($F184,WP!$B$2:$C$23,2,0),VLOOKUP($C184,Series!$A$3:$F$11,6,0)),IFERROR(VLOOKUP($F184,WP!$B$2:$C$23,2,0),VLOOKUP($C184,Series!$A$3:$F$11,6,0))&amp;" - "&amp;(IFERROR(IF(FIND("_",$B184)&gt;0,MID($B184,FIND("_",$B184)+1,LEN($B184)),IF(FIND("-",$B184)&gt;0,MID($B184,FIND("-",$B184)+1,LEN($B184)))),""))),""),LEFT((_xlfn.IFNA(IF(IFERROR(IF(FIND("_",$B184)&gt;0,MID($B184,FIND("_",$B184)+1,LEN($B184)),IF(FIND("-",$B184)&gt;0,MID($B184,FIND("-",$B184)+1,LEN($B184)))),"")="",IFERROR(VLOOKUP($F184,WP!$B$2:$C$23,2,0),VLOOKUP($C184,Series!$A$3:$F$11,6,0)),IFERROR(VLOOKUP($F184,WP!$B$2:$C$23,2,0),VLOOKUP($C184,Series!$A$3:$F$11,6,0))&amp;" - "&amp;(IFERROR(IF(FIND("_",$B184)&gt;0,MID($B184,FIND("_",$B184)+1,LEN($B184)),IF(FIND("-",$B184)&gt;0,MID($B184,FIND("-",$B184)+1,LEN($B184)))),""))),"")),64))</f>
        <v/>
      </c>
      <c r="H184" s="12"/>
      <c r="I184" s="12" t="str">
        <f>IF($D184&lt;&gt;"",COUNTIF($D$7:$D184,"="&amp;$D184),"")</f>
        <v/>
      </c>
      <c r="J184"/>
      <c r="K184" s="8"/>
      <c r="L184"/>
    </row>
    <row r="185" spans="1:12" x14ac:dyDescent="0.3">
      <c r="A185" s="1"/>
      <c r="B185" s="26"/>
      <c r="C185" s="12" t="str">
        <f>_xlfn.IFNA(IFERROR(IF(FIND("_",$B185)&gt;0,INDEX(WP!$A$2:$F$23,MATCH(LEFT($B185,FIND("_",$B185)-1),WP!$E$2:$E$23,0),1),IF(FIND("-",$B185)&gt;0,INDEX(WP!$A$2:$F$23,MATCH(LEFT($B185,FIND("_",$B185)-1),WP!$E$2:$E$23,0),1))),INDEX(WP!$A$2:$F$23,MATCH(Results!$B185,WP!$E$2:$E$23,0),1)),"")</f>
        <v/>
      </c>
      <c r="D185" s="12" t="str">
        <f>IFERROR(IFERROR(IF(RIGHT(INDEX(WP!$A$2:$F$23,MATCH(IF(FIND("_",$B185)&gt;0,LEFT($B185,FIND("_",$B185)-1)),WP!$E$2:$E$23,0),2),6)="Series",LEFT(INDEX(WP!$A$2:$F$23,MATCH(IF(FIND("_",$B185)&gt;0,LEFT($B185,FIND("_",$B185)-1)),WP!$E$2:$E$23,0),2),5),""),IF(RIGHT(INDEX(WP!$A$2:$F$23,MATCH($B185,WP!$E$2:$E$23,0),2),6)="Series",LEFT(INDEX(WP!$A$2:$F$23,MATCH($B185,WP!$E$2:$E$23,0),2),5),"")),"")</f>
        <v/>
      </c>
      <c r="E185" s="17" t="str">
        <f>IFERROR(VLOOKUP(VALUE($D185),Series!$B$3:$F$11,2,0),"")</f>
        <v/>
      </c>
      <c r="F185" s="12" t="str">
        <f>_xlfn.IFNA(IF(IF($D185&lt;&gt;"",COUNTIF($E:$E,"="&amp;$D185),"")="",IF(RIGHT(IFERROR(IF(FIND("_",$B185)&gt;0,INDEX(WP!$A$2:$F$23,MATCH(LEFT($B185,FIND("_",$B185)-1),WP!$E$2:$E$23,0),2),IF(FIND("-",$B185)&gt;0,INDEX(WP!$A$2:$F$23,MATCH(LEFT($B185,FIND("_",$B185)-1),WP!$E$2:$E$23,0),2))),INDEX(WP!$A$2:$F$23,MATCH(Results!$B185,WP!$E$2:$E$23,0),2)),6)="Series",LEFT(IFERROR(IF(FIND("_",$B185)&gt;0,INDEX(WP!$A$2:$F$23,MATCH(LEFT($B185,FIND("_",$B185)-1),WP!$E$2:$E$23,0),2),IF(FIND("-",$B185)&gt;0,INDEX(WP!$A$2:$F$23,MATCH(LEFT($B185,FIND("_",$B185)-1),WP!$E$2:$E$23,0),2))),INDEX(WP!$A$2:$F$23,MATCH(Results!$B185,WP!$E$2:$E$23,0),2)),5),(IFERROR(IF(FIND("_",$B185)&gt;0,INDEX(WP!$A$2:$F$23,MATCH(LEFT($B185,FIND("_",$B185)-1),WP!$E$2:$E$23,0),2),IF(FIND("-",$B185)&gt;0,INDEX(WP!$A$2:$F$23,MATCH(LEFT($B185,FIND("_",$B185)-1),WP!$E$2:$E$23,0),2))),INDEX(WP!$A$2:$F$23,MATCH(Results!$B185,WP!$E$2:$E$23,0),2)))),IF(RIGHT(IFERROR(IF(FIND("_",$B185)&gt;0,INDEX(WP!$A$2:$F$23,MATCH(LEFT($B185,FIND("_",$B185)-1),WP!$E$2:$E$23,0),2),IF(FIND("-",$B185)&gt;0,INDEX(WP!$A$2:$F$23,MATCH(LEFT($B185,FIND("_",$B185)-1),WP!$E$2:$E$23,0),2))),INDEX(WP!$A$2:$F$23,MATCH(Results!$B185,WP!$E$2:$E$23,0),2)),6)="Series",LEFT(IFERROR(IF(FIND("_",$B185)&gt;0,INDEX(WP!$A$2:$F$23,MATCH(LEFT($B185,FIND("_",$B185)-1),WP!$E$2:$E$23,0),2),IF(FIND("-",$B185)&gt;0,INDEX(WP!$A$2:$F$23,MATCH(LEFT($B185,FIND("_",$B185)-1),WP!$E$2:$E$23,0),2))),INDEX(WP!$A$2:$F$23,MATCH(Results!$B185,WP!$E$2:$E$23,0),2)),5),(IFERROR(IF(FIND("_",$B185)&gt;0,INDEX(WP!$A$2:$F$23,MATCH(LEFT($B185,FIND("_",$B185)-1),WP!$E$2:$E$23,0),2),IF(FIND("-",$B185)&gt;0,INDEX(WP!$A$2:$F$23,MATCH(LEFT($B185,FIND("_",$B185)-1),WP!$E$2:$E$23,0),2))),INDEX(WP!$A$2:$F$23,MATCH(Results!$B185,WP!$E$2:$E$23,0),2))))&amp;"-"&amp;$I185),"")</f>
        <v/>
      </c>
      <c r="G185" s="17" t="str">
        <f>IF(LEN(_xlfn.IFNA(IF(IFERROR(IF(FIND("_",$B185)&gt;0,MID($B185,FIND("_",$B185)+1,LEN($B185)),IF(FIND("-",$B185)&gt;0,MID($B185,FIND("-",$B185)+1,LEN($B185)))),"")="",IFERROR(VLOOKUP($F185,WP!$B$2:$C$23,2,0),VLOOKUP($C185,Series!$A$3:$F$11,6,0)),IFERROR(VLOOKUP($F185,WP!$B$2:$C$23,2,0),VLOOKUP($C185,Series!$A$3:$F$11,6,0))&amp;" - "&amp;(IFERROR(IF(FIND("_",$B185)&gt;0,MID($B185,FIND("_",$B185)+1,LEN($B185)),IF(FIND("-",$B185)&gt;0,MID($B185,FIND("-",$B185)+1,LEN($B185)))),""))),""))&lt;64,_xlfn.IFNA(IF(IFERROR(IF(FIND("_",$B185)&gt;0,MID($B185,FIND("_",$B185)+1,LEN($B185)),IF(FIND("-",$B185)&gt;0,MID($B185,FIND("-",$B185)+1,LEN($B185)))),"")="",IFERROR(VLOOKUP($F185,WP!$B$2:$C$23,2,0),VLOOKUP($C185,Series!$A$3:$F$11,6,0)),IFERROR(VLOOKUP($F185,WP!$B$2:$C$23,2,0),VLOOKUP($C185,Series!$A$3:$F$11,6,0))&amp;" - "&amp;(IFERROR(IF(FIND("_",$B185)&gt;0,MID($B185,FIND("_",$B185)+1,LEN($B185)),IF(FIND("-",$B185)&gt;0,MID($B185,FIND("-",$B185)+1,LEN($B185)))),""))),""),LEFT((_xlfn.IFNA(IF(IFERROR(IF(FIND("_",$B185)&gt;0,MID($B185,FIND("_",$B185)+1,LEN($B185)),IF(FIND("-",$B185)&gt;0,MID($B185,FIND("-",$B185)+1,LEN($B185)))),"")="",IFERROR(VLOOKUP($F185,WP!$B$2:$C$23,2,0),VLOOKUP($C185,Series!$A$3:$F$11,6,0)),IFERROR(VLOOKUP($F185,WP!$B$2:$C$23,2,0),VLOOKUP($C185,Series!$A$3:$F$11,6,0))&amp;" - "&amp;(IFERROR(IF(FIND("_",$B185)&gt;0,MID($B185,FIND("_",$B185)+1,LEN($B185)),IF(FIND("-",$B185)&gt;0,MID($B185,FIND("-",$B185)+1,LEN($B185)))),""))),"")),64))</f>
        <v/>
      </c>
      <c r="H185" s="12"/>
      <c r="I185" s="12" t="str">
        <f>IF($D185&lt;&gt;"",COUNTIF($D$7:$D185,"="&amp;$D185),"")</f>
        <v/>
      </c>
      <c r="J185"/>
      <c r="K185" s="8"/>
      <c r="L185"/>
    </row>
    <row r="186" spans="1:12" x14ac:dyDescent="0.3">
      <c r="A186" s="1"/>
      <c r="B186" s="26"/>
      <c r="C186" s="12" t="str">
        <f>_xlfn.IFNA(IFERROR(IF(FIND("_",$B186)&gt;0,INDEX(WP!$A$2:$F$23,MATCH(LEFT($B186,FIND("_",$B186)-1),WP!$E$2:$E$23,0),1),IF(FIND("-",$B186)&gt;0,INDEX(WP!$A$2:$F$23,MATCH(LEFT($B186,FIND("_",$B186)-1),WP!$E$2:$E$23,0),1))),INDEX(WP!$A$2:$F$23,MATCH(Results!$B186,WP!$E$2:$E$23,0),1)),"")</f>
        <v/>
      </c>
      <c r="D186" s="12" t="str">
        <f>IFERROR(IFERROR(IF(RIGHT(INDEX(WP!$A$2:$F$23,MATCH(IF(FIND("_",$B186)&gt;0,LEFT($B186,FIND("_",$B186)-1)),WP!$E$2:$E$23,0),2),6)="Series",LEFT(INDEX(WP!$A$2:$F$23,MATCH(IF(FIND("_",$B186)&gt;0,LEFT($B186,FIND("_",$B186)-1)),WP!$E$2:$E$23,0),2),5),""),IF(RIGHT(INDEX(WP!$A$2:$F$23,MATCH($B186,WP!$E$2:$E$23,0),2),6)="Series",LEFT(INDEX(WP!$A$2:$F$23,MATCH($B186,WP!$E$2:$E$23,0),2),5),"")),"")</f>
        <v/>
      </c>
      <c r="E186" s="17" t="str">
        <f>IFERROR(VLOOKUP(VALUE($D186),Series!$B$3:$F$11,2,0),"")</f>
        <v/>
      </c>
      <c r="F186" s="12" t="str">
        <f>_xlfn.IFNA(IF(IF($D186&lt;&gt;"",COUNTIF($E:$E,"="&amp;$D186),"")="",IF(RIGHT(IFERROR(IF(FIND("_",$B186)&gt;0,INDEX(WP!$A$2:$F$23,MATCH(LEFT($B186,FIND("_",$B186)-1),WP!$E$2:$E$23,0),2),IF(FIND("-",$B186)&gt;0,INDEX(WP!$A$2:$F$23,MATCH(LEFT($B186,FIND("_",$B186)-1),WP!$E$2:$E$23,0),2))),INDEX(WP!$A$2:$F$23,MATCH(Results!$B186,WP!$E$2:$E$23,0),2)),6)="Series",LEFT(IFERROR(IF(FIND("_",$B186)&gt;0,INDEX(WP!$A$2:$F$23,MATCH(LEFT($B186,FIND("_",$B186)-1),WP!$E$2:$E$23,0),2),IF(FIND("-",$B186)&gt;0,INDEX(WP!$A$2:$F$23,MATCH(LEFT($B186,FIND("_",$B186)-1),WP!$E$2:$E$23,0),2))),INDEX(WP!$A$2:$F$23,MATCH(Results!$B186,WP!$E$2:$E$23,0),2)),5),(IFERROR(IF(FIND("_",$B186)&gt;0,INDEX(WP!$A$2:$F$23,MATCH(LEFT($B186,FIND("_",$B186)-1),WP!$E$2:$E$23,0),2),IF(FIND("-",$B186)&gt;0,INDEX(WP!$A$2:$F$23,MATCH(LEFT($B186,FIND("_",$B186)-1),WP!$E$2:$E$23,0),2))),INDEX(WP!$A$2:$F$23,MATCH(Results!$B186,WP!$E$2:$E$23,0),2)))),IF(RIGHT(IFERROR(IF(FIND("_",$B186)&gt;0,INDEX(WP!$A$2:$F$23,MATCH(LEFT($B186,FIND("_",$B186)-1),WP!$E$2:$E$23,0),2),IF(FIND("-",$B186)&gt;0,INDEX(WP!$A$2:$F$23,MATCH(LEFT($B186,FIND("_",$B186)-1),WP!$E$2:$E$23,0),2))),INDEX(WP!$A$2:$F$23,MATCH(Results!$B186,WP!$E$2:$E$23,0),2)),6)="Series",LEFT(IFERROR(IF(FIND("_",$B186)&gt;0,INDEX(WP!$A$2:$F$23,MATCH(LEFT($B186,FIND("_",$B186)-1),WP!$E$2:$E$23,0),2),IF(FIND("-",$B186)&gt;0,INDEX(WP!$A$2:$F$23,MATCH(LEFT($B186,FIND("_",$B186)-1),WP!$E$2:$E$23,0),2))),INDEX(WP!$A$2:$F$23,MATCH(Results!$B186,WP!$E$2:$E$23,0),2)),5),(IFERROR(IF(FIND("_",$B186)&gt;0,INDEX(WP!$A$2:$F$23,MATCH(LEFT($B186,FIND("_",$B186)-1),WP!$E$2:$E$23,0),2),IF(FIND("-",$B186)&gt;0,INDEX(WP!$A$2:$F$23,MATCH(LEFT($B186,FIND("_",$B186)-1),WP!$E$2:$E$23,0),2))),INDEX(WP!$A$2:$F$23,MATCH(Results!$B186,WP!$E$2:$E$23,0),2))))&amp;"-"&amp;$I186),"")</f>
        <v/>
      </c>
      <c r="G186" s="17" t="str">
        <f>IF(LEN(_xlfn.IFNA(IF(IFERROR(IF(FIND("_",$B186)&gt;0,MID($B186,FIND("_",$B186)+1,LEN($B186)),IF(FIND("-",$B186)&gt;0,MID($B186,FIND("-",$B186)+1,LEN($B186)))),"")="",IFERROR(VLOOKUP($F186,WP!$B$2:$C$23,2,0),VLOOKUP($C186,Series!$A$3:$F$11,6,0)),IFERROR(VLOOKUP($F186,WP!$B$2:$C$23,2,0),VLOOKUP($C186,Series!$A$3:$F$11,6,0))&amp;" - "&amp;(IFERROR(IF(FIND("_",$B186)&gt;0,MID($B186,FIND("_",$B186)+1,LEN($B186)),IF(FIND("-",$B186)&gt;0,MID($B186,FIND("-",$B186)+1,LEN($B186)))),""))),""))&lt;64,_xlfn.IFNA(IF(IFERROR(IF(FIND("_",$B186)&gt;0,MID($B186,FIND("_",$B186)+1,LEN($B186)),IF(FIND("-",$B186)&gt;0,MID($B186,FIND("-",$B186)+1,LEN($B186)))),"")="",IFERROR(VLOOKUP($F186,WP!$B$2:$C$23,2,0),VLOOKUP($C186,Series!$A$3:$F$11,6,0)),IFERROR(VLOOKUP($F186,WP!$B$2:$C$23,2,0),VLOOKUP($C186,Series!$A$3:$F$11,6,0))&amp;" - "&amp;(IFERROR(IF(FIND("_",$B186)&gt;0,MID($B186,FIND("_",$B186)+1,LEN($B186)),IF(FIND("-",$B186)&gt;0,MID($B186,FIND("-",$B186)+1,LEN($B186)))),""))),""),LEFT((_xlfn.IFNA(IF(IFERROR(IF(FIND("_",$B186)&gt;0,MID($B186,FIND("_",$B186)+1,LEN($B186)),IF(FIND("-",$B186)&gt;0,MID($B186,FIND("-",$B186)+1,LEN($B186)))),"")="",IFERROR(VLOOKUP($F186,WP!$B$2:$C$23,2,0),VLOOKUP($C186,Series!$A$3:$F$11,6,0)),IFERROR(VLOOKUP($F186,WP!$B$2:$C$23,2,0),VLOOKUP($C186,Series!$A$3:$F$11,6,0))&amp;" - "&amp;(IFERROR(IF(FIND("_",$B186)&gt;0,MID($B186,FIND("_",$B186)+1,LEN($B186)),IF(FIND("-",$B186)&gt;0,MID($B186,FIND("-",$B186)+1,LEN($B186)))),""))),"")),64))</f>
        <v/>
      </c>
      <c r="H186" s="12"/>
      <c r="I186" s="12" t="str">
        <f>IF($D186&lt;&gt;"",COUNTIF($D$7:$D186,"="&amp;$D186),"")</f>
        <v/>
      </c>
      <c r="J186"/>
      <c r="K186" s="8"/>
      <c r="L186"/>
    </row>
    <row r="187" spans="1:12" x14ac:dyDescent="0.3">
      <c r="A187" s="1"/>
      <c r="B187" s="26"/>
      <c r="C187" s="12" t="str">
        <f>_xlfn.IFNA(IFERROR(IF(FIND("_",$B187)&gt;0,INDEX(WP!$A$2:$F$23,MATCH(LEFT($B187,FIND("_",$B187)-1),WP!$E$2:$E$23,0),1),IF(FIND("-",$B187)&gt;0,INDEX(WP!$A$2:$F$23,MATCH(LEFT($B187,FIND("_",$B187)-1),WP!$E$2:$E$23,0),1))),INDEX(WP!$A$2:$F$23,MATCH(Results!$B187,WP!$E$2:$E$23,0),1)),"")</f>
        <v/>
      </c>
      <c r="D187" s="12" t="str">
        <f>IFERROR(IFERROR(IF(RIGHT(INDEX(WP!$A$2:$F$23,MATCH(IF(FIND("_",$B187)&gt;0,LEFT($B187,FIND("_",$B187)-1)),WP!$E$2:$E$23,0),2),6)="Series",LEFT(INDEX(WP!$A$2:$F$23,MATCH(IF(FIND("_",$B187)&gt;0,LEFT($B187,FIND("_",$B187)-1)),WP!$E$2:$E$23,0),2),5),""),IF(RIGHT(INDEX(WP!$A$2:$F$23,MATCH($B187,WP!$E$2:$E$23,0),2),6)="Series",LEFT(INDEX(WP!$A$2:$F$23,MATCH($B187,WP!$E$2:$E$23,0),2),5),"")),"")</f>
        <v/>
      </c>
      <c r="E187" s="17" t="str">
        <f>IFERROR(VLOOKUP(VALUE($D187),Series!$B$3:$F$11,2,0),"")</f>
        <v/>
      </c>
      <c r="F187" s="12" t="str">
        <f>_xlfn.IFNA(IF(IF($D187&lt;&gt;"",COUNTIF($E:$E,"="&amp;$D187),"")="",IF(RIGHT(IFERROR(IF(FIND("_",$B187)&gt;0,INDEX(WP!$A$2:$F$23,MATCH(LEFT($B187,FIND("_",$B187)-1),WP!$E$2:$E$23,0),2),IF(FIND("-",$B187)&gt;0,INDEX(WP!$A$2:$F$23,MATCH(LEFT($B187,FIND("_",$B187)-1),WP!$E$2:$E$23,0),2))),INDEX(WP!$A$2:$F$23,MATCH(Results!$B187,WP!$E$2:$E$23,0),2)),6)="Series",LEFT(IFERROR(IF(FIND("_",$B187)&gt;0,INDEX(WP!$A$2:$F$23,MATCH(LEFT($B187,FIND("_",$B187)-1),WP!$E$2:$E$23,0),2),IF(FIND("-",$B187)&gt;0,INDEX(WP!$A$2:$F$23,MATCH(LEFT($B187,FIND("_",$B187)-1),WP!$E$2:$E$23,0),2))),INDEX(WP!$A$2:$F$23,MATCH(Results!$B187,WP!$E$2:$E$23,0),2)),5),(IFERROR(IF(FIND("_",$B187)&gt;0,INDEX(WP!$A$2:$F$23,MATCH(LEFT($B187,FIND("_",$B187)-1),WP!$E$2:$E$23,0),2),IF(FIND("-",$B187)&gt;0,INDEX(WP!$A$2:$F$23,MATCH(LEFT($B187,FIND("_",$B187)-1),WP!$E$2:$E$23,0),2))),INDEX(WP!$A$2:$F$23,MATCH(Results!$B187,WP!$E$2:$E$23,0),2)))),IF(RIGHT(IFERROR(IF(FIND("_",$B187)&gt;0,INDEX(WP!$A$2:$F$23,MATCH(LEFT($B187,FIND("_",$B187)-1),WP!$E$2:$E$23,0),2),IF(FIND("-",$B187)&gt;0,INDEX(WP!$A$2:$F$23,MATCH(LEFT($B187,FIND("_",$B187)-1),WP!$E$2:$E$23,0),2))),INDEX(WP!$A$2:$F$23,MATCH(Results!$B187,WP!$E$2:$E$23,0),2)),6)="Series",LEFT(IFERROR(IF(FIND("_",$B187)&gt;0,INDEX(WP!$A$2:$F$23,MATCH(LEFT($B187,FIND("_",$B187)-1),WP!$E$2:$E$23,0),2),IF(FIND("-",$B187)&gt;0,INDEX(WP!$A$2:$F$23,MATCH(LEFT($B187,FIND("_",$B187)-1),WP!$E$2:$E$23,0),2))),INDEX(WP!$A$2:$F$23,MATCH(Results!$B187,WP!$E$2:$E$23,0),2)),5),(IFERROR(IF(FIND("_",$B187)&gt;0,INDEX(WP!$A$2:$F$23,MATCH(LEFT($B187,FIND("_",$B187)-1),WP!$E$2:$E$23,0),2),IF(FIND("-",$B187)&gt;0,INDEX(WP!$A$2:$F$23,MATCH(LEFT($B187,FIND("_",$B187)-1),WP!$E$2:$E$23,0),2))),INDEX(WP!$A$2:$F$23,MATCH(Results!$B187,WP!$E$2:$E$23,0),2))))&amp;"-"&amp;$I187),"")</f>
        <v/>
      </c>
      <c r="G187" s="17" t="str">
        <f>IF(LEN(_xlfn.IFNA(IF(IFERROR(IF(FIND("_",$B187)&gt;0,MID($B187,FIND("_",$B187)+1,LEN($B187)),IF(FIND("-",$B187)&gt;0,MID($B187,FIND("-",$B187)+1,LEN($B187)))),"")="",IFERROR(VLOOKUP($F187,WP!$B$2:$C$23,2,0),VLOOKUP($C187,Series!$A$3:$F$11,6,0)),IFERROR(VLOOKUP($F187,WP!$B$2:$C$23,2,0),VLOOKUP($C187,Series!$A$3:$F$11,6,0))&amp;" - "&amp;(IFERROR(IF(FIND("_",$B187)&gt;0,MID($B187,FIND("_",$B187)+1,LEN($B187)),IF(FIND("-",$B187)&gt;0,MID($B187,FIND("-",$B187)+1,LEN($B187)))),""))),""))&lt;64,_xlfn.IFNA(IF(IFERROR(IF(FIND("_",$B187)&gt;0,MID($B187,FIND("_",$B187)+1,LEN($B187)),IF(FIND("-",$B187)&gt;0,MID($B187,FIND("-",$B187)+1,LEN($B187)))),"")="",IFERROR(VLOOKUP($F187,WP!$B$2:$C$23,2,0),VLOOKUP($C187,Series!$A$3:$F$11,6,0)),IFERROR(VLOOKUP($F187,WP!$B$2:$C$23,2,0),VLOOKUP($C187,Series!$A$3:$F$11,6,0))&amp;" - "&amp;(IFERROR(IF(FIND("_",$B187)&gt;0,MID($B187,FIND("_",$B187)+1,LEN($B187)),IF(FIND("-",$B187)&gt;0,MID($B187,FIND("-",$B187)+1,LEN($B187)))),""))),""),LEFT((_xlfn.IFNA(IF(IFERROR(IF(FIND("_",$B187)&gt;0,MID($B187,FIND("_",$B187)+1,LEN($B187)),IF(FIND("-",$B187)&gt;0,MID($B187,FIND("-",$B187)+1,LEN($B187)))),"")="",IFERROR(VLOOKUP($F187,WP!$B$2:$C$23,2,0),VLOOKUP($C187,Series!$A$3:$F$11,6,0)),IFERROR(VLOOKUP($F187,WP!$B$2:$C$23,2,0),VLOOKUP($C187,Series!$A$3:$F$11,6,0))&amp;" - "&amp;(IFERROR(IF(FIND("_",$B187)&gt;0,MID($B187,FIND("_",$B187)+1,LEN($B187)),IF(FIND("-",$B187)&gt;0,MID($B187,FIND("-",$B187)+1,LEN($B187)))),""))),"")),64))</f>
        <v/>
      </c>
      <c r="H187" s="12"/>
      <c r="I187" s="12" t="str">
        <f>IF($D187&lt;&gt;"",COUNTIF($D$7:$D187,"="&amp;$D187),"")</f>
        <v/>
      </c>
      <c r="J187"/>
      <c r="K187" s="8"/>
      <c r="L187"/>
    </row>
    <row r="188" spans="1:12" x14ac:dyDescent="0.3">
      <c r="A188" s="1"/>
      <c r="B188" s="26"/>
      <c r="C188" s="12" t="str">
        <f>_xlfn.IFNA(IFERROR(IF(FIND("_",$B188)&gt;0,INDEX(WP!$A$2:$F$23,MATCH(LEFT($B188,FIND("_",$B188)-1),WP!$E$2:$E$23,0),1),IF(FIND("-",$B188)&gt;0,INDEX(WP!$A$2:$F$23,MATCH(LEFT($B188,FIND("_",$B188)-1),WP!$E$2:$E$23,0),1))),INDEX(WP!$A$2:$F$23,MATCH(Results!$B188,WP!$E$2:$E$23,0),1)),"")</f>
        <v/>
      </c>
      <c r="D188" s="12" t="str">
        <f>IFERROR(IFERROR(IF(RIGHT(INDEX(WP!$A$2:$F$23,MATCH(IF(FIND("_",$B188)&gt;0,LEFT($B188,FIND("_",$B188)-1)),WP!$E$2:$E$23,0),2),6)="Series",LEFT(INDEX(WP!$A$2:$F$23,MATCH(IF(FIND("_",$B188)&gt;0,LEFT($B188,FIND("_",$B188)-1)),WP!$E$2:$E$23,0),2),5),""),IF(RIGHT(INDEX(WP!$A$2:$F$23,MATCH($B188,WP!$E$2:$E$23,0),2),6)="Series",LEFT(INDEX(WP!$A$2:$F$23,MATCH($B188,WP!$E$2:$E$23,0),2),5),"")),"")</f>
        <v/>
      </c>
      <c r="E188" s="17" t="str">
        <f>IFERROR(VLOOKUP(VALUE($D188),Series!$B$3:$F$11,2,0),"")</f>
        <v/>
      </c>
      <c r="F188" s="12" t="str">
        <f>_xlfn.IFNA(IF(IF($D188&lt;&gt;"",COUNTIF($E:$E,"="&amp;$D188),"")="",IF(RIGHT(IFERROR(IF(FIND("_",$B188)&gt;0,INDEX(WP!$A$2:$F$23,MATCH(LEFT($B188,FIND("_",$B188)-1),WP!$E$2:$E$23,0),2),IF(FIND("-",$B188)&gt;0,INDEX(WP!$A$2:$F$23,MATCH(LEFT($B188,FIND("_",$B188)-1),WP!$E$2:$E$23,0),2))),INDEX(WP!$A$2:$F$23,MATCH(Results!$B188,WP!$E$2:$E$23,0),2)),6)="Series",LEFT(IFERROR(IF(FIND("_",$B188)&gt;0,INDEX(WP!$A$2:$F$23,MATCH(LEFT($B188,FIND("_",$B188)-1),WP!$E$2:$E$23,0),2),IF(FIND("-",$B188)&gt;0,INDEX(WP!$A$2:$F$23,MATCH(LEFT($B188,FIND("_",$B188)-1),WP!$E$2:$E$23,0),2))),INDEX(WP!$A$2:$F$23,MATCH(Results!$B188,WP!$E$2:$E$23,0),2)),5),(IFERROR(IF(FIND("_",$B188)&gt;0,INDEX(WP!$A$2:$F$23,MATCH(LEFT($B188,FIND("_",$B188)-1),WP!$E$2:$E$23,0),2),IF(FIND("-",$B188)&gt;0,INDEX(WP!$A$2:$F$23,MATCH(LEFT($B188,FIND("_",$B188)-1),WP!$E$2:$E$23,0),2))),INDEX(WP!$A$2:$F$23,MATCH(Results!$B188,WP!$E$2:$E$23,0),2)))),IF(RIGHT(IFERROR(IF(FIND("_",$B188)&gt;0,INDEX(WP!$A$2:$F$23,MATCH(LEFT($B188,FIND("_",$B188)-1),WP!$E$2:$E$23,0),2),IF(FIND("-",$B188)&gt;0,INDEX(WP!$A$2:$F$23,MATCH(LEFT($B188,FIND("_",$B188)-1),WP!$E$2:$E$23,0),2))),INDEX(WP!$A$2:$F$23,MATCH(Results!$B188,WP!$E$2:$E$23,0),2)),6)="Series",LEFT(IFERROR(IF(FIND("_",$B188)&gt;0,INDEX(WP!$A$2:$F$23,MATCH(LEFT($B188,FIND("_",$B188)-1),WP!$E$2:$E$23,0),2),IF(FIND("-",$B188)&gt;0,INDEX(WP!$A$2:$F$23,MATCH(LEFT($B188,FIND("_",$B188)-1),WP!$E$2:$E$23,0),2))),INDEX(WP!$A$2:$F$23,MATCH(Results!$B188,WP!$E$2:$E$23,0),2)),5),(IFERROR(IF(FIND("_",$B188)&gt;0,INDEX(WP!$A$2:$F$23,MATCH(LEFT($B188,FIND("_",$B188)-1),WP!$E$2:$E$23,0),2),IF(FIND("-",$B188)&gt;0,INDEX(WP!$A$2:$F$23,MATCH(LEFT($B188,FIND("_",$B188)-1),WP!$E$2:$E$23,0),2))),INDEX(WP!$A$2:$F$23,MATCH(Results!$B188,WP!$E$2:$E$23,0),2))))&amp;"-"&amp;$I188),"")</f>
        <v/>
      </c>
      <c r="G188" s="17" t="str">
        <f>IF(LEN(_xlfn.IFNA(IF(IFERROR(IF(FIND("_",$B188)&gt;0,MID($B188,FIND("_",$B188)+1,LEN($B188)),IF(FIND("-",$B188)&gt;0,MID($B188,FIND("-",$B188)+1,LEN($B188)))),"")="",IFERROR(VLOOKUP($F188,WP!$B$2:$C$23,2,0),VLOOKUP($C188,Series!$A$3:$F$11,6,0)),IFERROR(VLOOKUP($F188,WP!$B$2:$C$23,2,0),VLOOKUP($C188,Series!$A$3:$F$11,6,0))&amp;" - "&amp;(IFERROR(IF(FIND("_",$B188)&gt;0,MID($B188,FIND("_",$B188)+1,LEN($B188)),IF(FIND("-",$B188)&gt;0,MID($B188,FIND("-",$B188)+1,LEN($B188)))),""))),""))&lt;64,_xlfn.IFNA(IF(IFERROR(IF(FIND("_",$B188)&gt;0,MID($B188,FIND("_",$B188)+1,LEN($B188)),IF(FIND("-",$B188)&gt;0,MID($B188,FIND("-",$B188)+1,LEN($B188)))),"")="",IFERROR(VLOOKUP($F188,WP!$B$2:$C$23,2,0),VLOOKUP($C188,Series!$A$3:$F$11,6,0)),IFERROR(VLOOKUP($F188,WP!$B$2:$C$23,2,0),VLOOKUP($C188,Series!$A$3:$F$11,6,0))&amp;" - "&amp;(IFERROR(IF(FIND("_",$B188)&gt;0,MID($B188,FIND("_",$B188)+1,LEN($B188)),IF(FIND("-",$B188)&gt;0,MID($B188,FIND("-",$B188)+1,LEN($B188)))),""))),""),LEFT((_xlfn.IFNA(IF(IFERROR(IF(FIND("_",$B188)&gt;0,MID($B188,FIND("_",$B188)+1,LEN($B188)),IF(FIND("-",$B188)&gt;0,MID($B188,FIND("-",$B188)+1,LEN($B188)))),"")="",IFERROR(VLOOKUP($F188,WP!$B$2:$C$23,2,0),VLOOKUP($C188,Series!$A$3:$F$11,6,0)),IFERROR(VLOOKUP($F188,WP!$B$2:$C$23,2,0),VLOOKUP($C188,Series!$A$3:$F$11,6,0))&amp;" - "&amp;(IFERROR(IF(FIND("_",$B188)&gt;0,MID($B188,FIND("_",$B188)+1,LEN($B188)),IF(FIND("-",$B188)&gt;0,MID($B188,FIND("-",$B188)+1,LEN($B188)))),""))),"")),64))</f>
        <v/>
      </c>
      <c r="H188" s="12"/>
      <c r="I188" s="12" t="str">
        <f>IF($D188&lt;&gt;"",COUNTIF($D$7:$D188,"="&amp;$D188),"")</f>
        <v/>
      </c>
      <c r="J188"/>
      <c r="K188" s="8"/>
      <c r="L188"/>
    </row>
    <row r="189" spans="1:12" x14ac:dyDescent="0.3">
      <c r="A189" s="1"/>
      <c r="B189" s="26"/>
      <c r="C189" s="12" t="str">
        <f>_xlfn.IFNA(IFERROR(IF(FIND("_",$B189)&gt;0,INDEX(WP!$A$2:$F$23,MATCH(LEFT($B189,FIND("_",$B189)-1),WP!$E$2:$E$23,0),1),IF(FIND("-",$B189)&gt;0,INDEX(WP!$A$2:$F$23,MATCH(LEFT($B189,FIND("_",$B189)-1),WP!$E$2:$E$23,0),1))),INDEX(WP!$A$2:$F$23,MATCH(Results!$B189,WP!$E$2:$E$23,0),1)),"")</f>
        <v/>
      </c>
      <c r="D189" s="12" t="str">
        <f>IFERROR(IFERROR(IF(RIGHT(INDEX(WP!$A$2:$F$23,MATCH(IF(FIND("_",$B189)&gt;0,LEFT($B189,FIND("_",$B189)-1)),WP!$E$2:$E$23,0),2),6)="Series",LEFT(INDEX(WP!$A$2:$F$23,MATCH(IF(FIND("_",$B189)&gt;0,LEFT($B189,FIND("_",$B189)-1)),WP!$E$2:$E$23,0),2),5),""),IF(RIGHT(INDEX(WP!$A$2:$F$23,MATCH($B189,WP!$E$2:$E$23,0),2),6)="Series",LEFT(INDEX(WP!$A$2:$F$23,MATCH($B189,WP!$E$2:$E$23,0),2),5),"")),"")</f>
        <v/>
      </c>
      <c r="E189" s="17" t="str">
        <f>IFERROR(VLOOKUP(VALUE($D189),Series!$B$3:$F$11,2,0),"")</f>
        <v/>
      </c>
      <c r="F189" s="12" t="str">
        <f>_xlfn.IFNA(IF(IF($D189&lt;&gt;"",COUNTIF($E:$E,"="&amp;$D189),"")="",IF(RIGHT(IFERROR(IF(FIND("_",$B189)&gt;0,INDEX(WP!$A$2:$F$23,MATCH(LEFT($B189,FIND("_",$B189)-1),WP!$E$2:$E$23,0),2),IF(FIND("-",$B189)&gt;0,INDEX(WP!$A$2:$F$23,MATCH(LEFT($B189,FIND("_",$B189)-1),WP!$E$2:$E$23,0),2))),INDEX(WP!$A$2:$F$23,MATCH(Results!$B189,WP!$E$2:$E$23,0),2)),6)="Series",LEFT(IFERROR(IF(FIND("_",$B189)&gt;0,INDEX(WP!$A$2:$F$23,MATCH(LEFT($B189,FIND("_",$B189)-1),WP!$E$2:$E$23,0),2),IF(FIND("-",$B189)&gt;0,INDEX(WP!$A$2:$F$23,MATCH(LEFT($B189,FIND("_",$B189)-1),WP!$E$2:$E$23,0),2))),INDEX(WP!$A$2:$F$23,MATCH(Results!$B189,WP!$E$2:$E$23,0),2)),5),(IFERROR(IF(FIND("_",$B189)&gt;0,INDEX(WP!$A$2:$F$23,MATCH(LEFT($B189,FIND("_",$B189)-1),WP!$E$2:$E$23,0),2),IF(FIND("-",$B189)&gt;0,INDEX(WP!$A$2:$F$23,MATCH(LEFT($B189,FIND("_",$B189)-1),WP!$E$2:$E$23,0),2))),INDEX(WP!$A$2:$F$23,MATCH(Results!$B189,WP!$E$2:$E$23,0),2)))),IF(RIGHT(IFERROR(IF(FIND("_",$B189)&gt;0,INDEX(WP!$A$2:$F$23,MATCH(LEFT($B189,FIND("_",$B189)-1),WP!$E$2:$E$23,0),2),IF(FIND("-",$B189)&gt;0,INDEX(WP!$A$2:$F$23,MATCH(LEFT($B189,FIND("_",$B189)-1),WP!$E$2:$E$23,0),2))),INDEX(WP!$A$2:$F$23,MATCH(Results!$B189,WP!$E$2:$E$23,0),2)),6)="Series",LEFT(IFERROR(IF(FIND("_",$B189)&gt;0,INDEX(WP!$A$2:$F$23,MATCH(LEFT($B189,FIND("_",$B189)-1),WP!$E$2:$E$23,0),2),IF(FIND("-",$B189)&gt;0,INDEX(WP!$A$2:$F$23,MATCH(LEFT($B189,FIND("_",$B189)-1),WP!$E$2:$E$23,0),2))),INDEX(WP!$A$2:$F$23,MATCH(Results!$B189,WP!$E$2:$E$23,0),2)),5),(IFERROR(IF(FIND("_",$B189)&gt;0,INDEX(WP!$A$2:$F$23,MATCH(LEFT($B189,FIND("_",$B189)-1),WP!$E$2:$E$23,0),2),IF(FIND("-",$B189)&gt;0,INDEX(WP!$A$2:$F$23,MATCH(LEFT($B189,FIND("_",$B189)-1),WP!$E$2:$E$23,0),2))),INDEX(WP!$A$2:$F$23,MATCH(Results!$B189,WP!$E$2:$E$23,0),2))))&amp;"-"&amp;$I189),"")</f>
        <v/>
      </c>
      <c r="G189" s="17" t="str">
        <f>IF(LEN(_xlfn.IFNA(IF(IFERROR(IF(FIND("_",$B189)&gt;0,MID($B189,FIND("_",$B189)+1,LEN($B189)),IF(FIND("-",$B189)&gt;0,MID($B189,FIND("-",$B189)+1,LEN($B189)))),"")="",IFERROR(VLOOKUP($F189,WP!$B$2:$C$23,2,0),VLOOKUP($C189,Series!$A$3:$F$11,6,0)),IFERROR(VLOOKUP($F189,WP!$B$2:$C$23,2,0),VLOOKUP($C189,Series!$A$3:$F$11,6,0))&amp;" - "&amp;(IFERROR(IF(FIND("_",$B189)&gt;0,MID($B189,FIND("_",$B189)+1,LEN($B189)),IF(FIND("-",$B189)&gt;0,MID($B189,FIND("-",$B189)+1,LEN($B189)))),""))),""))&lt;64,_xlfn.IFNA(IF(IFERROR(IF(FIND("_",$B189)&gt;0,MID($B189,FIND("_",$B189)+1,LEN($B189)),IF(FIND("-",$B189)&gt;0,MID($B189,FIND("-",$B189)+1,LEN($B189)))),"")="",IFERROR(VLOOKUP($F189,WP!$B$2:$C$23,2,0),VLOOKUP($C189,Series!$A$3:$F$11,6,0)),IFERROR(VLOOKUP($F189,WP!$B$2:$C$23,2,0),VLOOKUP($C189,Series!$A$3:$F$11,6,0))&amp;" - "&amp;(IFERROR(IF(FIND("_",$B189)&gt;0,MID($B189,FIND("_",$B189)+1,LEN($B189)),IF(FIND("-",$B189)&gt;0,MID($B189,FIND("-",$B189)+1,LEN($B189)))),""))),""),LEFT((_xlfn.IFNA(IF(IFERROR(IF(FIND("_",$B189)&gt;0,MID($B189,FIND("_",$B189)+1,LEN($B189)),IF(FIND("-",$B189)&gt;0,MID($B189,FIND("-",$B189)+1,LEN($B189)))),"")="",IFERROR(VLOOKUP($F189,WP!$B$2:$C$23,2,0),VLOOKUP($C189,Series!$A$3:$F$11,6,0)),IFERROR(VLOOKUP($F189,WP!$B$2:$C$23,2,0),VLOOKUP($C189,Series!$A$3:$F$11,6,0))&amp;" - "&amp;(IFERROR(IF(FIND("_",$B189)&gt;0,MID($B189,FIND("_",$B189)+1,LEN($B189)),IF(FIND("-",$B189)&gt;0,MID($B189,FIND("-",$B189)+1,LEN($B189)))),""))),"")),64))</f>
        <v/>
      </c>
      <c r="H189" s="12"/>
      <c r="I189" s="12" t="str">
        <f>IF($D189&lt;&gt;"",COUNTIF($D$7:$D189,"="&amp;$D189),"")</f>
        <v/>
      </c>
      <c r="J189"/>
      <c r="K189" s="8"/>
      <c r="L189"/>
    </row>
    <row r="190" spans="1:12" x14ac:dyDescent="0.3">
      <c r="A190" s="1"/>
      <c r="B190" s="26"/>
      <c r="C190" s="12" t="str">
        <f>_xlfn.IFNA(IFERROR(IF(FIND("_",$B190)&gt;0,INDEX(WP!$A$2:$F$23,MATCH(LEFT($B190,FIND("_",$B190)-1),WP!$E$2:$E$23,0),1),IF(FIND("-",$B190)&gt;0,INDEX(WP!$A$2:$F$23,MATCH(LEFT($B190,FIND("_",$B190)-1),WP!$E$2:$E$23,0),1))),INDEX(WP!$A$2:$F$23,MATCH(Results!$B190,WP!$E$2:$E$23,0),1)),"")</f>
        <v/>
      </c>
      <c r="D190" s="12" t="str">
        <f>IFERROR(IFERROR(IF(RIGHT(INDEX(WP!$A$2:$F$23,MATCH(IF(FIND("_",$B190)&gt;0,LEFT($B190,FIND("_",$B190)-1)),WP!$E$2:$E$23,0),2),6)="Series",LEFT(INDEX(WP!$A$2:$F$23,MATCH(IF(FIND("_",$B190)&gt;0,LEFT($B190,FIND("_",$B190)-1)),WP!$E$2:$E$23,0),2),5),""),IF(RIGHT(INDEX(WP!$A$2:$F$23,MATCH($B190,WP!$E$2:$E$23,0),2),6)="Series",LEFT(INDEX(WP!$A$2:$F$23,MATCH($B190,WP!$E$2:$E$23,0),2),5),"")),"")</f>
        <v/>
      </c>
      <c r="E190" s="17" t="str">
        <f>IFERROR(VLOOKUP(VALUE($D190),Series!$B$3:$F$11,2,0),"")</f>
        <v/>
      </c>
      <c r="F190" s="12" t="str">
        <f>_xlfn.IFNA(IF(IF($D190&lt;&gt;"",COUNTIF($E:$E,"="&amp;$D190),"")="",IF(RIGHT(IFERROR(IF(FIND("_",$B190)&gt;0,INDEX(WP!$A$2:$F$23,MATCH(LEFT($B190,FIND("_",$B190)-1),WP!$E$2:$E$23,0),2),IF(FIND("-",$B190)&gt;0,INDEX(WP!$A$2:$F$23,MATCH(LEFT($B190,FIND("_",$B190)-1),WP!$E$2:$E$23,0),2))),INDEX(WP!$A$2:$F$23,MATCH(Results!$B190,WP!$E$2:$E$23,0),2)),6)="Series",LEFT(IFERROR(IF(FIND("_",$B190)&gt;0,INDEX(WP!$A$2:$F$23,MATCH(LEFT($B190,FIND("_",$B190)-1),WP!$E$2:$E$23,0),2),IF(FIND("-",$B190)&gt;0,INDEX(WP!$A$2:$F$23,MATCH(LEFT($B190,FIND("_",$B190)-1),WP!$E$2:$E$23,0),2))),INDEX(WP!$A$2:$F$23,MATCH(Results!$B190,WP!$E$2:$E$23,0),2)),5),(IFERROR(IF(FIND("_",$B190)&gt;0,INDEX(WP!$A$2:$F$23,MATCH(LEFT($B190,FIND("_",$B190)-1),WP!$E$2:$E$23,0),2),IF(FIND("-",$B190)&gt;0,INDEX(WP!$A$2:$F$23,MATCH(LEFT($B190,FIND("_",$B190)-1),WP!$E$2:$E$23,0),2))),INDEX(WP!$A$2:$F$23,MATCH(Results!$B190,WP!$E$2:$E$23,0),2)))),IF(RIGHT(IFERROR(IF(FIND("_",$B190)&gt;0,INDEX(WP!$A$2:$F$23,MATCH(LEFT($B190,FIND("_",$B190)-1),WP!$E$2:$E$23,0),2),IF(FIND("-",$B190)&gt;0,INDEX(WP!$A$2:$F$23,MATCH(LEFT($B190,FIND("_",$B190)-1),WP!$E$2:$E$23,0),2))),INDEX(WP!$A$2:$F$23,MATCH(Results!$B190,WP!$E$2:$E$23,0),2)),6)="Series",LEFT(IFERROR(IF(FIND("_",$B190)&gt;0,INDEX(WP!$A$2:$F$23,MATCH(LEFT($B190,FIND("_",$B190)-1),WP!$E$2:$E$23,0),2),IF(FIND("-",$B190)&gt;0,INDEX(WP!$A$2:$F$23,MATCH(LEFT($B190,FIND("_",$B190)-1),WP!$E$2:$E$23,0),2))),INDEX(WP!$A$2:$F$23,MATCH(Results!$B190,WP!$E$2:$E$23,0),2)),5),(IFERROR(IF(FIND("_",$B190)&gt;0,INDEX(WP!$A$2:$F$23,MATCH(LEFT($B190,FIND("_",$B190)-1),WP!$E$2:$E$23,0),2),IF(FIND("-",$B190)&gt;0,INDEX(WP!$A$2:$F$23,MATCH(LEFT($B190,FIND("_",$B190)-1),WP!$E$2:$E$23,0),2))),INDEX(WP!$A$2:$F$23,MATCH(Results!$B190,WP!$E$2:$E$23,0),2))))&amp;"-"&amp;$I190),"")</f>
        <v/>
      </c>
      <c r="G190" s="17" t="str">
        <f>IF(LEN(_xlfn.IFNA(IF(IFERROR(IF(FIND("_",$B190)&gt;0,MID($B190,FIND("_",$B190)+1,LEN($B190)),IF(FIND("-",$B190)&gt;0,MID($B190,FIND("-",$B190)+1,LEN($B190)))),"")="",IFERROR(VLOOKUP($F190,WP!$B$2:$C$23,2,0),VLOOKUP($C190,Series!$A$3:$F$11,6,0)),IFERROR(VLOOKUP($F190,WP!$B$2:$C$23,2,0),VLOOKUP($C190,Series!$A$3:$F$11,6,0))&amp;" - "&amp;(IFERROR(IF(FIND("_",$B190)&gt;0,MID($B190,FIND("_",$B190)+1,LEN($B190)),IF(FIND("-",$B190)&gt;0,MID($B190,FIND("-",$B190)+1,LEN($B190)))),""))),""))&lt;64,_xlfn.IFNA(IF(IFERROR(IF(FIND("_",$B190)&gt;0,MID($B190,FIND("_",$B190)+1,LEN($B190)),IF(FIND("-",$B190)&gt;0,MID($B190,FIND("-",$B190)+1,LEN($B190)))),"")="",IFERROR(VLOOKUP($F190,WP!$B$2:$C$23,2,0),VLOOKUP($C190,Series!$A$3:$F$11,6,0)),IFERROR(VLOOKUP($F190,WP!$B$2:$C$23,2,0),VLOOKUP($C190,Series!$A$3:$F$11,6,0))&amp;" - "&amp;(IFERROR(IF(FIND("_",$B190)&gt;0,MID($B190,FIND("_",$B190)+1,LEN($B190)),IF(FIND("-",$B190)&gt;0,MID($B190,FIND("-",$B190)+1,LEN($B190)))),""))),""),LEFT((_xlfn.IFNA(IF(IFERROR(IF(FIND("_",$B190)&gt;0,MID($B190,FIND("_",$B190)+1,LEN($B190)),IF(FIND("-",$B190)&gt;0,MID($B190,FIND("-",$B190)+1,LEN($B190)))),"")="",IFERROR(VLOOKUP($F190,WP!$B$2:$C$23,2,0),VLOOKUP($C190,Series!$A$3:$F$11,6,0)),IFERROR(VLOOKUP($F190,WP!$B$2:$C$23,2,0),VLOOKUP($C190,Series!$A$3:$F$11,6,0))&amp;" - "&amp;(IFERROR(IF(FIND("_",$B190)&gt;0,MID($B190,FIND("_",$B190)+1,LEN($B190)),IF(FIND("-",$B190)&gt;0,MID($B190,FIND("-",$B190)+1,LEN($B190)))),""))),"")),64))</f>
        <v/>
      </c>
      <c r="H190" s="12"/>
      <c r="I190" s="12" t="str">
        <f>IF($D190&lt;&gt;"",COUNTIF($D$7:$D190,"="&amp;$D190),"")</f>
        <v/>
      </c>
      <c r="J190"/>
      <c r="K190" s="8"/>
      <c r="L190"/>
    </row>
    <row r="191" spans="1:12" x14ac:dyDescent="0.3">
      <c r="A191" s="1"/>
      <c r="B191" s="26"/>
      <c r="C191" s="12" t="str">
        <f>_xlfn.IFNA(IFERROR(IF(FIND("_",$B191)&gt;0,INDEX(WP!$A$2:$F$23,MATCH(LEFT($B191,FIND("_",$B191)-1),WP!$E$2:$E$23,0),1),IF(FIND("-",$B191)&gt;0,INDEX(WP!$A$2:$F$23,MATCH(LEFT($B191,FIND("_",$B191)-1),WP!$E$2:$E$23,0),1))),INDEX(WP!$A$2:$F$23,MATCH(Results!$B191,WP!$E$2:$E$23,0),1)),"")</f>
        <v/>
      </c>
      <c r="D191" s="12" t="str">
        <f>IFERROR(IFERROR(IF(RIGHT(INDEX(WP!$A$2:$F$23,MATCH(IF(FIND("_",$B191)&gt;0,LEFT($B191,FIND("_",$B191)-1)),WP!$E$2:$E$23,0),2),6)="Series",LEFT(INDEX(WP!$A$2:$F$23,MATCH(IF(FIND("_",$B191)&gt;0,LEFT($B191,FIND("_",$B191)-1)),WP!$E$2:$E$23,0),2),5),""),IF(RIGHT(INDEX(WP!$A$2:$F$23,MATCH($B191,WP!$E$2:$E$23,0),2),6)="Series",LEFT(INDEX(WP!$A$2:$F$23,MATCH($B191,WP!$E$2:$E$23,0),2),5),"")),"")</f>
        <v/>
      </c>
      <c r="E191" s="17" t="str">
        <f>IFERROR(VLOOKUP(VALUE($D191),Series!$B$3:$F$11,2,0),"")</f>
        <v/>
      </c>
      <c r="F191" s="12" t="str">
        <f>_xlfn.IFNA(IF(IF($D191&lt;&gt;"",COUNTIF($E:$E,"="&amp;$D191),"")="",IF(RIGHT(IFERROR(IF(FIND("_",$B191)&gt;0,INDEX(WP!$A$2:$F$23,MATCH(LEFT($B191,FIND("_",$B191)-1),WP!$E$2:$E$23,0),2),IF(FIND("-",$B191)&gt;0,INDEX(WP!$A$2:$F$23,MATCH(LEFT($B191,FIND("_",$B191)-1),WP!$E$2:$E$23,0),2))),INDEX(WP!$A$2:$F$23,MATCH(Results!$B191,WP!$E$2:$E$23,0),2)),6)="Series",LEFT(IFERROR(IF(FIND("_",$B191)&gt;0,INDEX(WP!$A$2:$F$23,MATCH(LEFT($B191,FIND("_",$B191)-1),WP!$E$2:$E$23,0),2),IF(FIND("-",$B191)&gt;0,INDEX(WP!$A$2:$F$23,MATCH(LEFT($B191,FIND("_",$B191)-1),WP!$E$2:$E$23,0),2))),INDEX(WP!$A$2:$F$23,MATCH(Results!$B191,WP!$E$2:$E$23,0),2)),5),(IFERROR(IF(FIND("_",$B191)&gt;0,INDEX(WP!$A$2:$F$23,MATCH(LEFT($B191,FIND("_",$B191)-1),WP!$E$2:$E$23,0),2),IF(FIND("-",$B191)&gt;0,INDEX(WP!$A$2:$F$23,MATCH(LEFT($B191,FIND("_",$B191)-1),WP!$E$2:$E$23,0),2))),INDEX(WP!$A$2:$F$23,MATCH(Results!$B191,WP!$E$2:$E$23,0),2)))),IF(RIGHT(IFERROR(IF(FIND("_",$B191)&gt;0,INDEX(WP!$A$2:$F$23,MATCH(LEFT($B191,FIND("_",$B191)-1),WP!$E$2:$E$23,0),2),IF(FIND("-",$B191)&gt;0,INDEX(WP!$A$2:$F$23,MATCH(LEFT($B191,FIND("_",$B191)-1),WP!$E$2:$E$23,0),2))),INDEX(WP!$A$2:$F$23,MATCH(Results!$B191,WP!$E$2:$E$23,0),2)),6)="Series",LEFT(IFERROR(IF(FIND("_",$B191)&gt;0,INDEX(WP!$A$2:$F$23,MATCH(LEFT($B191,FIND("_",$B191)-1),WP!$E$2:$E$23,0),2),IF(FIND("-",$B191)&gt;0,INDEX(WP!$A$2:$F$23,MATCH(LEFT($B191,FIND("_",$B191)-1),WP!$E$2:$E$23,0),2))),INDEX(WP!$A$2:$F$23,MATCH(Results!$B191,WP!$E$2:$E$23,0),2)),5),(IFERROR(IF(FIND("_",$B191)&gt;0,INDEX(WP!$A$2:$F$23,MATCH(LEFT($B191,FIND("_",$B191)-1),WP!$E$2:$E$23,0),2),IF(FIND("-",$B191)&gt;0,INDEX(WP!$A$2:$F$23,MATCH(LEFT($B191,FIND("_",$B191)-1),WP!$E$2:$E$23,0),2))),INDEX(WP!$A$2:$F$23,MATCH(Results!$B191,WP!$E$2:$E$23,0),2))))&amp;"-"&amp;$I191),"")</f>
        <v/>
      </c>
      <c r="G191" s="17" t="str">
        <f>IF(LEN(_xlfn.IFNA(IF(IFERROR(IF(FIND("_",$B191)&gt;0,MID($B191,FIND("_",$B191)+1,LEN($B191)),IF(FIND("-",$B191)&gt;0,MID($B191,FIND("-",$B191)+1,LEN($B191)))),"")="",IFERROR(VLOOKUP($F191,WP!$B$2:$C$23,2,0),VLOOKUP($C191,Series!$A$3:$F$11,6,0)),IFERROR(VLOOKUP($F191,WP!$B$2:$C$23,2,0),VLOOKUP($C191,Series!$A$3:$F$11,6,0))&amp;" - "&amp;(IFERROR(IF(FIND("_",$B191)&gt;0,MID($B191,FIND("_",$B191)+1,LEN($B191)),IF(FIND("-",$B191)&gt;0,MID($B191,FIND("-",$B191)+1,LEN($B191)))),""))),""))&lt;64,_xlfn.IFNA(IF(IFERROR(IF(FIND("_",$B191)&gt;0,MID($B191,FIND("_",$B191)+1,LEN($B191)),IF(FIND("-",$B191)&gt;0,MID($B191,FIND("-",$B191)+1,LEN($B191)))),"")="",IFERROR(VLOOKUP($F191,WP!$B$2:$C$23,2,0),VLOOKUP($C191,Series!$A$3:$F$11,6,0)),IFERROR(VLOOKUP($F191,WP!$B$2:$C$23,2,0),VLOOKUP($C191,Series!$A$3:$F$11,6,0))&amp;" - "&amp;(IFERROR(IF(FIND("_",$B191)&gt;0,MID($B191,FIND("_",$B191)+1,LEN($B191)),IF(FIND("-",$B191)&gt;0,MID($B191,FIND("-",$B191)+1,LEN($B191)))),""))),""),LEFT((_xlfn.IFNA(IF(IFERROR(IF(FIND("_",$B191)&gt;0,MID($B191,FIND("_",$B191)+1,LEN($B191)),IF(FIND("-",$B191)&gt;0,MID($B191,FIND("-",$B191)+1,LEN($B191)))),"")="",IFERROR(VLOOKUP($F191,WP!$B$2:$C$23,2,0),VLOOKUP($C191,Series!$A$3:$F$11,6,0)),IFERROR(VLOOKUP($F191,WP!$B$2:$C$23,2,0),VLOOKUP($C191,Series!$A$3:$F$11,6,0))&amp;" - "&amp;(IFERROR(IF(FIND("_",$B191)&gt;0,MID($B191,FIND("_",$B191)+1,LEN($B191)),IF(FIND("-",$B191)&gt;0,MID($B191,FIND("-",$B191)+1,LEN($B191)))),""))),"")),64))</f>
        <v/>
      </c>
      <c r="H191" s="12"/>
      <c r="I191" s="12" t="str">
        <f>IF($D191&lt;&gt;"",COUNTIF($D$7:$D191,"="&amp;$D191),"")</f>
        <v/>
      </c>
      <c r="J191"/>
      <c r="K191" s="8"/>
      <c r="L191"/>
    </row>
    <row r="192" spans="1:12" x14ac:dyDescent="0.3">
      <c r="A192" s="1"/>
      <c r="B192" s="26"/>
      <c r="C192" s="12" t="str">
        <f>_xlfn.IFNA(IFERROR(IF(FIND("_",$B192)&gt;0,INDEX(WP!$A$2:$F$23,MATCH(LEFT($B192,FIND("_",$B192)-1),WP!$E$2:$E$23,0),1),IF(FIND("-",$B192)&gt;0,INDEX(WP!$A$2:$F$23,MATCH(LEFT($B192,FIND("_",$B192)-1),WP!$E$2:$E$23,0),1))),INDEX(WP!$A$2:$F$23,MATCH(Results!$B192,WP!$E$2:$E$23,0),1)),"")</f>
        <v/>
      </c>
      <c r="D192" s="12" t="str">
        <f>IFERROR(IFERROR(IF(RIGHT(INDEX(WP!$A$2:$F$23,MATCH(IF(FIND("_",$B192)&gt;0,LEFT($B192,FIND("_",$B192)-1)),WP!$E$2:$E$23,0),2),6)="Series",LEFT(INDEX(WP!$A$2:$F$23,MATCH(IF(FIND("_",$B192)&gt;0,LEFT($B192,FIND("_",$B192)-1)),WP!$E$2:$E$23,0),2),5),""),IF(RIGHT(INDEX(WP!$A$2:$F$23,MATCH($B192,WP!$E$2:$E$23,0),2),6)="Series",LEFT(INDEX(WP!$A$2:$F$23,MATCH($B192,WP!$E$2:$E$23,0),2),5),"")),"")</f>
        <v/>
      </c>
      <c r="E192" s="17" t="str">
        <f>IFERROR(VLOOKUP(VALUE($D192),Series!$B$3:$F$11,2,0),"")</f>
        <v/>
      </c>
      <c r="F192" s="12" t="str">
        <f>_xlfn.IFNA(IF(IF($D192&lt;&gt;"",COUNTIF($E:$E,"="&amp;$D192),"")="",IF(RIGHT(IFERROR(IF(FIND("_",$B192)&gt;0,INDEX(WP!$A$2:$F$23,MATCH(LEFT($B192,FIND("_",$B192)-1),WP!$E$2:$E$23,0),2),IF(FIND("-",$B192)&gt;0,INDEX(WP!$A$2:$F$23,MATCH(LEFT($B192,FIND("_",$B192)-1),WP!$E$2:$E$23,0),2))),INDEX(WP!$A$2:$F$23,MATCH(Results!$B192,WP!$E$2:$E$23,0),2)),6)="Series",LEFT(IFERROR(IF(FIND("_",$B192)&gt;0,INDEX(WP!$A$2:$F$23,MATCH(LEFT($B192,FIND("_",$B192)-1),WP!$E$2:$E$23,0),2),IF(FIND("-",$B192)&gt;0,INDEX(WP!$A$2:$F$23,MATCH(LEFT($B192,FIND("_",$B192)-1),WP!$E$2:$E$23,0),2))),INDEX(WP!$A$2:$F$23,MATCH(Results!$B192,WP!$E$2:$E$23,0),2)),5),(IFERROR(IF(FIND("_",$B192)&gt;0,INDEX(WP!$A$2:$F$23,MATCH(LEFT($B192,FIND("_",$B192)-1),WP!$E$2:$E$23,0),2),IF(FIND("-",$B192)&gt;0,INDEX(WP!$A$2:$F$23,MATCH(LEFT($B192,FIND("_",$B192)-1),WP!$E$2:$E$23,0),2))),INDEX(WP!$A$2:$F$23,MATCH(Results!$B192,WP!$E$2:$E$23,0),2)))),IF(RIGHT(IFERROR(IF(FIND("_",$B192)&gt;0,INDEX(WP!$A$2:$F$23,MATCH(LEFT($B192,FIND("_",$B192)-1),WP!$E$2:$E$23,0),2),IF(FIND("-",$B192)&gt;0,INDEX(WP!$A$2:$F$23,MATCH(LEFT($B192,FIND("_",$B192)-1),WP!$E$2:$E$23,0),2))),INDEX(WP!$A$2:$F$23,MATCH(Results!$B192,WP!$E$2:$E$23,0),2)),6)="Series",LEFT(IFERROR(IF(FIND("_",$B192)&gt;0,INDEX(WP!$A$2:$F$23,MATCH(LEFT($B192,FIND("_",$B192)-1),WP!$E$2:$E$23,0),2),IF(FIND("-",$B192)&gt;0,INDEX(WP!$A$2:$F$23,MATCH(LEFT($B192,FIND("_",$B192)-1),WP!$E$2:$E$23,0),2))),INDEX(WP!$A$2:$F$23,MATCH(Results!$B192,WP!$E$2:$E$23,0),2)),5),(IFERROR(IF(FIND("_",$B192)&gt;0,INDEX(WP!$A$2:$F$23,MATCH(LEFT($B192,FIND("_",$B192)-1),WP!$E$2:$E$23,0),2),IF(FIND("-",$B192)&gt;0,INDEX(WP!$A$2:$F$23,MATCH(LEFT($B192,FIND("_",$B192)-1),WP!$E$2:$E$23,0),2))),INDEX(WP!$A$2:$F$23,MATCH(Results!$B192,WP!$E$2:$E$23,0),2))))&amp;"-"&amp;$I192),"")</f>
        <v/>
      </c>
      <c r="G192" s="17" t="str">
        <f>IF(LEN(_xlfn.IFNA(IF(IFERROR(IF(FIND("_",$B192)&gt;0,MID($B192,FIND("_",$B192)+1,LEN($B192)),IF(FIND("-",$B192)&gt;0,MID($B192,FIND("-",$B192)+1,LEN($B192)))),"")="",IFERROR(VLOOKUP($F192,WP!$B$2:$C$23,2,0),VLOOKUP($C192,Series!$A$3:$F$11,6,0)),IFERROR(VLOOKUP($F192,WP!$B$2:$C$23,2,0),VLOOKUP($C192,Series!$A$3:$F$11,6,0))&amp;" - "&amp;(IFERROR(IF(FIND("_",$B192)&gt;0,MID($B192,FIND("_",$B192)+1,LEN($B192)),IF(FIND("-",$B192)&gt;0,MID($B192,FIND("-",$B192)+1,LEN($B192)))),""))),""))&lt;64,_xlfn.IFNA(IF(IFERROR(IF(FIND("_",$B192)&gt;0,MID($B192,FIND("_",$B192)+1,LEN($B192)),IF(FIND("-",$B192)&gt;0,MID($B192,FIND("-",$B192)+1,LEN($B192)))),"")="",IFERROR(VLOOKUP($F192,WP!$B$2:$C$23,2,0),VLOOKUP($C192,Series!$A$3:$F$11,6,0)),IFERROR(VLOOKUP($F192,WP!$B$2:$C$23,2,0),VLOOKUP($C192,Series!$A$3:$F$11,6,0))&amp;" - "&amp;(IFERROR(IF(FIND("_",$B192)&gt;0,MID($B192,FIND("_",$B192)+1,LEN($B192)),IF(FIND("-",$B192)&gt;0,MID($B192,FIND("-",$B192)+1,LEN($B192)))),""))),""),LEFT((_xlfn.IFNA(IF(IFERROR(IF(FIND("_",$B192)&gt;0,MID($B192,FIND("_",$B192)+1,LEN($B192)),IF(FIND("-",$B192)&gt;0,MID($B192,FIND("-",$B192)+1,LEN($B192)))),"")="",IFERROR(VLOOKUP($F192,WP!$B$2:$C$23,2,0),VLOOKUP($C192,Series!$A$3:$F$11,6,0)),IFERROR(VLOOKUP($F192,WP!$B$2:$C$23,2,0),VLOOKUP($C192,Series!$A$3:$F$11,6,0))&amp;" - "&amp;(IFERROR(IF(FIND("_",$B192)&gt;0,MID($B192,FIND("_",$B192)+1,LEN($B192)),IF(FIND("-",$B192)&gt;0,MID($B192,FIND("-",$B192)+1,LEN($B192)))),""))),"")),64))</f>
        <v/>
      </c>
      <c r="H192" s="12"/>
      <c r="I192" s="12" t="str">
        <f>IF($D192&lt;&gt;"",COUNTIF($D$7:$D192,"="&amp;$D192),"")</f>
        <v/>
      </c>
      <c r="J192"/>
      <c r="K192" s="8"/>
      <c r="L192"/>
    </row>
    <row r="193" spans="1:12" x14ac:dyDescent="0.3">
      <c r="A193" s="1"/>
      <c r="B193" s="26"/>
      <c r="C193" s="12" t="str">
        <f>_xlfn.IFNA(IFERROR(IF(FIND("_",$B193)&gt;0,INDEX(WP!$A$2:$F$23,MATCH(LEFT($B193,FIND("_",$B193)-1),WP!$E$2:$E$23,0),1),IF(FIND("-",$B193)&gt;0,INDEX(WP!$A$2:$F$23,MATCH(LEFT($B193,FIND("_",$B193)-1),WP!$E$2:$E$23,0),1))),INDEX(WP!$A$2:$F$23,MATCH(Results!$B193,WP!$E$2:$E$23,0),1)),"")</f>
        <v/>
      </c>
      <c r="D193" s="12" t="str">
        <f>IFERROR(IFERROR(IF(RIGHT(INDEX(WP!$A$2:$F$23,MATCH(IF(FIND("_",$B193)&gt;0,LEFT($B193,FIND("_",$B193)-1)),WP!$E$2:$E$23,0),2),6)="Series",LEFT(INDEX(WP!$A$2:$F$23,MATCH(IF(FIND("_",$B193)&gt;0,LEFT($B193,FIND("_",$B193)-1)),WP!$E$2:$E$23,0),2),5),""),IF(RIGHT(INDEX(WP!$A$2:$F$23,MATCH($B193,WP!$E$2:$E$23,0),2),6)="Series",LEFT(INDEX(WP!$A$2:$F$23,MATCH($B193,WP!$E$2:$E$23,0),2),5),"")),"")</f>
        <v/>
      </c>
      <c r="E193" s="17" t="str">
        <f>IFERROR(VLOOKUP(VALUE($D193),Series!$B$3:$F$11,2,0),"")</f>
        <v/>
      </c>
      <c r="F193" s="12" t="str">
        <f>_xlfn.IFNA(IF(IF($D193&lt;&gt;"",COUNTIF($E:$E,"="&amp;$D193),"")="",IF(RIGHT(IFERROR(IF(FIND("_",$B193)&gt;0,INDEX(WP!$A$2:$F$23,MATCH(LEFT($B193,FIND("_",$B193)-1),WP!$E$2:$E$23,0),2),IF(FIND("-",$B193)&gt;0,INDEX(WP!$A$2:$F$23,MATCH(LEFT($B193,FIND("_",$B193)-1),WP!$E$2:$E$23,0),2))),INDEX(WP!$A$2:$F$23,MATCH(Results!$B193,WP!$E$2:$E$23,0),2)),6)="Series",LEFT(IFERROR(IF(FIND("_",$B193)&gt;0,INDEX(WP!$A$2:$F$23,MATCH(LEFT($B193,FIND("_",$B193)-1),WP!$E$2:$E$23,0),2),IF(FIND("-",$B193)&gt;0,INDEX(WP!$A$2:$F$23,MATCH(LEFT($B193,FIND("_",$B193)-1),WP!$E$2:$E$23,0),2))),INDEX(WP!$A$2:$F$23,MATCH(Results!$B193,WP!$E$2:$E$23,0),2)),5),(IFERROR(IF(FIND("_",$B193)&gt;0,INDEX(WP!$A$2:$F$23,MATCH(LEFT($B193,FIND("_",$B193)-1),WP!$E$2:$E$23,0),2),IF(FIND("-",$B193)&gt;0,INDEX(WP!$A$2:$F$23,MATCH(LEFT($B193,FIND("_",$B193)-1),WP!$E$2:$E$23,0),2))),INDEX(WP!$A$2:$F$23,MATCH(Results!$B193,WP!$E$2:$E$23,0),2)))),IF(RIGHT(IFERROR(IF(FIND("_",$B193)&gt;0,INDEX(WP!$A$2:$F$23,MATCH(LEFT($B193,FIND("_",$B193)-1),WP!$E$2:$E$23,0),2),IF(FIND("-",$B193)&gt;0,INDEX(WP!$A$2:$F$23,MATCH(LEFT($B193,FIND("_",$B193)-1),WP!$E$2:$E$23,0),2))),INDEX(WP!$A$2:$F$23,MATCH(Results!$B193,WP!$E$2:$E$23,0),2)),6)="Series",LEFT(IFERROR(IF(FIND("_",$B193)&gt;0,INDEX(WP!$A$2:$F$23,MATCH(LEFT($B193,FIND("_",$B193)-1),WP!$E$2:$E$23,0),2),IF(FIND("-",$B193)&gt;0,INDEX(WP!$A$2:$F$23,MATCH(LEFT($B193,FIND("_",$B193)-1),WP!$E$2:$E$23,0),2))),INDEX(WP!$A$2:$F$23,MATCH(Results!$B193,WP!$E$2:$E$23,0),2)),5),(IFERROR(IF(FIND("_",$B193)&gt;0,INDEX(WP!$A$2:$F$23,MATCH(LEFT($B193,FIND("_",$B193)-1),WP!$E$2:$E$23,0),2),IF(FIND("-",$B193)&gt;0,INDEX(WP!$A$2:$F$23,MATCH(LEFT($B193,FIND("_",$B193)-1),WP!$E$2:$E$23,0),2))),INDEX(WP!$A$2:$F$23,MATCH(Results!$B193,WP!$E$2:$E$23,0),2))))&amp;"-"&amp;$I193),"")</f>
        <v/>
      </c>
      <c r="G193" s="17" t="str">
        <f>IF(LEN(_xlfn.IFNA(IF(IFERROR(IF(FIND("_",$B193)&gt;0,MID($B193,FIND("_",$B193)+1,LEN($B193)),IF(FIND("-",$B193)&gt;0,MID($B193,FIND("-",$B193)+1,LEN($B193)))),"")="",IFERROR(VLOOKUP($F193,WP!$B$2:$C$23,2,0),VLOOKUP($C193,Series!$A$3:$F$11,6,0)),IFERROR(VLOOKUP($F193,WP!$B$2:$C$23,2,0),VLOOKUP($C193,Series!$A$3:$F$11,6,0))&amp;" - "&amp;(IFERROR(IF(FIND("_",$B193)&gt;0,MID($B193,FIND("_",$B193)+1,LEN($B193)),IF(FIND("-",$B193)&gt;0,MID($B193,FIND("-",$B193)+1,LEN($B193)))),""))),""))&lt;64,_xlfn.IFNA(IF(IFERROR(IF(FIND("_",$B193)&gt;0,MID($B193,FIND("_",$B193)+1,LEN($B193)),IF(FIND("-",$B193)&gt;0,MID($B193,FIND("-",$B193)+1,LEN($B193)))),"")="",IFERROR(VLOOKUP($F193,WP!$B$2:$C$23,2,0),VLOOKUP($C193,Series!$A$3:$F$11,6,0)),IFERROR(VLOOKUP($F193,WP!$B$2:$C$23,2,0),VLOOKUP($C193,Series!$A$3:$F$11,6,0))&amp;" - "&amp;(IFERROR(IF(FIND("_",$B193)&gt;0,MID($B193,FIND("_",$B193)+1,LEN($B193)),IF(FIND("-",$B193)&gt;0,MID($B193,FIND("-",$B193)+1,LEN($B193)))),""))),""),LEFT((_xlfn.IFNA(IF(IFERROR(IF(FIND("_",$B193)&gt;0,MID($B193,FIND("_",$B193)+1,LEN($B193)),IF(FIND("-",$B193)&gt;0,MID($B193,FIND("-",$B193)+1,LEN($B193)))),"")="",IFERROR(VLOOKUP($F193,WP!$B$2:$C$23,2,0),VLOOKUP($C193,Series!$A$3:$F$11,6,0)),IFERROR(VLOOKUP($F193,WP!$B$2:$C$23,2,0),VLOOKUP($C193,Series!$A$3:$F$11,6,0))&amp;" - "&amp;(IFERROR(IF(FIND("_",$B193)&gt;0,MID($B193,FIND("_",$B193)+1,LEN($B193)),IF(FIND("-",$B193)&gt;0,MID($B193,FIND("-",$B193)+1,LEN($B193)))),""))),"")),64))</f>
        <v/>
      </c>
      <c r="H193" s="12"/>
      <c r="I193" s="12" t="str">
        <f>IF($D193&lt;&gt;"",COUNTIF($D$7:$D193,"="&amp;$D193),"")</f>
        <v/>
      </c>
      <c r="J193"/>
      <c r="K193" s="8"/>
      <c r="L193"/>
    </row>
    <row r="194" spans="1:12" x14ac:dyDescent="0.3">
      <c r="A194" s="1"/>
      <c r="B194" s="26"/>
      <c r="C194" s="12" t="str">
        <f>_xlfn.IFNA(IFERROR(IF(FIND("_",$B194)&gt;0,INDEX(WP!$A$2:$F$23,MATCH(LEFT($B194,FIND("_",$B194)-1),WP!$E$2:$E$23,0),1),IF(FIND("-",$B194)&gt;0,INDEX(WP!$A$2:$F$23,MATCH(LEFT($B194,FIND("_",$B194)-1),WP!$E$2:$E$23,0),1))),INDEX(WP!$A$2:$F$23,MATCH(Results!$B194,WP!$E$2:$E$23,0),1)),"")</f>
        <v/>
      </c>
      <c r="D194" s="12" t="str">
        <f>IFERROR(IFERROR(IF(RIGHT(INDEX(WP!$A$2:$F$23,MATCH(IF(FIND("_",$B194)&gt;0,LEFT($B194,FIND("_",$B194)-1)),WP!$E$2:$E$23,0),2),6)="Series",LEFT(INDEX(WP!$A$2:$F$23,MATCH(IF(FIND("_",$B194)&gt;0,LEFT($B194,FIND("_",$B194)-1)),WP!$E$2:$E$23,0),2),5),""),IF(RIGHT(INDEX(WP!$A$2:$F$23,MATCH($B194,WP!$E$2:$E$23,0),2),6)="Series",LEFT(INDEX(WP!$A$2:$F$23,MATCH($B194,WP!$E$2:$E$23,0),2),5),"")),"")</f>
        <v/>
      </c>
      <c r="E194" s="17" t="str">
        <f>IFERROR(VLOOKUP(VALUE($D194),Series!$B$3:$F$11,2,0),"")</f>
        <v/>
      </c>
      <c r="F194" s="12" t="str">
        <f>_xlfn.IFNA(IF(IF($D194&lt;&gt;"",COUNTIF($E:$E,"="&amp;$D194),"")="",IF(RIGHT(IFERROR(IF(FIND("_",$B194)&gt;0,INDEX(WP!$A$2:$F$23,MATCH(LEFT($B194,FIND("_",$B194)-1),WP!$E$2:$E$23,0),2),IF(FIND("-",$B194)&gt;0,INDEX(WP!$A$2:$F$23,MATCH(LEFT($B194,FIND("_",$B194)-1),WP!$E$2:$E$23,0),2))),INDEX(WP!$A$2:$F$23,MATCH(Results!$B194,WP!$E$2:$E$23,0),2)),6)="Series",LEFT(IFERROR(IF(FIND("_",$B194)&gt;0,INDEX(WP!$A$2:$F$23,MATCH(LEFT($B194,FIND("_",$B194)-1),WP!$E$2:$E$23,0),2),IF(FIND("-",$B194)&gt;0,INDEX(WP!$A$2:$F$23,MATCH(LEFT($B194,FIND("_",$B194)-1),WP!$E$2:$E$23,0),2))),INDEX(WP!$A$2:$F$23,MATCH(Results!$B194,WP!$E$2:$E$23,0),2)),5),(IFERROR(IF(FIND("_",$B194)&gt;0,INDEX(WP!$A$2:$F$23,MATCH(LEFT($B194,FIND("_",$B194)-1),WP!$E$2:$E$23,0),2),IF(FIND("-",$B194)&gt;0,INDEX(WP!$A$2:$F$23,MATCH(LEFT($B194,FIND("_",$B194)-1),WP!$E$2:$E$23,0),2))),INDEX(WP!$A$2:$F$23,MATCH(Results!$B194,WP!$E$2:$E$23,0),2)))),IF(RIGHT(IFERROR(IF(FIND("_",$B194)&gt;0,INDEX(WP!$A$2:$F$23,MATCH(LEFT($B194,FIND("_",$B194)-1),WP!$E$2:$E$23,0),2),IF(FIND("-",$B194)&gt;0,INDEX(WP!$A$2:$F$23,MATCH(LEFT($B194,FIND("_",$B194)-1),WP!$E$2:$E$23,0),2))),INDEX(WP!$A$2:$F$23,MATCH(Results!$B194,WP!$E$2:$E$23,0),2)),6)="Series",LEFT(IFERROR(IF(FIND("_",$B194)&gt;0,INDEX(WP!$A$2:$F$23,MATCH(LEFT($B194,FIND("_",$B194)-1),WP!$E$2:$E$23,0),2),IF(FIND("-",$B194)&gt;0,INDEX(WP!$A$2:$F$23,MATCH(LEFT($B194,FIND("_",$B194)-1),WP!$E$2:$E$23,0),2))),INDEX(WP!$A$2:$F$23,MATCH(Results!$B194,WP!$E$2:$E$23,0),2)),5),(IFERROR(IF(FIND("_",$B194)&gt;0,INDEX(WP!$A$2:$F$23,MATCH(LEFT($B194,FIND("_",$B194)-1),WP!$E$2:$E$23,0),2),IF(FIND("-",$B194)&gt;0,INDEX(WP!$A$2:$F$23,MATCH(LEFT($B194,FIND("_",$B194)-1),WP!$E$2:$E$23,0),2))),INDEX(WP!$A$2:$F$23,MATCH(Results!$B194,WP!$E$2:$E$23,0),2))))&amp;"-"&amp;$I194),"")</f>
        <v/>
      </c>
      <c r="G194" s="17" t="str">
        <f>IF(LEN(_xlfn.IFNA(IF(IFERROR(IF(FIND("_",$B194)&gt;0,MID($B194,FIND("_",$B194)+1,LEN($B194)),IF(FIND("-",$B194)&gt;0,MID($B194,FIND("-",$B194)+1,LEN($B194)))),"")="",IFERROR(VLOOKUP($F194,WP!$B$2:$C$23,2,0),VLOOKUP($C194,Series!$A$3:$F$11,6,0)),IFERROR(VLOOKUP($F194,WP!$B$2:$C$23,2,0),VLOOKUP($C194,Series!$A$3:$F$11,6,0))&amp;" - "&amp;(IFERROR(IF(FIND("_",$B194)&gt;0,MID($B194,FIND("_",$B194)+1,LEN($B194)),IF(FIND("-",$B194)&gt;0,MID($B194,FIND("-",$B194)+1,LEN($B194)))),""))),""))&lt;64,_xlfn.IFNA(IF(IFERROR(IF(FIND("_",$B194)&gt;0,MID($B194,FIND("_",$B194)+1,LEN($B194)),IF(FIND("-",$B194)&gt;0,MID($B194,FIND("-",$B194)+1,LEN($B194)))),"")="",IFERROR(VLOOKUP($F194,WP!$B$2:$C$23,2,0),VLOOKUP($C194,Series!$A$3:$F$11,6,0)),IFERROR(VLOOKUP($F194,WP!$B$2:$C$23,2,0),VLOOKUP($C194,Series!$A$3:$F$11,6,0))&amp;" - "&amp;(IFERROR(IF(FIND("_",$B194)&gt;0,MID($B194,FIND("_",$B194)+1,LEN($B194)),IF(FIND("-",$B194)&gt;0,MID($B194,FIND("-",$B194)+1,LEN($B194)))),""))),""),LEFT((_xlfn.IFNA(IF(IFERROR(IF(FIND("_",$B194)&gt;0,MID($B194,FIND("_",$B194)+1,LEN($B194)),IF(FIND("-",$B194)&gt;0,MID($B194,FIND("-",$B194)+1,LEN($B194)))),"")="",IFERROR(VLOOKUP($F194,WP!$B$2:$C$23,2,0),VLOOKUP($C194,Series!$A$3:$F$11,6,0)),IFERROR(VLOOKUP($F194,WP!$B$2:$C$23,2,0),VLOOKUP($C194,Series!$A$3:$F$11,6,0))&amp;" - "&amp;(IFERROR(IF(FIND("_",$B194)&gt;0,MID($B194,FIND("_",$B194)+1,LEN($B194)),IF(FIND("-",$B194)&gt;0,MID($B194,FIND("-",$B194)+1,LEN($B194)))),""))),"")),64))</f>
        <v/>
      </c>
      <c r="H194" s="12"/>
      <c r="I194" s="12" t="str">
        <f>IF($D194&lt;&gt;"",COUNTIF($D$7:$D194,"="&amp;$D194),"")</f>
        <v/>
      </c>
      <c r="J194"/>
      <c r="K194" s="8"/>
      <c r="L194"/>
    </row>
    <row r="195" spans="1:12" x14ac:dyDescent="0.3">
      <c r="A195" s="1"/>
      <c r="B195" s="26"/>
      <c r="C195" s="12" t="str">
        <f>_xlfn.IFNA(IFERROR(IF(FIND("_",$B195)&gt;0,INDEX(WP!$A$2:$F$23,MATCH(LEFT($B195,FIND("_",$B195)-1),WP!$E$2:$E$23,0),1),IF(FIND("-",$B195)&gt;0,INDEX(WP!$A$2:$F$23,MATCH(LEFT($B195,FIND("_",$B195)-1),WP!$E$2:$E$23,0),1))),INDEX(WP!$A$2:$F$23,MATCH(Results!$B195,WP!$E$2:$E$23,0),1)),"")</f>
        <v/>
      </c>
      <c r="D195" s="12" t="str">
        <f>IFERROR(IFERROR(IF(RIGHT(INDEX(WP!$A$2:$F$23,MATCH(IF(FIND("_",$B195)&gt;0,LEFT($B195,FIND("_",$B195)-1)),WP!$E$2:$E$23,0),2),6)="Series",LEFT(INDEX(WP!$A$2:$F$23,MATCH(IF(FIND("_",$B195)&gt;0,LEFT($B195,FIND("_",$B195)-1)),WP!$E$2:$E$23,0),2),5),""),IF(RIGHT(INDEX(WP!$A$2:$F$23,MATCH($B195,WP!$E$2:$E$23,0),2),6)="Series",LEFT(INDEX(WP!$A$2:$F$23,MATCH($B195,WP!$E$2:$E$23,0),2),5),"")),"")</f>
        <v/>
      </c>
      <c r="E195" s="17" t="str">
        <f>IFERROR(VLOOKUP(VALUE($D195),Series!$B$3:$F$11,2,0),"")</f>
        <v/>
      </c>
      <c r="F195" s="12" t="str">
        <f>_xlfn.IFNA(IF(IF($D195&lt;&gt;"",COUNTIF($E:$E,"="&amp;$D195),"")="",IF(RIGHT(IFERROR(IF(FIND("_",$B195)&gt;0,INDEX(WP!$A$2:$F$23,MATCH(LEFT($B195,FIND("_",$B195)-1),WP!$E$2:$E$23,0),2),IF(FIND("-",$B195)&gt;0,INDEX(WP!$A$2:$F$23,MATCH(LEFT($B195,FIND("_",$B195)-1),WP!$E$2:$E$23,0),2))),INDEX(WP!$A$2:$F$23,MATCH(Results!$B195,WP!$E$2:$E$23,0),2)),6)="Series",LEFT(IFERROR(IF(FIND("_",$B195)&gt;0,INDEX(WP!$A$2:$F$23,MATCH(LEFT($B195,FIND("_",$B195)-1),WP!$E$2:$E$23,0),2),IF(FIND("-",$B195)&gt;0,INDEX(WP!$A$2:$F$23,MATCH(LEFT($B195,FIND("_",$B195)-1),WP!$E$2:$E$23,0),2))),INDEX(WP!$A$2:$F$23,MATCH(Results!$B195,WP!$E$2:$E$23,0),2)),5),(IFERROR(IF(FIND("_",$B195)&gt;0,INDEX(WP!$A$2:$F$23,MATCH(LEFT($B195,FIND("_",$B195)-1),WP!$E$2:$E$23,0),2),IF(FIND("-",$B195)&gt;0,INDEX(WP!$A$2:$F$23,MATCH(LEFT($B195,FIND("_",$B195)-1),WP!$E$2:$E$23,0),2))),INDEX(WP!$A$2:$F$23,MATCH(Results!$B195,WP!$E$2:$E$23,0),2)))),IF(RIGHT(IFERROR(IF(FIND("_",$B195)&gt;0,INDEX(WP!$A$2:$F$23,MATCH(LEFT($B195,FIND("_",$B195)-1),WP!$E$2:$E$23,0),2),IF(FIND("-",$B195)&gt;0,INDEX(WP!$A$2:$F$23,MATCH(LEFT($B195,FIND("_",$B195)-1),WP!$E$2:$E$23,0),2))),INDEX(WP!$A$2:$F$23,MATCH(Results!$B195,WP!$E$2:$E$23,0),2)),6)="Series",LEFT(IFERROR(IF(FIND("_",$B195)&gt;0,INDEX(WP!$A$2:$F$23,MATCH(LEFT($B195,FIND("_",$B195)-1),WP!$E$2:$E$23,0),2),IF(FIND("-",$B195)&gt;0,INDEX(WP!$A$2:$F$23,MATCH(LEFT($B195,FIND("_",$B195)-1),WP!$E$2:$E$23,0),2))),INDEX(WP!$A$2:$F$23,MATCH(Results!$B195,WP!$E$2:$E$23,0),2)),5),(IFERROR(IF(FIND("_",$B195)&gt;0,INDEX(WP!$A$2:$F$23,MATCH(LEFT($B195,FIND("_",$B195)-1),WP!$E$2:$E$23,0),2),IF(FIND("-",$B195)&gt;0,INDEX(WP!$A$2:$F$23,MATCH(LEFT($B195,FIND("_",$B195)-1),WP!$E$2:$E$23,0),2))),INDEX(WP!$A$2:$F$23,MATCH(Results!$B195,WP!$E$2:$E$23,0),2))))&amp;"-"&amp;$I195),"")</f>
        <v/>
      </c>
      <c r="G195" s="17" t="str">
        <f>IF(LEN(_xlfn.IFNA(IF(IFERROR(IF(FIND("_",$B195)&gt;0,MID($B195,FIND("_",$B195)+1,LEN($B195)),IF(FIND("-",$B195)&gt;0,MID($B195,FIND("-",$B195)+1,LEN($B195)))),"")="",IFERROR(VLOOKUP($F195,WP!$B$2:$C$23,2,0),VLOOKUP($C195,Series!$A$3:$F$11,6,0)),IFERROR(VLOOKUP($F195,WP!$B$2:$C$23,2,0),VLOOKUP($C195,Series!$A$3:$F$11,6,0))&amp;" - "&amp;(IFERROR(IF(FIND("_",$B195)&gt;0,MID($B195,FIND("_",$B195)+1,LEN($B195)),IF(FIND("-",$B195)&gt;0,MID($B195,FIND("-",$B195)+1,LEN($B195)))),""))),""))&lt;64,_xlfn.IFNA(IF(IFERROR(IF(FIND("_",$B195)&gt;0,MID($B195,FIND("_",$B195)+1,LEN($B195)),IF(FIND("-",$B195)&gt;0,MID($B195,FIND("-",$B195)+1,LEN($B195)))),"")="",IFERROR(VLOOKUP($F195,WP!$B$2:$C$23,2,0),VLOOKUP($C195,Series!$A$3:$F$11,6,0)),IFERROR(VLOOKUP($F195,WP!$B$2:$C$23,2,0),VLOOKUP($C195,Series!$A$3:$F$11,6,0))&amp;" - "&amp;(IFERROR(IF(FIND("_",$B195)&gt;0,MID($B195,FIND("_",$B195)+1,LEN($B195)),IF(FIND("-",$B195)&gt;0,MID($B195,FIND("-",$B195)+1,LEN($B195)))),""))),""),LEFT((_xlfn.IFNA(IF(IFERROR(IF(FIND("_",$B195)&gt;0,MID($B195,FIND("_",$B195)+1,LEN($B195)),IF(FIND("-",$B195)&gt;0,MID($B195,FIND("-",$B195)+1,LEN($B195)))),"")="",IFERROR(VLOOKUP($F195,WP!$B$2:$C$23,2,0),VLOOKUP($C195,Series!$A$3:$F$11,6,0)),IFERROR(VLOOKUP($F195,WP!$B$2:$C$23,2,0),VLOOKUP($C195,Series!$A$3:$F$11,6,0))&amp;" - "&amp;(IFERROR(IF(FIND("_",$B195)&gt;0,MID($B195,FIND("_",$B195)+1,LEN($B195)),IF(FIND("-",$B195)&gt;0,MID($B195,FIND("-",$B195)+1,LEN($B195)))),""))),"")),64))</f>
        <v/>
      </c>
      <c r="H195" s="12"/>
      <c r="I195" s="12" t="str">
        <f>IF($D195&lt;&gt;"",COUNTIF($D$7:$D195,"="&amp;$D195),"")</f>
        <v/>
      </c>
      <c r="J195"/>
      <c r="K195" s="8"/>
      <c r="L195"/>
    </row>
    <row r="196" spans="1:12" x14ac:dyDescent="0.3">
      <c r="A196" s="1"/>
      <c r="B196" s="26"/>
      <c r="C196" s="12" t="str">
        <f>_xlfn.IFNA(IFERROR(IF(FIND("_",$B196)&gt;0,INDEX(WP!$A$2:$F$23,MATCH(LEFT($B196,FIND("_",$B196)-1),WP!$E$2:$E$23,0),1),IF(FIND("-",$B196)&gt;0,INDEX(WP!$A$2:$F$23,MATCH(LEFT($B196,FIND("_",$B196)-1),WP!$E$2:$E$23,0),1))),INDEX(WP!$A$2:$F$23,MATCH(Results!$B196,WP!$E$2:$E$23,0),1)),"")</f>
        <v/>
      </c>
      <c r="D196" s="12" t="str">
        <f>IFERROR(IFERROR(IF(RIGHT(INDEX(WP!$A$2:$F$23,MATCH(IF(FIND("_",$B196)&gt;0,LEFT($B196,FIND("_",$B196)-1)),WP!$E$2:$E$23,0),2),6)="Series",LEFT(INDEX(WP!$A$2:$F$23,MATCH(IF(FIND("_",$B196)&gt;0,LEFT($B196,FIND("_",$B196)-1)),WP!$E$2:$E$23,0),2),5),""),IF(RIGHT(INDEX(WP!$A$2:$F$23,MATCH($B196,WP!$E$2:$E$23,0),2),6)="Series",LEFT(INDEX(WP!$A$2:$F$23,MATCH($B196,WP!$E$2:$E$23,0),2),5),"")),"")</f>
        <v/>
      </c>
      <c r="E196" s="17" t="str">
        <f>IFERROR(VLOOKUP(VALUE($D196),Series!$B$3:$F$11,2,0),"")</f>
        <v/>
      </c>
      <c r="F196" s="12" t="str">
        <f>_xlfn.IFNA(IF(IF($D196&lt;&gt;"",COUNTIF($E:$E,"="&amp;$D196),"")="",IF(RIGHT(IFERROR(IF(FIND("_",$B196)&gt;0,INDEX(WP!$A$2:$F$23,MATCH(LEFT($B196,FIND("_",$B196)-1),WP!$E$2:$E$23,0),2),IF(FIND("-",$B196)&gt;0,INDEX(WP!$A$2:$F$23,MATCH(LEFT($B196,FIND("_",$B196)-1),WP!$E$2:$E$23,0),2))),INDEX(WP!$A$2:$F$23,MATCH(Results!$B196,WP!$E$2:$E$23,0),2)),6)="Series",LEFT(IFERROR(IF(FIND("_",$B196)&gt;0,INDEX(WP!$A$2:$F$23,MATCH(LEFT($B196,FIND("_",$B196)-1),WP!$E$2:$E$23,0),2),IF(FIND("-",$B196)&gt;0,INDEX(WP!$A$2:$F$23,MATCH(LEFT($B196,FIND("_",$B196)-1),WP!$E$2:$E$23,0),2))),INDEX(WP!$A$2:$F$23,MATCH(Results!$B196,WP!$E$2:$E$23,0),2)),5),(IFERROR(IF(FIND("_",$B196)&gt;0,INDEX(WP!$A$2:$F$23,MATCH(LEFT($B196,FIND("_",$B196)-1),WP!$E$2:$E$23,0),2),IF(FIND("-",$B196)&gt;0,INDEX(WP!$A$2:$F$23,MATCH(LEFT($B196,FIND("_",$B196)-1),WP!$E$2:$E$23,0),2))),INDEX(WP!$A$2:$F$23,MATCH(Results!$B196,WP!$E$2:$E$23,0),2)))),IF(RIGHT(IFERROR(IF(FIND("_",$B196)&gt;0,INDEX(WP!$A$2:$F$23,MATCH(LEFT($B196,FIND("_",$B196)-1),WP!$E$2:$E$23,0),2),IF(FIND("-",$B196)&gt;0,INDEX(WP!$A$2:$F$23,MATCH(LEFT($B196,FIND("_",$B196)-1),WP!$E$2:$E$23,0),2))),INDEX(WP!$A$2:$F$23,MATCH(Results!$B196,WP!$E$2:$E$23,0),2)),6)="Series",LEFT(IFERROR(IF(FIND("_",$B196)&gt;0,INDEX(WP!$A$2:$F$23,MATCH(LEFT($B196,FIND("_",$B196)-1),WP!$E$2:$E$23,0),2),IF(FIND("-",$B196)&gt;0,INDEX(WP!$A$2:$F$23,MATCH(LEFT($B196,FIND("_",$B196)-1),WP!$E$2:$E$23,0),2))),INDEX(WP!$A$2:$F$23,MATCH(Results!$B196,WP!$E$2:$E$23,0),2)),5),(IFERROR(IF(FIND("_",$B196)&gt;0,INDEX(WP!$A$2:$F$23,MATCH(LEFT($B196,FIND("_",$B196)-1),WP!$E$2:$E$23,0),2),IF(FIND("-",$B196)&gt;0,INDEX(WP!$A$2:$F$23,MATCH(LEFT($B196,FIND("_",$B196)-1),WP!$E$2:$E$23,0),2))),INDEX(WP!$A$2:$F$23,MATCH(Results!$B196,WP!$E$2:$E$23,0),2))))&amp;"-"&amp;$I196),"")</f>
        <v/>
      </c>
      <c r="G196" s="17" t="str">
        <f>IF(LEN(_xlfn.IFNA(IF(IFERROR(IF(FIND("_",$B196)&gt;0,MID($B196,FIND("_",$B196)+1,LEN($B196)),IF(FIND("-",$B196)&gt;0,MID($B196,FIND("-",$B196)+1,LEN($B196)))),"")="",IFERROR(VLOOKUP($F196,WP!$B$2:$C$23,2,0),VLOOKUP($C196,Series!$A$3:$F$11,6,0)),IFERROR(VLOOKUP($F196,WP!$B$2:$C$23,2,0),VLOOKUP($C196,Series!$A$3:$F$11,6,0))&amp;" - "&amp;(IFERROR(IF(FIND("_",$B196)&gt;0,MID($B196,FIND("_",$B196)+1,LEN($B196)),IF(FIND("-",$B196)&gt;0,MID($B196,FIND("-",$B196)+1,LEN($B196)))),""))),""))&lt;64,_xlfn.IFNA(IF(IFERROR(IF(FIND("_",$B196)&gt;0,MID($B196,FIND("_",$B196)+1,LEN($B196)),IF(FIND("-",$B196)&gt;0,MID($B196,FIND("-",$B196)+1,LEN($B196)))),"")="",IFERROR(VLOOKUP($F196,WP!$B$2:$C$23,2,0),VLOOKUP($C196,Series!$A$3:$F$11,6,0)),IFERROR(VLOOKUP($F196,WP!$B$2:$C$23,2,0),VLOOKUP($C196,Series!$A$3:$F$11,6,0))&amp;" - "&amp;(IFERROR(IF(FIND("_",$B196)&gt;0,MID($B196,FIND("_",$B196)+1,LEN($B196)),IF(FIND("-",$B196)&gt;0,MID($B196,FIND("-",$B196)+1,LEN($B196)))),""))),""),LEFT((_xlfn.IFNA(IF(IFERROR(IF(FIND("_",$B196)&gt;0,MID($B196,FIND("_",$B196)+1,LEN($B196)),IF(FIND("-",$B196)&gt;0,MID($B196,FIND("-",$B196)+1,LEN($B196)))),"")="",IFERROR(VLOOKUP($F196,WP!$B$2:$C$23,2,0),VLOOKUP($C196,Series!$A$3:$F$11,6,0)),IFERROR(VLOOKUP($F196,WP!$B$2:$C$23,2,0),VLOOKUP($C196,Series!$A$3:$F$11,6,0))&amp;" - "&amp;(IFERROR(IF(FIND("_",$B196)&gt;0,MID($B196,FIND("_",$B196)+1,LEN($B196)),IF(FIND("-",$B196)&gt;0,MID($B196,FIND("-",$B196)+1,LEN($B196)))),""))),"")),64))</f>
        <v/>
      </c>
      <c r="H196" s="12"/>
      <c r="I196" s="12" t="str">
        <f>IF($D196&lt;&gt;"",COUNTIF($D$7:$D196,"="&amp;$D196),"")</f>
        <v/>
      </c>
      <c r="J196"/>
      <c r="K196" s="8"/>
      <c r="L196"/>
    </row>
    <row r="197" spans="1:12" x14ac:dyDescent="0.3">
      <c r="A197" s="1"/>
      <c r="B197" s="26"/>
      <c r="C197" s="12" t="str">
        <f>_xlfn.IFNA(IFERROR(IF(FIND("_",$B197)&gt;0,INDEX(WP!$A$2:$F$23,MATCH(LEFT($B197,FIND("_",$B197)-1),WP!$E$2:$E$23,0),1),IF(FIND("-",$B197)&gt;0,INDEX(WP!$A$2:$F$23,MATCH(LEFT($B197,FIND("_",$B197)-1),WP!$E$2:$E$23,0),1))),INDEX(WP!$A$2:$F$23,MATCH(Results!$B197,WP!$E$2:$E$23,0),1)),"")</f>
        <v/>
      </c>
      <c r="D197" s="12" t="str">
        <f>IFERROR(IFERROR(IF(RIGHT(INDEX(WP!$A$2:$F$23,MATCH(IF(FIND("_",$B197)&gt;0,LEFT($B197,FIND("_",$B197)-1)),WP!$E$2:$E$23,0),2),6)="Series",LEFT(INDEX(WP!$A$2:$F$23,MATCH(IF(FIND("_",$B197)&gt;0,LEFT($B197,FIND("_",$B197)-1)),WP!$E$2:$E$23,0),2),5),""),IF(RIGHT(INDEX(WP!$A$2:$F$23,MATCH($B197,WP!$E$2:$E$23,0),2),6)="Series",LEFT(INDEX(WP!$A$2:$F$23,MATCH($B197,WP!$E$2:$E$23,0),2),5),"")),"")</f>
        <v/>
      </c>
      <c r="E197" s="17" t="str">
        <f>IFERROR(VLOOKUP(VALUE($D197),Series!$B$3:$F$11,2,0),"")</f>
        <v/>
      </c>
      <c r="F197" s="12" t="str">
        <f>_xlfn.IFNA(IF(IF($D197&lt;&gt;"",COUNTIF($E:$E,"="&amp;$D197),"")="",IF(RIGHT(IFERROR(IF(FIND("_",$B197)&gt;0,INDEX(WP!$A$2:$F$23,MATCH(LEFT($B197,FIND("_",$B197)-1),WP!$E$2:$E$23,0),2),IF(FIND("-",$B197)&gt;0,INDEX(WP!$A$2:$F$23,MATCH(LEFT($B197,FIND("_",$B197)-1),WP!$E$2:$E$23,0),2))),INDEX(WP!$A$2:$F$23,MATCH(Results!$B197,WP!$E$2:$E$23,0),2)),6)="Series",LEFT(IFERROR(IF(FIND("_",$B197)&gt;0,INDEX(WP!$A$2:$F$23,MATCH(LEFT($B197,FIND("_",$B197)-1),WP!$E$2:$E$23,0),2),IF(FIND("-",$B197)&gt;0,INDEX(WP!$A$2:$F$23,MATCH(LEFT($B197,FIND("_",$B197)-1),WP!$E$2:$E$23,0),2))),INDEX(WP!$A$2:$F$23,MATCH(Results!$B197,WP!$E$2:$E$23,0),2)),5),(IFERROR(IF(FIND("_",$B197)&gt;0,INDEX(WP!$A$2:$F$23,MATCH(LEFT($B197,FIND("_",$B197)-1),WP!$E$2:$E$23,0),2),IF(FIND("-",$B197)&gt;0,INDEX(WP!$A$2:$F$23,MATCH(LEFT($B197,FIND("_",$B197)-1),WP!$E$2:$E$23,0),2))),INDEX(WP!$A$2:$F$23,MATCH(Results!$B197,WP!$E$2:$E$23,0),2)))),IF(RIGHT(IFERROR(IF(FIND("_",$B197)&gt;0,INDEX(WP!$A$2:$F$23,MATCH(LEFT($B197,FIND("_",$B197)-1),WP!$E$2:$E$23,0),2),IF(FIND("-",$B197)&gt;0,INDEX(WP!$A$2:$F$23,MATCH(LEFT($B197,FIND("_",$B197)-1),WP!$E$2:$E$23,0),2))),INDEX(WP!$A$2:$F$23,MATCH(Results!$B197,WP!$E$2:$E$23,0),2)),6)="Series",LEFT(IFERROR(IF(FIND("_",$B197)&gt;0,INDEX(WP!$A$2:$F$23,MATCH(LEFT($B197,FIND("_",$B197)-1),WP!$E$2:$E$23,0),2),IF(FIND("-",$B197)&gt;0,INDEX(WP!$A$2:$F$23,MATCH(LEFT($B197,FIND("_",$B197)-1),WP!$E$2:$E$23,0),2))),INDEX(WP!$A$2:$F$23,MATCH(Results!$B197,WP!$E$2:$E$23,0),2)),5),(IFERROR(IF(FIND("_",$B197)&gt;0,INDEX(WP!$A$2:$F$23,MATCH(LEFT($B197,FIND("_",$B197)-1),WP!$E$2:$E$23,0),2),IF(FIND("-",$B197)&gt;0,INDEX(WP!$A$2:$F$23,MATCH(LEFT($B197,FIND("_",$B197)-1),WP!$E$2:$E$23,0),2))),INDEX(WP!$A$2:$F$23,MATCH(Results!$B197,WP!$E$2:$E$23,0),2))))&amp;"-"&amp;$I197),"")</f>
        <v/>
      </c>
      <c r="G197" s="17" t="str">
        <f>IF(LEN(_xlfn.IFNA(IF(IFERROR(IF(FIND("_",$B197)&gt;0,MID($B197,FIND("_",$B197)+1,LEN($B197)),IF(FIND("-",$B197)&gt;0,MID($B197,FIND("-",$B197)+1,LEN($B197)))),"")="",IFERROR(VLOOKUP($F197,WP!$B$2:$C$23,2,0),VLOOKUP($C197,Series!$A$3:$F$11,6,0)),IFERROR(VLOOKUP($F197,WP!$B$2:$C$23,2,0),VLOOKUP($C197,Series!$A$3:$F$11,6,0))&amp;" - "&amp;(IFERROR(IF(FIND("_",$B197)&gt;0,MID($B197,FIND("_",$B197)+1,LEN($B197)),IF(FIND("-",$B197)&gt;0,MID($B197,FIND("-",$B197)+1,LEN($B197)))),""))),""))&lt;64,_xlfn.IFNA(IF(IFERROR(IF(FIND("_",$B197)&gt;0,MID($B197,FIND("_",$B197)+1,LEN($B197)),IF(FIND("-",$B197)&gt;0,MID($B197,FIND("-",$B197)+1,LEN($B197)))),"")="",IFERROR(VLOOKUP($F197,WP!$B$2:$C$23,2,0),VLOOKUP($C197,Series!$A$3:$F$11,6,0)),IFERROR(VLOOKUP($F197,WP!$B$2:$C$23,2,0),VLOOKUP($C197,Series!$A$3:$F$11,6,0))&amp;" - "&amp;(IFERROR(IF(FIND("_",$B197)&gt;0,MID($B197,FIND("_",$B197)+1,LEN($B197)),IF(FIND("-",$B197)&gt;0,MID($B197,FIND("-",$B197)+1,LEN($B197)))),""))),""),LEFT((_xlfn.IFNA(IF(IFERROR(IF(FIND("_",$B197)&gt;0,MID($B197,FIND("_",$B197)+1,LEN($B197)),IF(FIND("-",$B197)&gt;0,MID($B197,FIND("-",$B197)+1,LEN($B197)))),"")="",IFERROR(VLOOKUP($F197,WP!$B$2:$C$23,2,0),VLOOKUP($C197,Series!$A$3:$F$11,6,0)),IFERROR(VLOOKUP($F197,WP!$B$2:$C$23,2,0),VLOOKUP($C197,Series!$A$3:$F$11,6,0))&amp;" - "&amp;(IFERROR(IF(FIND("_",$B197)&gt;0,MID($B197,FIND("_",$B197)+1,LEN($B197)),IF(FIND("-",$B197)&gt;0,MID($B197,FIND("-",$B197)+1,LEN($B197)))),""))),"")),64))</f>
        <v/>
      </c>
      <c r="H197" s="12"/>
      <c r="I197" s="12" t="str">
        <f>IF($D197&lt;&gt;"",COUNTIF($D$7:$D197,"="&amp;$D197),"")</f>
        <v/>
      </c>
      <c r="J197"/>
      <c r="K197" s="8"/>
      <c r="L197"/>
    </row>
    <row r="198" spans="1:12" x14ac:dyDescent="0.3">
      <c r="A198" s="1"/>
      <c r="B198" s="26"/>
      <c r="C198" s="12" t="str">
        <f>_xlfn.IFNA(IFERROR(IF(FIND("_",$B198)&gt;0,INDEX(WP!$A$2:$F$23,MATCH(LEFT($B198,FIND("_",$B198)-1),WP!$E$2:$E$23,0),1),IF(FIND("-",$B198)&gt;0,INDEX(WP!$A$2:$F$23,MATCH(LEFT($B198,FIND("_",$B198)-1),WP!$E$2:$E$23,0),1))),INDEX(WP!$A$2:$F$23,MATCH(Results!$B198,WP!$E$2:$E$23,0),1)),"")</f>
        <v/>
      </c>
      <c r="D198" s="12" t="str">
        <f>IFERROR(IFERROR(IF(RIGHT(INDEX(WP!$A$2:$F$23,MATCH(IF(FIND("_",$B198)&gt;0,LEFT($B198,FIND("_",$B198)-1)),WP!$E$2:$E$23,0),2),6)="Series",LEFT(INDEX(WP!$A$2:$F$23,MATCH(IF(FIND("_",$B198)&gt;0,LEFT($B198,FIND("_",$B198)-1)),WP!$E$2:$E$23,0),2),5),""),IF(RIGHT(INDEX(WP!$A$2:$F$23,MATCH($B198,WP!$E$2:$E$23,0),2),6)="Series",LEFT(INDEX(WP!$A$2:$F$23,MATCH($B198,WP!$E$2:$E$23,0),2),5),"")),"")</f>
        <v/>
      </c>
      <c r="E198" s="17" t="str">
        <f>IFERROR(VLOOKUP(VALUE($D198),Series!$B$3:$F$11,2,0),"")</f>
        <v/>
      </c>
      <c r="F198" s="12" t="str">
        <f>_xlfn.IFNA(IF(IF($D198&lt;&gt;"",COUNTIF($E:$E,"="&amp;$D198),"")="",IF(RIGHT(IFERROR(IF(FIND("_",$B198)&gt;0,INDEX(WP!$A$2:$F$23,MATCH(LEFT($B198,FIND("_",$B198)-1),WP!$E$2:$E$23,0),2),IF(FIND("-",$B198)&gt;0,INDEX(WP!$A$2:$F$23,MATCH(LEFT($B198,FIND("_",$B198)-1),WP!$E$2:$E$23,0),2))),INDEX(WP!$A$2:$F$23,MATCH(Results!$B198,WP!$E$2:$E$23,0),2)),6)="Series",LEFT(IFERROR(IF(FIND("_",$B198)&gt;0,INDEX(WP!$A$2:$F$23,MATCH(LEFT($B198,FIND("_",$B198)-1),WP!$E$2:$E$23,0),2),IF(FIND("-",$B198)&gt;0,INDEX(WP!$A$2:$F$23,MATCH(LEFT($B198,FIND("_",$B198)-1),WP!$E$2:$E$23,0),2))),INDEX(WP!$A$2:$F$23,MATCH(Results!$B198,WP!$E$2:$E$23,0),2)),5),(IFERROR(IF(FIND("_",$B198)&gt;0,INDEX(WP!$A$2:$F$23,MATCH(LEFT($B198,FIND("_",$B198)-1),WP!$E$2:$E$23,0),2),IF(FIND("-",$B198)&gt;0,INDEX(WP!$A$2:$F$23,MATCH(LEFT($B198,FIND("_",$B198)-1),WP!$E$2:$E$23,0),2))),INDEX(WP!$A$2:$F$23,MATCH(Results!$B198,WP!$E$2:$E$23,0),2)))),IF(RIGHT(IFERROR(IF(FIND("_",$B198)&gt;0,INDEX(WP!$A$2:$F$23,MATCH(LEFT($B198,FIND("_",$B198)-1),WP!$E$2:$E$23,0),2),IF(FIND("-",$B198)&gt;0,INDEX(WP!$A$2:$F$23,MATCH(LEFT($B198,FIND("_",$B198)-1),WP!$E$2:$E$23,0),2))),INDEX(WP!$A$2:$F$23,MATCH(Results!$B198,WP!$E$2:$E$23,0),2)),6)="Series",LEFT(IFERROR(IF(FIND("_",$B198)&gt;0,INDEX(WP!$A$2:$F$23,MATCH(LEFT($B198,FIND("_",$B198)-1),WP!$E$2:$E$23,0),2),IF(FIND("-",$B198)&gt;0,INDEX(WP!$A$2:$F$23,MATCH(LEFT($B198,FIND("_",$B198)-1),WP!$E$2:$E$23,0),2))),INDEX(WP!$A$2:$F$23,MATCH(Results!$B198,WP!$E$2:$E$23,0),2)),5),(IFERROR(IF(FIND("_",$B198)&gt;0,INDEX(WP!$A$2:$F$23,MATCH(LEFT($B198,FIND("_",$B198)-1),WP!$E$2:$E$23,0),2),IF(FIND("-",$B198)&gt;0,INDEX(WP!$A$2:$F$23,MATCH(LEFT($B198,FIND("_",$B198)-1),WP!$E$2:$E$23,0),2))),INDEX(WP!$A$2:$F$23,MATCH(Results!$B198,WP!$E$2:$E$23,0),2))))&amp;"-"&amp;$I198),"")</f>
        <v/>
      </c>
      <c r="G198" s="17" t="str">
        <f>IF(LEN(_xlfn.IFNA(IF(IFERROR(IF(FIND("_",$B198)&gt;0,MID($B198,FIND("_",$B198)+1,LEN($B198)),IF(FIND("-",$B198)&gt;0,MID($B198,FIND("-",$B198)+1,LEN($B198)))),"")="",IFERROR(VLOOKUP($F198,WP!$B$2:$C$23,2,0),VLOOKUP($C198,Series!$A$3:$F$11,6,0)),IFERROR(VLOOKUP($F198,WP!$B$2:$C$23,2,0),VLOOKUP($C198,Series!$A$3:$F$11,6,0))&amp;" - "&amp;(IFERROR(IF(FIND("_",$B198)&gt;0,MID($B198,FIND("_",$B198)+1,LEN($B198)),IF(FIND("-",$B198)&gt;0,MID($B198,FIND("-",$B198)+1,LEN($B198)))),""))),""))&lt;64,_xlfn.IFNA(IF(IFERROR(IF(FIND("_",$B198)&gt;0,MID($B198,FIND("_",$B198)+1,LEN($B198)),IF(FIND("-",$B198)&gt;0,MID($B198,FIND("-",$B198)+1,LEN($B198)))),"")="",IFERROR(VLOOKUP($F198,WP!$B$2:$C$23,2,0),VLOOKUP($C198,Series!$A$3:$F$11,6,0)),IFERROR(VLOOKUP($F198,WP!$B$2:$C$23,2,0),VLOOKUP($C198,Series!$A$3:$F$11,6,0))&amp;" - "&amp;(IFERROR(IF(FIND("_",$B198)&gt;0,MID($B198,FIND("_",$B198)+1,LEN($B198)),IF(FIND("-",$B198)&gt;0,MID($B198,FIND("-",$B198)+1,LEN($B198)))),""))),""),LEFT((_xlfn.IFNA(IF(IFERROR(IF(FIND("_",$B198)&gt;0,MID($B198,FIND("_",$B198)+1,LEN($B198)),IF(FIND("-",$B198)&gt;0,MID($B198,FIND("-",$B198)+1,LEN($B198)))),"")="",IFERROR(VLOOKUP($F198,WP!$B$2:$C$23,2,0),VLOOKUP($C198,Series!$A$3:$F$11,6,0)),IFERROR(VLOOKUP($F198,WP!$B$2:$C$23,2,0),VLOOKUP($C198,Series!$A$3:$F$11,6,0))&amp;" - "&amp;(IFERROR(IF(FIND("_",$B198)&gt;0,MID($B198,FIND("_",$B198)+1,LEN($B198)),IF(FIND("-",$B198)&gt;0,MID($B198,FIND("-",$B198)+1,LEN($B198)))),""))),"")),64))</f>
        <v/>
      </c>
      <c r="H198" s="12"/>
      <c r="I198" s="12" t="str">
        <f>IF($D198&lt;&gt;"",COUNTIF($D$7:$D198,"="&amp;$D198),"")</f>
        <v/>
      </c>
      <c r="J198"/>
      <c r="K198" s="8"/>
      <c r="L198"/>
    </row>
    <row r="199" spans="1:12" x14ac:dyDescent="0.3">
      <c r="A199" s="1"/>
      <c r="B199" s="26"/>
      <c r="C199" s="12" t="str">
        <f>_xlfn.IFNA(IFERROR(IF(FIND("_",$B199)&gt;0,INDEX(WP!$A$2:$F$23,MATCH(LEFT($B199,FIND("_",$B199)-1),WP!$E$2:$E$23,0),1),IF(FIND("-",$B199)&gt;0,INDEX(WP!$A$2:$F$23,MATCH(LEFT($B199,FIND("_",$B199)-1),WP!$E$2:$E$23,0),1))),INDEX(WP!$A$2:$F$23,MATCH(Results!$B199,WP!$E$2:$E$23,0),1)),"")</f>
        <v/>
      </c>
      <c r="D199" s="12" t="str">
        <f>IFERROR(IFERROR(IF(RIGHT(INDEX(WP!$A$2:$F$23,MATCH(IF(FIND("_",$B199)&gt;0,LEFT($B199,FIND("_",$B199)-1)),WP!$E$2:$E$23,0),2),6)="Series",LEFT(INDEX(WP!$A$2:$F$23,MATCH(IF(FIND("_",$B199)&gt;0,LEFT($B199,FIND("_",$B199)-1)),WP!$E$2:$E$23,0),2),5),""),IF(RIGHT(INDEX(WP!$A$2:$F$23,MATCH($B199,WP!$E$2:$E$23,0),2),6)="Series",LEFT(INDEX(WP!$A$2:$F$23,MATCH($B199,WP!$E$2:$E$23,0),2),5),"")),"")</f>
        <v/>
      </c>
      <c r="E199" s="17" t="str">
        <f>IFERROR(VLOOKUP(VALUE($D199),Series!$B$3:$F$11,2,0),"")</f>
        <v/>
      </c>
      <c r="F199" s="12" t="str">
        <f>_xlfn.IFNA(IF(IF($D199&lt;&gt;"",COUNTIF($E:$E,"="&amp;$D199),"")="",IF(RIGHT(IFERROR(IF(FIND("_",$B199)&gt;0,INDEX(WP!$A$2:$F$23,MATCH(LEFT($B199,FIND("_",$B199)-1),WP!$E$2:$E$23,0),2),IF(FIND("-",$B199)&gt;0,INDEX(WP!$A$2:$F$23,MATCH(LEFT($B199,FIND("_",$B199)-1),WP!$E$2:$E$23,0),2))),INDEX(WP!$A$2:$F$23,MATCH(Results!$B199,WP!$E$2:$E$23,0),2)),6)="Series",LEFT(IFERROR(IF(FIND("_",$B199)&gt;0,INDEX(WP!$A$2:$F$23,MATCH(LEFT($B199,FIND("_",$B199)-1),WP!$E$2:$E$23,0),2),IF(FIND("-",$B199)&gt;0,INDEX(WP!$A$2:$F$23,MATCH(LEFT($B199,FIND("_",$B199)-1),WP!$E$2:$E$23,0),2))),INDEX(WP!$A$2:$F$23,MATCH(Results!$B199,WP!$E$2:$E$23,0),2)),5),(IFERROR(IF(FIND("_",$B199)&gt;0,INDEX(WP!$A$2:$F$23,MATCH(LEFT($B199,FIND("_",$B199)-1),WP!$E$2:$E$23,0),2),IF(FIND("-",$B199)&gt;0,INDEX(WP!$A$2:$F$23,MATCH(LEFT($B199,FIND("_",$B199)-1),WP!$E$2:$E$23,0),2))),INDEX(WP!$A$2:$F$23,MATCH(Results!$B199,WP!$E$2:$E$23,0),2)))),IF(RIGHT(IFERROR(IF(FIND("_",$B199)&gt;0,INDEX(WP!$A$2:$F$23,MATCH(LEFT($B199,FIND("_",$B199)-1),WP!$E$2:$E$23,0),2),IF(FIND("-",$B199)&gt;0,INDEX(WP!$A$2:$F$23,MATCH(LEFT($B199,FIND("_",$B199)-1),WP!$E$2:$E$23,0),2))),INDEX(WP!$A$2:$F$23,MATCH(Results!$B199,WP!$E$2:$E$23,0),2)),6)="Series",LEFT(IFERROR(IF(FIND("_",$B199)&gt;0,INDEX(WP!$A$2:$F$23,MATCH(LEFT($B199,FIND("_",$B199)-1),WP!$E$2:$E$23,0),2),IF(FIND("-",$B199)&gt;0,INDEX(WP!$A$2:$F$23,MATCH(LEFT($B199,FIND("_",$B199)-1),WP!$E$2:$E$23,0),2))),INDEX(WP!$A$2:$F$23,MATCH(Results!$B199,WP!$E$2:$E$23,0),2)),5),(IFERROR(IF(FIND("_",$B199)&gt;0,INDEX(WP!$A$2:$F$23,MATCH(LEFT($B199,FIND("_",$B199)-1),WP!$E$2:$E$23,0),2),IF(FIND("-",$B199)&gt;0,INDEX(WP!$A$2:$F$23,MATCH(LEFT($B199,FIND("_",$B199)-1),WP!$E$2:$E$23,0),2))),INDEX(WP!$A$2:$F$23,MATCH(Results!$B199,WP!$E$2:$E$23,0),2))))&amp;"-"&amp;$I199),"")</f>
        <v/>
      </c>
      <c r="G199" s="17" t="str">
        <f>IF(LEN(_xlfn.IFNA(IF(IFERROR(IF(FIND("_",$B199)&gt;0,MID($B199,FIND("_",$B199)+1,LEN($B199)),IF(FIND("-",$B199)&gt;0,MID($B199,FIND("-",$B199)+1,LEN($B199)))),"")="",IFERROR(VLOOKUP($F199,WP!$B$2:$C$23,2,0),VLOOKUP($C199,Series!$A$3:$F$11,6,0)),IFERROR(VLOOKUP($F199,WP!$B$2:$C$23,2,0),VLOOKUP($C199,Series!$A$3:$F$11,6,0))&amp;" - "&amp;(IFERROR(IF(FIND("_",$B199)&gt;0,MID($B199,FIND("_",$B199)+1,LEN($B199)),IF(FIND("-",$B199)&gt;0,MID($B199,FIND("-",$B199)+1,LEN($B199)))),""))),""))&lt;64,_xlfn.IFNA(IF(IFERROR(IF(FIND("_",$B199)&gt;0,MID($B199,FIND("_",$B199)+1,LEN($B199)),IF(FIND("-",$B199)&gt;0,MID($B199,FIND("-",$B199)+1,LEN($B199)))),"")="",IFERROR(VLOOKUP($F199,WP!$B$2:$C$23,2,0),VLOOKUP($C199,Series!$A$3:$F$11,6,0)),IFERROR(VLOOKUP($F199,WP!$B$2:$C$23,2,0),VLOOKUP($C199,Series!$A$3:$F$11,6,0))&amp;" - "&amp;(IFERROR(IF(FIND("_",$B199)&gt;0,MID($B199,FIND("_",$B199)+1,LEN($B199)),IF(FIND("-",$B199)&gt;0,MID($B199,FIND("-",$B199)+1,LEN($B199)))),""))),""),LEFT((_xlfn.IFNA(IF(IFERROR(IF(FIND("_",$B199)&gt;0,MID($B199,FIND("_",$B199)+1,LEN($B199)),IF(FIND("-",$B199)&gt;0,MID($B199,FIND("-",$B199)+1,LEN($B199)))),"")="",IFERROR(VLOOKUP($F199,WP!$B$2:$C$23,2,0),VLOOKUP($C199,Series!$A$3:$F$11,6,0)),IFERROR(VLOOKUP($F199,WP!$B$2:$C$23,2,0),VLOOKUP($C199,Series!$A$3:$F$11,6,0))&amp;" - "&amp;(IFERROR(IF(FIND("_",$B199)&gt;0,MID($B199,FIND("_",$B199)+1,LEN($B199)),IF(FIND("-",$B199)&gt;0,MID($B199,FIND("-",$B199)+1,LEN($B199)))),""))),"")),64))</f>
        <v/>
      </c>
      <c r="H199" s="12"/>
      <c r="I199" s="12" t="str">
        <f>IF($D199&lt;&gt;"",COUNTIF($D$7:$D199,"="&amp;$D199),"")</f>
        <v/>
      </c>
      <c r="J199"/>
      <c r="K199" s="8"/>
      <c r="L199"/>
    </row>
    <row r="200" spans="1:12" x14ac:dyDescent="0.3">
      <c r="A200" s="1"/>
      <c r="B200" s="26"/>
      <c r="C200" s="12" t="str">
        <f>_xlfn.IFNA(IFERROR(IF(FIND("_",$B200)&gt;0,INDEX(WP!$A$2:$F$23,MATCH(LEFT($B200,FIND("_",$B200)-1),WP!$E$2:$E$23,0),1),IF(FIND("-",$B200)&gt;0,INDEX(WP!$A$2:$F$23,MATCH(LEFT($B200,FIND("_",$B200)-1),WP!$E$2:$E$23,0),1))),INDEX(WP!$A$2:$F$23,MATCH(Results!$B200,WP!$E$2:$E$23,0),1)),"")</f>
        <v/>
      </c>
      <c r="D200" s="12" t="str">
        <f>IFERROR(IFERROR(IF(RIGHT(INDEX(WP!$A$2:$F$23,MATCH(IF(FIND("_",$B200)&gt;0,LEFT($B200,FIND("_",$B200)-1)),WP!$E$2:$E$23,0),2),6)="Series",LEFT(INDEX(WP!$A$2:$F$23,MATCH(IF(FIND("_",$B200)&gt;0,LEFT($B200,FIND("_",$B200)-1)),WP!$E$2:$E$23,0),2),5),""),IF(RIGHT(INDEX(WP!$A$2:$F$23,MATCH($B200,WP!$E$2:$E$23,0),2),6)="Series",LEFT(INDEX(WP!$A$2:$F$23,MATCH($B200,WP!$E$2:$E$23,0),2),5),"")),"")</f>
        <v/>
      </c>
      <c r="E200" s="17" t="str">
        <f>IFERROR(VLOOKUP(VALUE($D200),Series!$B$3:$F$11,2,0),"")</f>
        <v/>
      </c>
      <c r="F200" s="12" t="str">
        <f>_xlfn.IFNA(IF(IF($D200&lt;&gt;"",COUNTIF($E:$E,"="&amp;$D200),"")="",IF(RIGHT(IFERROR(IF(FIND("_",$B200)&gt;0,INDEX(WP!$A$2:$F$23,MATCH(LEFT($B200,FIND("_",$B200)-1),WP!$E$2:$E$23,0),2),IF(FIND("-",$B200)&gt;0,INDEX(WP!$A$2:$F$23,MATCH(LEFT($B200,FIND("_",$B200)-1),WP!$E$2:$E$23,0),2))),INDEX(WP!$A$2:$F$23,MATCH(Results!$B200,WP!$E$2:$E$23,0),2)),6)="Series",LEFT(IFERROR(IF(FIND("_",$B200)&gt;0,INDEX(WP!$A$2:$F$23,MATCH(LEFT($B200,FIND("_",$B200)-1),WP!$E$2:$E$23,0),2),IF(FIND("-",$B200)&gt;0,INDEX(WP!$A$2:$F$23,MATCH(LEFT($B200,FIND("_",$B200)-1),WP!$E$2:$E$23,0),2))),INDEX(WP!$A$2:$F$23,MATCH(Results!$B200,WP!$E$2:$E$23,0),2)),5),(IFERROR(IF(FIND("_",$B200)&gt;0,INDEX(WP!$A$2:$F$23,MATCH(LEFT($B200,FIND("_",$B200)-1),WP!$E$2:$E$23,0),2),IF(FIND("-",$B200)&gt;0,INDEX(WP!$A$2:$F$23,MATCH(LEFT($B200,FIND("_",$B200)-1),WP!$E$2:$E$23,0),2))),INDEX(WP!$A$2:$F$23,MATCH(Results!$B200,WP!$E$2:$E$23,0),2)))),IF(RIGHT(IFERROR(IF(FIND("_",$B200)&gt;0,INDEX(WP!$A$2:$F$23,MATCH(LEFT($B200,FIND("_",$B200)-1),WP!$E$2:$E$23,0),2),IF(FIND("-",$B200)&gt;0,INDEX(WP!$A$2:$F$23,MATCH(LEFT($B200,FIND("_",$B200)-1),WP!$E$2:$E$23,0),2))),INDEX(WP!$A$2:$F$23,MATCH(Results!$B200,WP!$E$2:$E$23,0),2)),6)="Series",LEFT(IFERROR(IF(FIND("_",$B200)&gt;0,INDEX(WP!$A$2:$F$23,MATCH(LEFT($B200,FIND("_",$B200)-1),WP!$E$2:$E$23,0),2),IF(FIND("-",$B200)&gt;0,INDEX(WP!$A$2:$F$23,MATCH(LEFT($B200,FIND("_",$B200)-1),WP!$E$2:$E$23,0),2))),INDEX(WP!$A$2:$F$23,MATCH(Results!$B200,WP!$E$2:$E$23,0),2)),5),(IFERROR(IF(FIND("_",$B200)&gt;0,INDEX(WP!$A$2:$F$23,MATCH(LEFT($B200,FIND("_",$B200)-1),WP!$E$2:$E$23,0),2),IF(FIND("-",$B200)&gt;0,INDEX(WP!$A$2:$F$23,MATCH(LEFT($B200,FIND("_",$B200)-1),WP!$E$2:$E$23,0),2))),INDEX(WP!$A$2:$F$23,MATCH(Results!$B200,WP!$E$2:$E$23,0),2))))&amp;"-"&amp;$I200),"")</f>
        <v/>
      </c>
      <c r="G200" s="17" t="str">
        <f>IF(LEN(_xlfn.IFNA(IF(IFERROR(IF(FIND("_",$B200)&gt;0,MID($B200,FIND("_",$B200)+1,LEN($B200)),IF(FIND("-",$B200)&gt;0,MID($B200,FIND("-",$B200)+1,LEN($B200)))),"")="",IFERROR(VLOOKUP($F200,WP!$B$2:$C$23,2,0),VLOOKUP($C200,Series!$A$3:$F$11,6,0)),IFERROR(VLOOKUP($F200,WP!$B$2:$C$23,2,0),VLOOKUP($C200,Series!$A$3:$F$11,6,0))&amp;" - "&amp;(IFERROR(IF(FIND("_",$B200)&gt;0,MID($B200,FIND("_",$B200)+1,LEN($B200)),IF(FIND("-",$B200)&gt;0,MID($B200,FIND("-",$B200)+1,LEN($B200)))),""))),""))&lt;64,_xlfn.IFNA(IF(IFERROR(IF(FIND("_",$B200)&gt;0,MID($B200,FIND("_",$B200)+1,LEN($B200)),IF(FIND("-",$B200)&gt;0,MID($B200,FIND("-",$B200)+1,LEN($B200)))),"")="",IFERROR(VLOOKUP($F200,WP!$B$2:$C$23,2,0),VLOOKUP($C200,Series!$A$3:$F$11,6,0)),IFERROR(VLOOKUP($F200,WP!$B$2:$C$23,2,0),VLOOKUP($C200,Series!$A$3:$F$11,6,0))&amp;" - "&amp;(IFERROR(IF(FIND("_",$B200)&gt;0,MID($B200,FIND("_",$B200)+1,LEN($B200)),IF(FIND("-",$B200)&gt;0,MID($B200,FIND("-",$B200)+1,LEN($B200)))),""))),""),LEFT((_xlfn.IFNA(IF(IFERROR(IF(FIND("_",$B200)&gt;0,MID($B200,FIND("_",$B200)+1,LEN($B200)),IF(FIND("-",$B200)&gt;0,MID($B200,FIND("-",$B200)+1,LEN($B200)))),"")="",IFERROR(VLOOKUP($F200,WP!$B$2:$C$23,2,0),VLOOKUP($C200,Series!$A$3:$F$11,6,0)),IFERROR(VLOOKUP($F200,WP!$B$2:$C$23,2,0),VLOOKUP($C200,Series!$A$3:$F$11,6,0))&amp;" - "&amp;(IFERROR(IF(FIND("_",$B200)&gt;0,MID($B200,FIND("_",$B200)+1,LEN($B200)),IF(FIND("-",$B200)&gt;0,MID($B200,FIND("-",$B200)+1,LEN($B200)))),""))),"")),64))</f>
        <v/>
      </c>
      <c r="H200" s="12"/>
      <c r="I200" s="12" t="str">
        <f>IF($D200&lt;&gt;"",COUNTIF($D$7:$D200,"="&amp;$D200),"")</f>
        <v/>
      </c>
      <c r="J200"/>
      <c r="K200" s="8"/>
      <c r="L200"/>
    </row>
    <row r="201" spans="1:12" x14ac:dyDescent="0.3">
      <c r="A201" s="1"/>
      <c r="B201" s="26"/>
      <c r="C201" s="12" t="str">
        <f>_xlfn.IFNA(IFERROR(IF(FIND("_",$B201)&gt;0,INDEX(WP!$A$2:$F$23,MATCH(LEFT($B201,FIND("_",$B201)-1),WP!$E$2:$E$23,0),1),IF(FIND("-",$B201)&gt;0,INDEX(WP!$A$2:$F$23,MATCH(LEFT($B201,FIND("_",$B201)-1),WP!$E$2:$E$23,0),1))),INDEX(WP!$A$2:$F$23,MATCH(Results!$B201,WP!$E$2:$E$23,0),1)),"")</f>
        <v/>
      </c>
      <c r="D201" s="12" t="str">
        <f>IFERROR(IFERROR(IF(RIGHT(INDEX(WP!$A$2:$F$23,MATCH(IF(FIND("_",$B201)&gt;0,LEFT($B201,FIND("_",$B201)-1)),WP!$E$2:$E$23,0),2),6)="Series",LEFT(INDEX(WP!$A$2:$F$23,MATCH(IF(FIND("_",$B201)&gt;0,LEFT($B201,FIND("_",$B201)-1)),WP!$E$2:$E$23,0),2),5),""),IF(RIGHT(INDEX(WP!$A$2:$F$23,MATCH($B201,WP!$E$2:$E$23,0),2),6)="Series",LEFT(INDEX(WP!$A$2:$F$23,MATCH($B201,WP!$E$2:$E$23,0),2),5),"")),"")</f>
        <v/>
      </c>
      <c r="E201" s="17" t="str">
        <f>IFERROR(VLOOKUP(VALUE($D201),Series!$B$3:$F$11,2,0),"")</f>
        <v/>
      </c>
      <c r="F201" s="12" t="str">
        <f>_xlfn.IFNA(IF(IF($D201&lt;&gt;"",COUNTIF($E:$E,"="&amp;$D201),"")="",IF(RIGHT(IFERROR(IF(FIND("_",$B201)&gt;0,INDEX(WP!$A$2:$F$23,MATCH(LEFT($B201,FIND("_",$B201)-1),WP!$E$2:$E$23,0),2),IF(FIND("-",$B201)&gt;0,INDEX(WP!$A$2:$F$23,MATCH(LEFT($B201,FIND("_",$B201)-1),WP!$E$2:$E$23,0),2))),INDEX(WP!$A$2:$F$23,MATCH(Results!$B201,WP!$E$2:$E$23,0),2)),6)="Series",LEFT(IFERROR(IF(FIND("_",$B201)&gt;0,INDEX(WP!$A$2:$F$23,MATCH(LEFT($B201,FIND("_",$B201)-1),WP!$E$2:$E$23,0),2),IF(FIND("-",$B201)&gt;0,INDEX(WP!$A$2:$F$23,MATCH(LEFT($B201,FIND("_",$B201)-1),WP!$E$2:$E$23,0),2))),INDEX(WP!$A$2:$F$23,MATCH(Results!$B201,WP!$E$2:$E$23,0),2)),5),(IFERROR(IF(FIND("_",$B201)&gt;0,INDEX(WP!$A$2:$F$23,MATCH(LEFT($B201,FIND("_",$B201)-1),WP!$E$2:$E$23,0),2),IF(FIND("-",$B201)&gt;0,INDEX(WP!$A$2:$F$23,MATCH(LEFT($B201,FIND("_",$B201)-1),WP!$E$2:$E$23,0),2))),INDEX(WP!$A$2:$F$23,MATCH(Results!$B201,WP!$E$2:$E$23,0),2)))),IF(RIGHT(IFERROR(IF(FIND("_",$B201)&gt;0,INDEX(WP!$A$2:$F$23,MATCH(LEFT($B201,FIND("_",$B201)-1),WP!$E$2:$E$23,0),2),IF(FIND("-",$B201)&gt;0,INDEX(WP!$A$2:$F$23,MATCH(LEFT($B201,FIND("_",$B201)-1),WP!$E$2:$E$23,0),2))),INDEX(WP!$A$2:$F$23,MATCH(Results!$B201,WP!$E$2:$E$23,0),2)),6)="Series",LEFT(IFERROR(IF(FIND("_",$B201)&gt;0,INDEX(WP!$A$2:$F$23,MATCH(LEFT($B201,FIND("_",$B201)-1),WP!$E$2:$E$23,0),2),IF(FIND("-",$B201)&gt;0,INDEX(WP!$A$2:$F$23,MATCH(LEFT($B201,FIND("_",$B201)-1),WP!$E$2:$E$23,0),2))),INDEX(WP!$A$2:$F$23,MATCH(Results!$B201,WP!$E$2:$E$23,0),2)),5),(IFERROR(IF(FIND("_",$B201)&gt;0,INDEX(WP!$A$2:$F$23,MATCH(LEFT($B201,FIND("_",$B201)-1),WP!$E$2:$E$23,0),2),IF(FIND("-",$B201)&gt;0,INDEX(WP!$A$2:$F$23,MATCH(LEFT($B201,FIND("_",$B201)-1),WP!$E$2:$E$23,0),2))),INDEX(WP!$A$2:$F$23,MATCH(Results!$B201,WP!$E$2:$E$23,0),2))))&amp;"-"&amp;$I201),"")</f>
        <v/>
      </c>
      <c r="G201" s="17" t="str">
        <f>IF(LEN(_xlfn.IFNA(IF(IFERROR(IF(FIND("_",$B201)&gt;0,MID($B201,FIND("_",$B201)+1,LEN($B201)),IF(FIND("-",$B201)&gt;0,MID($B201,FIND("-",$B201)+1,LEN($B201)))),"")="",IFERROR(VLOOKUP($F201,WP!$B$2:$C$23,2,0),VLOOKUP($C201,Series!$A$3:$F$11,6,0)),IFERROR(VLOOKUP($F201,WP!$B$2:$C$23,2,0),VLOOKUP($C201,Series!$A$3:$F$11,6,0))&amp;" - "&amp;(IFERROR(IF(FIND("_",$B201)&gt;0,MID($B201,FIND("_",$B201)+1,LEN($B201)),IF(FIND("-",$B201)&gt;0,MID($B201,FIND("-",$B201)+1,LEN($B201)))),""))),""))&lt;64,_xlfn.IFNA(IF(IFERROR(IF(FIND("_",$B201)&gt;0,MID($B201,FIND("_",$B201)+1,LEN($B201)),IF(FIND("-",$B201)&gt;0,MID($B201,FIND("-",$B201)+1,LEN($B201)))),"")="",IFERROR(VLOOKUP($F201,WP!$B$2:$C$23,2,0),VLOOKUP($C201,Series!$A$3:$F$11,6,0)),IFERROR(VLOOKUP($F201,WP!$B$2:$C$23,2,0),VLOOKUP($C201,Series!$A$3:$F$11,6,0))&amp;" - "&amp;(IFERROR(IF(FIND("_",$B201)&gt;0,MID($B201,FIND("_",$B201)+1,LEN($B201)),IF(FIND("-",$B201)&gt;0,MID($B201,FIND("-",$B201)+1,LEN($B201)))),""))),""),LEFT((_xlfn.IFNA(IF(IFERROR(IF(FIND("_",$B201)&gt;0,MID($B201,FIND("_",$B201)+1,LEN($B201)),IF(FIND("-",$B201)&gt;0,MID($B201,FIND("-",$B201)+1,LEN($B201)))),"")="",IFERROR(VLOOKUP($F201,WP!$B$2:$C$23,2,0),VLOOKUP($C201,Series!$A$3:$F$11,6,0)),IFERROR(VLOOKUP($F201,WP!$B$2:$C$23,2,0),VLOOKUP($C201,Series!$A$3:$F$11,6,0))&amp;" - "&amp;(IFERROR(IF(FIND("_",$B201)&gt;0,MID($B201,FIND("_",$B201)+1,LEN($B201)),IF(FIND("-",$B201)&gt;0,MID($B201,FIND("-",$B201)+1,LEN($B201)))),""))),"")),64))</f>
        <v/>
      </c>
      <c r="H201" s="12"/>
      <c r="I201" s="12" t="str">
        <f>IF($D201&lt;&gt;"",COUNTIF($D$7:$D201,"="&amp;$D201),"")</f>
        <v/>
      </c>
      <c r="J201"/>
      <c r="K201" s="8"/>
      <c r="L201"/>
    </row>
    <row r="202" spans="1:12" x14ac:dyDescent="0.3">
      <c r="A202" s="1"/>
      <c r="B202" s="26"/>
      <c r="C202" s="12" t="str">
        <f>_xlfn.IFNA(IFERROR(IF(FIND("_",$B202)&gt;0,INDEX(WP!$A$2:$F$23,MATCH(LEFT($B202,FIND("_",$B202)-1),WP!$E$2:$E$23,0),1),IF(FIND("-",$B202)&gt;0,INDEX(WP!$A$2:$F$23,MATCH(LEFT($B202,FIND("_",$B202)-1),WP!$E$2:$E$23,0),1))),INDEX(WP!$A$2:$F$23,MATCH(Results!$B202,WP!$E$2:$E$23,0),1)),"")</f>
        <v/>
      </c>
      <c r="D202" s="12" t="str">
        <f>IFERROR(IFERROR(IF(RIGHT(INDEX(WP!$A$2:$F$23,MATCH(IF(FIND("_",$B202)&gt;0,LEFT($B202,FIND("_",$B202)-1)),WP!$E$2:$E$23,0),2),6)="Series",LEFT(INDEX(WP!$A$2:$F$23,MATCH(IF(FIND("_",$B202)&gt;0,LEFT($B202,FIND("_",$B202)-1)),WP!$E$2:$E$23,0),2),5),""),IF(RIGHT(INDEX(WP!$A$2:$F$23,MATCH($B202,WP!$E$2:$E$23,0),2),6)="Series",LEFT(INDEX(WP!$A$2:$F$23,MATCH($B202,WP!$E$2:$E$23,0),2),5),"")),"")</f>
        <v/>
      </c>
      <c r="E202" s="17" t="str">
        <f>IFERROR(VLOOKUP(VALUE($D202),Series!$B$3:$F$11,2,0),"")</f>
        <v/>
      </c>
      <c r="F202" s="12" t="str">
        <f>_xlfn.IFNA(IF(IF($D202&lt;&gt;"",COUNTIF($E:$E,"="&amp;$D202),"")="",IF(RIGHT(IFERROR(IF(FIND("_",$B202)&gt;0,INDEX(WP!$A$2:$F$23,MATCH(LEFT($B202,FIND("_",$B202)-1),WP!$E$2:$E$23,0),2),IF(FIND("-",$B202)&gt;0,INDEX(WP!$A$2:$F$23,MATCH(LEFT($B202,FIND("_",$B202)-1),WP!$E$2:$E$23,0),2))),INDEX(WP!$A$2:$F$23,MATCH(Results!$B202,WP!$E$2:$E$23,0),2)),6)="Series",LEFT(IFERROR(IF(FIND("_",$B202)&gt;0,INDEX(WP!$A$2:$F$23,MATCH(LEFT($B202,FIND("_",$B202)-1),WP!$E$2:$E$23,0),2),IF(FIND("-",$B202)&gt;0,INDEX(WP!$A$2:$F$23,MATCH(LEFT($B202,FIND("_",$B202)-1),WP!$E$2:$E$23,0),2))),INDEX(WP!$A$2:$F$23,MATCH(Results!$B202,WP!$E$2:$E$23,0),2)),5),(IFERROR(IF(FIND("_",$B202)&gt;0,INDEX(WP!$A$2:$F$23,MATCH(LEFT($B202,FIND("_",$B202)-1),WP!$E$2:$E$23,0),2),IF(FIND("-",$B202)&gt;0,INDEX(WP!$A$2:$F$23,MATCH(LEFT($B202,FIND("_",$B202)-1),WP!$E$2:$E$23,0),2))),INDEX(WP!$A$2:$F$23,MATCH(Results!$B202,WP!$E$2:$E$23,0),2)))),IF(RIGHT(IFERROR(IF(FIND("_",$B202)&gt;0,INDEX(WP!$A$2:$F$23,MATCH(LEFT($B202,FIND("_",$B202)-1),WP!$E$2:$E$23,0),2),IF(FIND("-",$B202)&gt;0,INDEX(WP!$A$2:$F$23,MATCH(LEFT($B202,FIND("_",$B202)-1),WP!$E$2:$E$23,0),2))),INDEX(WP!$A$2:$F$23,MATCH(Results!$B202,WP!$E$2:$E$23,0),2)),6)="Series",LEFT(IFERROR(IF(FIND("_",$B202)&gt;0,INDEX(WP!$A$2:$F$23,MATCH(LEFT($B202,FIND("_",$B202)-1),WP!$E$2:$E$23,0),2),IF(FIND("-",$B202)&gt;0,INDEX(WP!$A$2:$F$23,MATCH(LEFT($B202,FIND("_",$B202)-1),WP!$E$2:$E$23,0),2))),INDEX(WP!$A$2:$F$23,MATCH(Results!$B202,WP!$E$2:$E$23,0),2)),5),(IFERROR(IF(FIND("_",$B202)&gt;0,INDEX(WP!$A$2:$F$23,MATCH(LEFT($B202,FIND("_",$B202)-1),WP!$E$2:$E$23,0),2),IF(FIND("-",$B202)&gt;0,INDEX(WP!$A$2:$F$23,MATCH(LEFT($B202,FIND("_",$B202)-1),WP!$E$2:$E$23,0),2))),INDEX(WP!$A$2:$F$23,MATCH(Results!$B202,WP!$E$2:$E$23,0),2))))&amp;"-"&amp;$I202),"")</f>
        <v/>
      </c>
      <c r="G202" s="17" t="str">
        <f>IF(LEN(_xlfn.IFNA(IF(IFERROR(IF(FIND("_",$B202)&gt;0,MID($B202,FIND("_",$B202)+1,LEN($B202)),IF(FIND("-",$B202)&gt;0,MID($B202,FIND("-",$B202)+1,LEN($B202)))),"")="",IFERROR(VLOOKUP($F202,WP!$B$2:$C$23,2,0),VLOOKUP($C202,Series!$A$3:$F$11,6,0)),IFERROR(VLOOKUP($F202,WP!$B$2:$C$23,2,0),VLOOKUP($C202,Series!$A$3:$F$11,6,0))&amp;" - "&amp;(IFERROR(IF(FIND("_",$B202)&gt;0,MID($B202,FIND("_",$B202)+1,LEN($B202)),IF(FIND("-",$B202)&gt;0,MID($B202,FIND("-",$B202)+1,LEN($B202)))),""))),""))&lt;64,_xlfn.IFNA(IF(IFERROR(IF(FIND("_",$B202)&gt;0,MID($B202,FIND("_",$B202)+1,LEN($B202)),IF(FIND("-",$B202)&gt;0,MID($B202,FIND("-",$B202)+1,LEN($B202)))),"")="",IFERROR(VLOOKUP($F202,WP!$B$2:$C$23,2,0),VLOOKUP($C202,Series!$A$3:$F$11,6,0)),IFERROR(VLOOKUP($F202,WP!$B$2:$C$23,2,0),VLOOKUP($C202,Series!$A$3:$F$11,6,0))&amp;" - "&amp;(IFERROR(IF(FIND("_",$B202)&gt;0,MID($B202,FIND("_",$B202)+1,LEN($B202)),IF(FIND("-",$B202)&gt;0,MID($B202,FIND("-",$B202)+1,LEN($B202)))),""))),""),LEFT((_xlfn.IFNA(IF(IFERROR(IF(FIND("_",$B202)&gt;0,MID($B202,FIND("_",$B202)+1,LEN($B202)),IF(FIND("-",$B202)&gt;0,MID($B202,FIND("-",$B202)+1,LEN($B202)))),"")="",IFERROR(VLOOKUP($F202,WP!$B$2:$C$23,2,0),VLOOKUP($C202,Series!$A$3:$F$11,6,0)),IFERROR(VLOOKUP($F202,WP!$B$2:$C$23,2,0),VLOOKUP($C202,Series!$A$3:$F$11,6,0))&amp;" - "&amp;(IFERROR(IF(FIND("_",$B202)&gt;0,MID($B202,FIND("_",$B202)+1,LEN($B202)),IF(FIND("-",$B202)&gt;0,MID($B202,FIND("-",$B202)+1,LEN($B202)))),""))),"")),64))</f>
        <v/>
      </c>
      <c r="H202" s="12"/>
      <c r="I202" s="12" t="str">
        <f>IF($D202&lt;&gt;"",COUNTIF($D$7:$D202,"="&amp;$D202),"")</f>
        <v/>
      </c>
      <c r="J202"/>
      <c r="K202" s="8"/>
      <c r="L202"/>
    </row>
    <row r="203" spans="1:12" x14ac:dyDescent="0.3">
      <c r="A203" s="1"/>
      <c r="B203" s="26"/>
      <c r="C203" s="12" t="str">
        <f>_xlfn.IFNA(IFERROR(IF(FIND("_",$B203)&gt;0,INDEX(WP!$A$2:$F$23,MATCH(LEFT($B203,FIND("_",$B203)-1),WP!$E$2:$E$23,0),1),IF(FIND("-",$B203)&gt;0,INDEX(WP!$A$2:$F$23,MATCH(LEFT($B203,FIND("_",$B203)-1),WP!$E$2:$E$23,0),1))),INDEX(WP!$A$2:$F$23,MATCH(Results!$B203,WP!$E$2:$E$23,0),1)),"")</f>
        <v/>
      </c>
      <c r="D203" s="12" t="str">
        <f>IFERROR(IFERROR(IF(RIGHT(INDEX(WP!$A$2:$F$23,MATCH(IF(FIND("_",$B203)&gt;0,LEFT($B203,FIND("_",$B203)-1)),WP!$E$2:$E$23,0),2),6)="Series",LEFT(INDEX(WP!$A$2:$F$23,MATCH(IF(FIND("_",$B203)&gt;0,LEFT($B203,FIND("_",$B203)-1)),WP!$E$2:$E$23,0),2),5),""),IF(RIGHT(INDEX(WP!$A$2:$F$23,MATCH($B203,WP!$E$2:$E$23,0),2),6)="Series",LEFT(INDEX(WP!$A$2:$F$23,MATCH($B203,WP!$E$2:$E$23,0),2),5),"")),"")</f>
        <v/>
      </c>
      <c r="E203" s="17" t="str">
        <f>IFERROR(VLOOKUP(VALUE($D203),Series!$B$3:$F$11,2,0),"")</f>
        <v/>
      </c>
      <c r="F203" s="12" t="str">
        <f>_xlfn.IFNA(IF(IF($D203&lt;&gt;"",COUNTIF($E:$E,"="&amp;$D203),"")="",IF(RIGHT(IFERROR(IF(FIND("_",$B203)&gt;0,INDEX(WP!$A$2:$F$23,MATCH(LEFT($B203,FIND("_",$B203)-1),WP!$E$2:$E$23,0),2),IF(FIND("-",$B203)&gt;0,INDEX(WP!$A$2:$F$23,MATCH(LEFT($B203,FIND("_",$B203)-1),WP!$E$2:$E$23,0),2))),INDEX(WP!$A$2:$F$23,MATCH(Results!$B203,WP!$E$2:$E$23,0),2)),6)="Series",LEFT(IFERROR(IF(FIND("_",$B203)&gt;0,INDEX(WP!$A$2:$F$23,MATCH(LEFT($B203,FIND("_",$B203)-1),WP!$E$2:$E$23,0),2),IF(FIND("-",$B203)&gt;0,INDEX(WP!$A$2:$F$23,MATCH(LEFT($B203,FIND("_",$B203)-1),WP!$E$2:$E$23,0),2))),INDEX(WP!$A$2:$F$23,MATCH(Results!$B203,WP!$E$2:$E$23,0),2)),5),(IFERROR(IF(FIND("_",$B203)&gt;0,INDEX(WP!$A$2:$F$23,MATCH(LEFT($B203,FIND("_",$B203)-1),WP!$E$2:$E$23,0),2),IF(FIND("-",$B203)&gt;0,INDEX(WP!$A$2:$F$23,MATCH(LEFT($B203,FIND("_",$B203)-1),WP!$E$2:$E$23,0),2))),INDEX(WP!$A$2:$F$23,MATCH(Results!$B203,WP!$E$2:$E$23,0),2)))),IF(RIGHT(IFERROR(IF(FIND("_",$B203)&gt;0,INDEX(WP!$A$2:$F$23,MATCH(LEFT($B203,FIND("_",$B203)-1),WP!$E$2:$E$23,0),2),IF(FIND("-",$B203)&gt;0,INDEX(WP!$A$2:$F$23,MATCH(LEFT($B203,FIND("_",$B203)-1),WP!$E$2:$E$23,0),2))),INDEX(WP!$A$2:$F$23,MATCH(Results!$B203,WP!$E$2:$E$23,0),2)),6)="Series",LEFT(IFERROR(IF(FIND("_",$B203)&gt;0,INDEX(WP!$A$2:$F$23,MATCH(LEFT($B203,FIND("_",$B203)-1),WP!$E$2:$E$23,0),2),IF(FIND("-",$B203)&gt;0,INDEX(WP!$A$2:$F$23,MATCH(LEFT($B203,FIND("_",$B203)-1),WP!$E$2:$E$23,0),2))),INDEX(WP!$A$2:$F$23,MATCH(Results!$B203,WP!$E$2:$E$23,0),2)),5),(IFERROR(IF(FIND("_",$B203)&gt;0,INDEX(WP!$A$2:$F$23,MATCH(LEFT($B203,FIND("_",$B203)-1),WP!$E$2:$E$23,0),2),IF(FIND("-",$B203)&gt;0,INDEX(WP!$A$2:$F$23,MATCH(LEFT($B203,FIND("_",$B203)-1),WP!$E$2:$E$23,0),2))),INDEX(WP!$A$2:$F$23,MATCH(Results!$B203,WP!$E$2:$E$23,0),2))))&amp;"-"&amp;$I203),"")</f>
        <v/>
      </c>
      <c r="G203" s="17" t="str">
        <f>IF(LEN(_xlfn.IFNA(IF(IFERROR(IF(FIND("_",$B203)&gt;0,MID($B203,FIND("_",$B203)+1,LEN($B203)),IF(FIND("-",$B203)&gt;0,MID($B203,FIND("-",$B203)+1,LEN($B203)))),"")="",IFERROR(VLOOKUP($F203,WP!$B$2:$C$23,2,0),VLOOKUP($C203,Series!$A$3:$F$11,6,0)),IFERROR(VLOOKUP($F203,WP!$B$2:$C$23,2,0),VLOOKUP($C203,Series!$A$3:$F$11,6,0))&amp;" - "&amp;(IFERROR(IF(FIND("_",$B203)&gt;0,MID($B203,FIND("_",$B203)+1,LEN($B203)),IF(FIND("-",$B203)&gt;0,MID($B203,FIND("-",$B203)+1,LEN($B203)))),""))),""))&lt;64,_xlfn.IFNA(IF(IFERROR(IF(FIND("_",$B203)&gt;0,MID($B203,FIND("_",$B203)+1,LEN($B203)),IF(FIND("-",$B203)&gt;0,MID($B203,FIND("-",$B203)+1,LEN($B203)))),"")="",IFERROR(VLOOKUP($F203,WP!$B$2:$C$23,2,0),VLOOKUP($C203,Series!$A$3:$F$11,6,0)),IFERROR(VLOOKUP($F203,WP!$B$2:$C$23,2,0),VLOOKUP($C203,Series!$A$3:$F$11,6,0))&amp;" - "&amp;(IFERROR(IF(FIND("_",$B203)&gt;0,MID($B203,FIND("_",$B203)+1,LEN($B203)),IF(FIND("-",$B203)&gt;0,MID($B203,FIND("-",$B203)+1,LEN($B203)))),""))),""),LEFT((_xlfn.IFNA(IF(IFERROR(IF(FIND("_",$B203)&gt;0,MID($B203,FIND("_",$B203)+1,LEN($B203)),IF(FIND("-",$B203)&gt;0,MID($B203,FIND("-",$B203)+1,LEN($B203)))),"")="",IFERROR(VLOOKUP($F203,WP!$B$2:$C$23,2,0),VLOOKUP($C203,Series!$A$3:$F$11,6,0)),IFERROR(VLOOKUP($F203,WP!$B$2:$C$23,2,0),VLOOKUP($C203,Series!$A$3:$F$11,6,0))&amp;" - "&amp;(IFERROR(IF(FIND("_",$B203)&gt;0,MID($B203,FIND("_",$B203)+1,LEN($B203)),IF(FIND("-",$B203)&gt;0,MID($B203,FIND("-",$B203)+1,LEN($B203)))),""))),"")),64))</f>
        <v/>
      </c>
      <c r="H203" s="12"/>
      <c r="I203" s="12" t="str">
        <f>IF($D203&lt;&gt;"",COUNTIF($D$7:$D203,"="&amp;$D203),"")</f>
        <v/>
      </c>
      <c r="J203"/>
      <c r="K203" s="8"/>
      <c r="L203"/>
    </row>
    <row r="204" spans="1:12" x14ac:dyDescent="0.3">
      <c r="A204" s="1"/>
      <c r="B204" s="26"/>
      <c r="C204" s="12" t="str">
        <f>_xlfn.IFNA(IFERROR(IF(FIND("_",$B204)&gt;0,INDEX(WP!$A$2:$F$23,MATCH(LEFT($B204,FIND("_",$B204)-1),WP!$E$2:$E$23,0),1),IF(FIND("-",$B204)&gt;0,INDEX(WP!$A$2:$F$23,MATCH(LEFT($B204,FIND("_",$B204)-1),WP!$E$2:$E$23,0),1))),INDEX(WP!$A$2:$F$23,MATCH(Results!$B204,WP!$E$2:$E$23,0),1)),"")</f>
        <v/>
      </c>
      <c r="D204" s="12" t="str">
        <f>IFERROR(IFERROR(IF(RIGHT(INDEX(WP!$A$2:$F$23,MATCH(IF(FIND("_",$B204)&gt;0,LEFT($B204,FIND("_",$B204)-1)),WP!$E$2:$E$23,0),2),6)="Series",LEFT(INDEX(WP!$A$2:$F$23,MATCH(IF(FIND("_",$B204)&gt;0,LEFT($B204,FIND("_",$B204)-1)),WP!$E$2:$E$23,0),2),5),""),IF(RIGHT(INDEX(WP!$A$2:$F$23,MATCH($B204,WP!$E$2:$E$23,0),2),6)="Series",LEFT(INDEX(WP!$A$2:$F$23,MATCH($B204,WP!$E$2:$E$23,0),2),5),"")),"")</f>
        <v/>
      </c>
      <c r="E204" s="17" t="str">
        <f>IFERROR(VLOOKUP(VALUE($D204),Series!$B$3:$F$11,2,0),"")</f>
        <v/>
      </c>
      <c r="F204" s="12" t="str">
        <f>_xlfn.IFNA(IF(IF($D204&lt;&gt;"",COUNTIF($E:$E,"="&amp;$D204),"")="",IF(RIGHT(IFERROR(IF(FIND("_",$B204)&gt;0,INDEX(WP!$A$2:$F$23,MATCH(LEFT($B204,FIND("_",$B204)-1),WP!$E$2:$E$23,0),2),IF(FIND("-",$B204)&gt;0,INDEX(WP!$A$2:$F$23,MATCH(LEFT($B204,FIND("_",$B204)-1),WP!$E$2:$E$23,0),2))),INDEX(WP!$A$2:$F$23,MATCH(Results!$B204,WP!$E$2:$E$23,0),2)),6)="Series",LEFT(IFERROR(IF(FIND("_",$B204)&gt;0,INDEX(WP!$A$2:$F$23,MATCH(LEFT($B204,FIND("_",$B204)-1),WP!$E$2:$E$23,0),2),IF(FIND("-",$B204)&gt;0,INDEX(WP!$A$2:$F$23,MATCH(LEFT($B204,FIND("_",$B204)-1),WP!$E$2:$E$23,0),2))),INDEX(WP!$A$2:$F$23,MATCH(Results!$B204,WP!$E$2:$E$23,0),2)),5),(IFERROR(IF(FIND("_",$B204)&gt;0,INDEX(WP!$A$2:$F$23,MATCH(LEFT($B204,FIND("_",$B204)-1),WP!$E$2:$E$23,0),2),IF(FIND("-",$B204)&gt;0,INDEX(WP!$A$2:$F$23,MATCH(LEFT($B204,FIND("_",$B204)-1),WP!$E$2:$E$23,0),2))),INDEX(WP!$A$2:$F$23,MATCH(Results!$B204,WP!$E$2:$E$23,0),2)))),IF(RIGHT(IFERROR(IF(FIND("_",$B204)&gt;0,INDEX(WP!$A$2:$F$23,MATCH(LEFT($B204,FIND("_",$B204)-1),WP!$E$2:$E$23,0),2),IF(FIND("-",$B204)&gt;0,INDEX(WP!$A$2:$F$23,MATCH(LEFT($B204,FIND("_",$B204)-1),WP!$E$2:$E$23,0),2))),INDEX(WP!$A$2:$F$23,MATCH(Results!$B204,WP!$E$2:$E$23,0),2)),6)="Series",LEFT(IFERROR(IF(FIND("_",$B204)&gt;0,INDEX(WP!$A$2:$F$23,MATCH(LEFT($B204,FIND("_",$B204)-1),WP!$E$2:$E$23,0),2),IF(FIND("-",$B204)&gt;0,INDEX(WP!$A$2:$F$23,MATCH(LEFT($B204,FIND("_",$B204)-1),WP!$E$2:$E$23,0),2))),INDEX(WP!$A$2:$F$23,MATCH(Results!$B204,WP!$E$2:$E$23,0),2)),5),(IFERROR(IF(FIND("_",$B204)&gt;0,INDEX(WP!$A$2:$F$23,MATCH(LEFT($B204,FIND("_",$B204)-1),WP!$E$2:$E$23,0),2),IF(FIND("-",$B204)&gt;0,INDEX(WP!$A$2:$F$23,MATCH(LEFT($B204,FIND("_",$B204)-1),WP!$E$2:$E$23,0),2))),INDEX(WP!$A$2:$F$23,MATCH(Results!$B204,WP!$E$2:$E$23,0),2))))&amp;"-"&amp;$I204),"")</f>
        <v/>
      </c>
      <c r="G204" s="17" t="str">
        <f>IF(LEN(_xlfn.IFNA(IF(IFERROR(IF(FIND("_",$B204)&gt;0,MID($B204,FIND("_",$B204)+1,LEN($B204)),IF(FIND("-",$B204)&gt;0,MID($B204,FIND("-",$B204)+1,LEN($B204)))),"")="",IFERROR(VLOOKUP($F204,WP!$B$2:$C$23,2,0),VLOOKUP($C204,Series!$A$3:$F$11,6,0)),IFERROR(VLOOKUP($F204,WP!$B$2:$C$23,2,0),VLOOKUP($C204,Series!$A$3:$F$11,6,0))&amp;" - "&amp;(IFERROR(IF(FIND("_",$B204)&gt;0,MID($B204,FIND("_",$B204)+1,LEN($B204)),IF(FIND("-",$B204)&gt;0,MID($B204,FIND("-",$B204)+1,LEN($B204)))),""))),""))&lt;64,_xlfn.IFNA(IF(IFERROR(IF(FIND("_",$B204)&gt;0,MID($B204,FIND("_",$B204)+1,LEN($B204)),IF(FIND("-",$B204)&gt;0,MID($B204,FIND("-",$B204)+1,LEN($B204)))),"")="",IFERROR(VLOOKUP($F204,WP!$B$2:$C$23,2,0),VLOOKUP($C204,Series!$A$3:$F$11,6,0)),IFERROR(VLOOKUP($F204,WP!$B$2:$C$23,2,0),VLOOKUP($C204,Series!$A$3:$F$11,6,0))&amp;" - "&amp;(IFERROR(IF(FIND("_",$B204)&gt;0,MID($B204,FIND("_",$B204)+1,LEN($B204)),IF(FIND("-",$B204)&gt;0,MID($B204,FIND("-",$B204)+1,LEN($B204)))),""))),""),LEFT((_xlfn.IFNA(IF(IFERROR(IF(FIND("_",$B204)&gt;0,MID($B204,FIND("_",$B204)+1,LEN($B204)),IF(FIND("-",$B204)&gt;0,MID($B204,FIND("-",$B204)+1,LEN($B204)))),"")="",IFERROR(VLOOKUP($F204,WP!$B$2:$C$23,2,0),VLOOKUP($C204,Series!$A$3:$F$11,6,0)),IFERROR(VLOOKUP($F204,WP!$B$2:$C$23,2,0),VLOOKUP($C204,Series!$A$3:$F$11,6,0))&amp;" - "&amp;(IFERROR(IF(FIND("_",$B204)&gt;0,MID($B204,FIND("_",$B204)+1,LEN($B204)),IF(FIND("-",$B204)&gt;0,MID($B204,FIND("-",$B204)+1,LEN($B204)))),""))),"")),64))</f>
        <v/>
      </c>
      <c r="H204" s="12"/>
      <c r="I204" s="12" t="str">
        <f>IF($D204&lt;&gt;"",COUNTIF($D$7:$D204,"="&amp;$D204),"")</f>
        <v/>
      </c>
      <c r="J204"/>
      <c r="K204" s="8"/>
      <c r="L204"/>
    </row>
    <row r="205" spans="1:12" x14ac:dyDescent="0.3">
      <c r="A205" s="1"/>
      <c r="B205" s="26"/>
      <c r="C205" s="12" t="str">
        <f>_xlfn.IFNA(IFERROR(IF(FIND("_",$B205)&gt;0,INDEX(WP!$A$2:$F$23,MATCH(LEFT($B205,FIND("_",$B205)-1),WP!$E$2:$E$23,0),1),IF(FIND("-",$B205)&gt;0,INDEX(WP!$A$2:$F$23,MATCH(LEFT($B205,FIND("_",$B205)-1),WP!$E$2:$E$23,0),1))),INDEX(WP!$A$2:$F$23,MATCH(Results!$B205,WP!$E$2:$E$23,0),1)),"")</f>
        <v/>
      </c>
      <c r="D205" s="12" t="str">
        <f>IFERROR(IFERROR(IF(RIGHT(INDEX(WP!$A$2:$F$23,MATCH(IF(FIND("_",$B205)&gt;0,LEFT($B205,FIND("_",$B205)-1)),WP!$E$2:$E$23,0),2),6)="Series",LEFT(INDEX(WP!$A$2:$F$23,MATCH(IF(FIND("_",$B205)&gt;0,LEFT($B205,FIND("_",$B205)-1)),WP!$E$2:$E$23,0),2),5),""),IF(RIGHT(INDEX(WP!$A$2:$F$23,MATCH($B205,WP!$E$2:$E$23,0),2),6)="Series",LEFT(INDEX(WP!$A$2:$F$23,MATCH($B205,WP!$E$2:$E$23,0),2),5),"")),"")</f>
        <v/>
      </c>
      <c r="E205" s="17" t="str">
        <f>IFERROR(VLOOKUP(VALUE($D205),Series!$B$3:$F$11,2,0),"")</f>
        <v/>
      </c>
      <c r="F205" s="12" t="str">
        <f>_xlfn.IFNA(IF(IF($D205&lt;&gt;"",COUNTIF($E:$E,"="&amp;$D205),"")="",IF(RIGHT(IFERROR(IF(FIND("_",$B205)&gt;0,INDEX(WP!$A$2:$F$23,MATCH(LEFT($B205,FIND("_",$B205)-1),WP!$E$2:$E$23,0),2),IF(FIND("-",$B205)&gt;0,INDEX(WP!$A$2:$F$23,MATCH(LEFT($B205,FIND("_",$B205)-1),WP!$E$2:$E$23,0),2))),INDEX(WP!$A$2:$F$23,MATCH(Results!$B205,WP!$E$2:$E$23,0),2)),6)="Series",LEFT(IFERROR(IF(FIND("_",$B205)&gt;0,INDEX(WP!$A$2:$F$23,MATCH(LEFT($B205,FIND("_",$B205)-1),WP!$E$2:$E$23,0),2),IF(FIND("-",$B205)&gt;0,INDEX(WP!$A$2:$F$23,MATCH(LEFT($B205,FIND("_",$B205)-1),WP!$E$2:$E$23,0),2))),INDEX(WP!$A$2:$F$23,MATCH(Results!$B205,WP!$E$2:$E$23,0),2)),5),(IFERROR(IF(FIND("_",$B205)&gt;0,INDEX(WP!$A$2:$F$23,MATCH(LEFT($B205,FIND("_",$B205)-1),WP!$E$2:$E$23,0),2),IF(FIND("-",$B205)&gt;0,INDEX(WP!$A$2:$F$23,MATCH(LEFT($B205,FIND("_",$B205)-1),WP!$E$2:$E$23,0),2))),INDEX(WP!$A$2:$F$23,MATCH(Results!$B205,WP!$E$2:$E$23,0),2)))),IF(RIGHT(IFERROR(IF(FIND("_",$B205)&gt;0,INDEX(WP!$A$2:$F$23,MATCH(LEFT($B205,FIND("_",$B205)-1),WP!$E$2:$E$23,0),2),IF(FIND("-",$B205)&gt;0,INDEX(WP!$A$2:$F$23,MATCH(LEFT($B205,FIND("_",$B205)-1),WP!$E$2:$E$23,0),2))),INDEX(WP!$A$2:$F$23,MATCH(Results!$B205,WP!$E$2:$E$23,0),2)),6)="Series",LEFT(IFERROR(IF(FIND("_",$B205)&gt;0,INDEX(WP!$A$2:$F$23,MATCH(LEFT($B205,FIND("_",$B205)-1),WP!$E$2:$E$23,0),2),IF(FIND("-",$B205)&gt;0,INDEX(WP!$A$2:$F$23,MATCH(LEFT($B205,FIND("_",$B205)-1),WP!$E$2:$E$23,0),2))),INDEX(WP!$A$2:$F$23,MATCH(Results!$B205,WP!$E$2:$E$23,0),2)),5),(IFERROR(IF(FIND("_",$B205)&gt;0,INDEX(WP!$A$2:$F$23,MATCH(LEFT($B205,FIND("_",$B205)-1),WP!$E$2:$E$23,0),2),IF(FIND("-",$B205)&gt;0,INDEX(WP!$A$2:$F$23,MATCH(LEFT($B205,FIND("_",$B205)-1),WP!$E$2:$E$23,0),2))),INDEX(WP!$A$2:$F$23,MATCH(Results!$B205,WP!$E$2:$E$23,0),2))))&amp;"-"&amp;$I205),"")</f>
        <v/>
      </c>
      <c r="G205" s="17" t="str">
        <f>IF(LEN(_xlfn.IFNA(IF(IFERROR(IF(FIND("_",$B205)&gt;0,MID($B205,FIND("_",$B205)+1,LEN($B205)),IF(FIND("-",$B205)&gt;0,MID($B205,FIND("-",$B205)+1,LEN($B205)))),"")="",IFERROR(VLOOKUP($F205,WP!$B$2:$C$23,2,0),VLOOKUP($C205,Series!$A$3:$F$11,6,0)),IFERROR(VLOOKUP($F205,WP!$B$2:$C$23,2,0),VLOOKUP($C205,Series!$A$3:$F$11,6,0))&amp;" - "&amp;(IFERROR(IF(FIND("_",$B205)&gt;0,MID($B205,FIND("_",$B205)+1,LEN($B205)),IF(FIND("-",$B205)&gt;0,MID($B205,FIND("-",$B205)+1,LEN($B205)))),""))),""))&lt;64,_xlfn.IFNA(IF(IFERROR(IF(FIND("_",$B205)&gt;0,MID($B205,FIND("_",$B205)+1,LEN($B205)),IF(FIND("-",$B205)&gt;0,MID($B205,FIND("-",$B205)+1,LEN($B205)))),"")="",IFERROR(VLOOKUP($F205,WP!$B$2:$C$23,2,0),VLOOKUP($C205,Series!$A$3:$F$11,6,0)),IFERROR(VLOOKUP($F205,WP!$B$2:$C$23,2,0),VLOOKUP($C205,Series!$A$3:$F$11,6,0))&amp;" - "&amp;(IFERROR(IF(FIND("_",$B205)&gt;0,MID($B205,FIND("_",$B205)+1,LEN($B205)),IF(FIND("-",$B205)&gt;0,MID($B205,FIND("-",$B205)+1,LEN($B205)))),""))),""),LEFT((_xlfn.IFNA(IF(IFERROR(IF(FIND("_",$B205)&gt;0,MID($B205,FIND("_",$B205)+1,LEN($B205)),IF(FIND("-",$B205)&gt;0,MID($B205,FIND("-",$B205)+1,LEN($B205)))),"")="",IFERROR(VLOOKUP($F205,WP!$B$2:$C$23,2,0),VLOOKUP($C205,Series!$A$3:$F$11,6,0)),IFERROR(VLOOKUP($F205,WP!$B$2:$C$23,2,0),VLOOKUP($C205,Series!$A$3:$F$11,6,0))&amp;" - "&amp;(IFERROR(IF(FIND("_",$B205)&gt;0,MID($B205,FIND("_",$B205)+1,LEN($B205)),IF(FIND("-",$B205)&gt;0,MID($B205,FIND("-",$B205)+1,LEN($B205)))),""))),"")),64))</f>
        <v/>
      </c>
      <c r="H205" s="12"/>
      <c r="I205" s="12" t="str">
        <f>IF($D205&lt;&gt;"",COUNTIF($D$7:$D205,"="&amp;$D205),"")</f>
        <v/>
      </c>
      <c r="J205"/>
      <c r="K205" s="8"/>
      <c r="L205"/>
    </row>
    <row r="206" spans="1:12" x14ac:dyDescent="0.3">
      <c r="A206" s="1"/>
      <c r="B206" s="26"/>
      <c r="C206" s="12" t="str">
        <f>_xlfn.IFNA(IFERROR(IF(FIND("_",$B206)&gt;0,INDEX(WP!$A$2:$F$23,MATCH(LEFT($B206,FIND("_",$B206)-1),WP!$E$2:$E$23,0),1),IF(FIND("-",$B206)&gt;0,INDEX(WP!$A$2:$F$23,MATCH(LEFT($B206,FIND("_",$B206)-1),WP!$E$2:$E$23,0),1))),INDEX(WP!$A$2:$F$23,MATCH(Results!$B206,WP!$E$2:$E$23,0),1)),"")</f>
        <v/>
      </c>
      <c r="D206" s="12" t="str">
        <f>IFERROR(IFERROR(IF(RIGHT(INDEX(WP!$A$2:$F$23,MATCH(IF(FIND("_",$B206)&gt;0,LEFT($B206,FIND("_",$B206)-1)),WP!$E$2:$E$23,0),2),6)="Series",LEFT(INDEX(WP!$A$2:$F$23,MATCH(IF(FIND("_",$B206)&gt;0,LEFT($B206,FIND("_",$B206)-1)),WP!$E$2:$E$23,0),2),5),""),IF(RIGHT(INDEX(WP!$A$2:$F$23,MATCH($B206,WP!$E$2:$E$23,0),2),6)="Series",LEFT(INDEX(WP!$A$2:$F$23,MATCH($B206,WP!$E$2:$E$23,0),2),5),"")),"")</f>
        <v/>
      </c>
      <c r="E206" s="17" t="str">
        <f>IFERROR(VLOOKUP(VALUE($D206),Series!$B$3:$F$11,2,0),"")</f>
        <v/>
      </c>
      <c r="F206" s="12" t="str">
        <f>_xlfn.IFNA(IF(IF($D206&lt;&gt;"",COUNTIF($E:$E,"="&amp;$D206),"")="",IF(RIGHT(IFERROR(IF(FIND("_",$B206)&gt;0,INDEX(WP!$A$2:$F$23,MATCH(LEFT($B206,FIND("_",$B206)-1),WP!$E$2:$E$23,0),2),IF(FIND("-",$B206)&gt;0,INDEX(WP!$A$2:$F$23,MATCH(LEFT($B206,FIND("_",$B206)-1),WP!$E$2:$E$23,0),2))),INDEX(WP!$A$2:$F$23,MATCH(Results!$B206,WP!$E$2:$E$23,0),2)),6)="Series",LEFT(IFERROR(IF(FIND("_",$B206)&gt;0,INDEX(WP!$A$2:$F$23,MATCH(LEFT($B206,FIND("_",$B206)-1),WP!$E$2:$E$23,0),2),IF(FIND("-",$B206)&gt;0,INDEX(WP!$A$2:$F$23,MATCH(LEFT($B206,FIND("_",$B206)-1),WP!$E$2:$E$23,0),2))),INDEX(WP!$A$2:$F$23,MATCH(Results!$B206,WP!$E$2:$E$23,0),2)),5),(IFERROR(IF(FIND("_",$B206)&gt;0,INDEX(WP!$A$2:$F$23,MATCH(LEFT($B206,FIND("_",$B206)-1),WP!$E$2:$E$23,0),2),IF(FIND("-",$B206)&gt;0,INDEX(WP!$A$2:$F$23,MATCH(LEFT($B206,FIND("_",$B206)-1),WP!$E$2:$E$23,0),2))),INDEX(WP!$A$2:$F$23,MATCH(Results!$B206,WP!$E$2:$E$23,0),2)))),IF(RIGHT(IFERROR(IF(FIND("_",$B206)&gt;0,INDEX(WP!$A$2:$F$23,MATCH(LEFT($B206,FIND("_",$B206)-1),WP!$E$2:$E$23,0),2),IF(FIND("-",$B206)&gt;0,INDEX(WP!$A$2:$F$23,MATCH(LEFT($B206,FIND("_",$B206)-1),WP!$E$2:$E$23,0),2))),INDEX(WP!$A$2:$F$23,MATCH(Results!$B206,WP!$E$2:$E$23,0),2)),6)="Series",LEFT(IFERROR(IF(FIND("_",$B206)&gt;0,INDEX(WP!$A$2:$F$23,MATCH(LEFT($B206,FIND("_",$B206)-1),WP!$E$2:$E$23,0),2),IF(FIND("-",$B206)&gt;0,INDEX(WP!$A$2:$F$23,MATCH(LEFT($B206,FIND("_",$B206)-1),WP!$E$2:$E$23,0),2))),INDEX(WP!$A$2:$F$23,MATCH(Results!$B206,WP!$E$2:$E$23,0),2)),5),(IFERROR(IF(FIND("_",$B206)&gt;0,INDEX(WP!$A$2:$F$23,MATCH(LEFT($B206,FIND("_",$B206)-1),WP!$E$2:$E$23,0),2),IF(FIND("-",$B206)&gt;0,INDEX(WP!$A$2:$F$23,MATCH(LEFT($B206,FIND("_",$B206)-1),WP!$E$2:$E$23,0),2))),INDEX(WP!$A$2:$F$23,MATCH(Results!$B206,WP!$E$2:$E$23,0),2))))&amp;"-"&amp;$I206),"")</f>
        <v/>
      </c>
      <c r="G206" s="17" t="str">
        <f>IF(LEN(_xlfn.IFNA(IF(IFERROR(IF(FIND("_",$B206)&gt;0,MID($B206,FIND("_",$B206)+1,LEN($B206)),IF(FIND("-",$B206)&gt;0,MID($B206,FIND("-",$B206)+1,LEN($B206)))),"")="",IFERROR(VLOOKUP($F206,WP!$B$2:$C$23,2,0),VLOOKUP($C206,Series!$A$3:$F$11,6,0)),IFERROR(VLOOKUP($F206,WP!$B$2:$C$23,2,0),VLOOKUP($C206,Series!$A$3:$F$11,6,0))&amp;" - "&amp;(IFERROR(IF(FIND("_",$B206)&gt;0,MID($B206,FIND("_",$B206)+1,LEN($B206)),IF(FIND("-",$B206)&gt;0,MID($B206,FIND("-",$B206)+1,LEN($B206)))),""))),""))&lt;64,_xlfn.IFNA(IF(IFERROR(IF(FIND("_",$B206)&gt;0,MID($B206,FIND("_",$B206)+1,LEN($B206)),IF(FIND("-",$B206)&gt;0,MID($B206,FIND("-",$B206)+1,LEN($B206)))),"")="",IFERROR(VLOOKUP($F206,WP!$B$2:$C$23,2,0),VLOOKUP($C206,Series!$A$3:$F$11,6,0)),IFERROR(VLOOKUP($F206,WP!$B$2:$C$23,2,0),VLOOKUP($C206,Series!$A$3:$F$11,6,0))&amp;" - "&amp;(IFERROR(IF(FIND("_",$B206)&gt;0,MID($B206,FIND("_",$B206)+1,LEN($B206)),IF(FIND("-",$B206)&gt;0,MID($B206,FIND("-",$B206)+1,LEN($B206)))),""))),""),LEFT((_xlfn.IFNA(IF(IFERROR(IF(FIND("_",$B206)&gt;0,MID($B206,FIND("_",$B206)+1,LEN($B206)),IF(FIND("-",$B206)&gt;0,MID($B206,FIND("-",$B206)+1,LEN($B206)))),"")="",IFERROR(VLOOKUP($F206,WP!$B$2:$C$23,2,0),VLOOKUP($C206,Series!$A$3:$F$11,6,0)),IFERROR(VLOOKUP($F206,WP!$B$2:$C$23,2,0),VLOOKUP($C206,Series!$A$3:$F$11,6,0))&amp;" - "&amp;(IFERROR(IF(FIND("_",$B206)&gt;0,MID($B206,FIND("_",$B206)+1,LEN($B206)),IF(FIND("-",$B206)&gt;0,MID($B206,FIND("-",$B206)+1,LEN($B206)))),""))),"")),64))</f>
        <v/>
      </c>
      <c r="H206" s="12"/>
      <c r="I206" s="12" t="str">
        <f>IF($D206&lt;&gt;"",COUNTIF($D$7:$D206,"="&amp;$D206),"")</f>
        <v/>
      </c>
      <c r="J206"/>
      <c r="K206" s="8"/>
      <c r="L206"/>
    </row>
    <row r="207" spans="1:12" x14ac:dyDescent="0.3">
      <c r="A207" s="1"/>
      <c r="B207" s="26"/>
      <c r="C207" s="12" t="str">
        <f>_xlfn.IFNA(IFERROR(IF(FIND("_",$B207)&gt;0,INDEX(WP!$A$2:$F$23,MATCH(LEFT($B207,FIND("_",$B207)-1),WP!$E$2:$E$23,0),1),IF(FIND("-",$B207)&gt;0,INDEX(WP!$A$2:$F$23,MATCH(LEFT($B207,FIND("_",$B207)-1),WP!$E$2:$E$23,0),1))),INDEX(WP!$A$2:$F$23,MATCH(Results!$B207,WP!$E$2:$E$23,0),1)),"")</f>
        <v/>
      </c>
      <c r="D207" s="12" t="str">
        <f>IFERROR(IFERROR(IF(RIGHT(INDEX(WP!$A$2:$F$23,MATCH(IF(FIND("_",$B207)&gt;0,LEFT($B207,FIND("_",$B207)-1)),WP!$E$2:$E$23,0),2),6)="Series",LEFT(INDEX(WP!$A$2:$F$23,MATCH(IF(FIND("_",$B207)&gt;0,LEFT($B207,FIND("_",$B207)-1)),WP!$E$2:$E$23,0),2),5),""),IF(RIGHT(INDEX(WP!$A$2:$F$23,MATCH($B207,WP!$E$2:$E$23,0),2),6)="Series",LEFT(INDEX(WP!$A$2:$F$23,MATCH($B207,WP!$E$2:$E$23,0),2),5),"")),"")</f>
        <v/>
      </c>
      <c r="E207" s="17" t="str">
        <f>IFERROR(VLOOKUP(VALUE($D207),Series!$B$3:$F$11,2,0),"")</f>
        <v/>
      </c>
      <c r="F207" s="12" t="str">
        <f>_xlfn.IFNA(IF(IF($D207&lt;&gt;"",COUNTIF($E:$E,"="&amp;$D207),"")="",IF(RIGHT(IFERROR(IF(FIND("_",$B207)&gt;0,INDEX(WP!$A$2:$F$23,MATCH(LEFT($B207,FIND("_",$B207)-1),WP!$E$2:$E$23,0),2),IF(FIND("-",$B207)&gt;0,INDEX(WP!$A$2:$F$23,MATCH(LEFT($B207,FIND("_",$B207)-1),WP!$E$2:$E$23,0),2))),INDEX(WP!$A$2:$F$23,MATCH(Results!$B207,WP!$E$2:$E$23,0),2)),6)="Series",LEFT(IFERROR(IF(FIND("_",$B207)&gt;0,INDEX(WP!$A$2:$F$23,MATCH(LEFT($B207,FIND("_",$B207)-1),WP!$E$2:$E$23,0),2),IF(FIND("-",$B207)&gt;0,INDEX(WP!$A$2:$F$23,MATCH(LEFT($B207,FIND("_",$B207)-1),WP!$E$2:$E$23,0),2))),INDEX(WP!$A$2:$F$23,MATCH(Results!$B207,WP!$E$2:$E$23,0),2)),5),(IFERROR(IF(FIND("_",$B207)&gt;0,INDEX(WP!$A$2:$F$23,MATCH(LEFT($B207,FIND("_",$B207)-1),WP!$E$2:$E$23,0),2),IF(FIND("-",$B207)&gt;0,INDEX(WP!$A$2:$F$23,MATCH(LEFT($B207,FIND("_",$B207)-1),WP!$E$2:$E$23,0),2))),INDEX(WP!$A$2:$F$23,MATCH(Results!$B207,WP!$E$2:$E$23,0),2)))),IF(RIGHT(IFERROR(IF(FIND("_",$B207)&gt;0,INDEX(WP!$A$2:$F$23,MATCH(LEFT($B207,FIND("_",$B207)-1),WP!$E$2:$E$23,0),2),IF(FIND("-",$B207)&gt;0,INDEX(WP!$A$2:$F$23,MATCH(LEFT($B207,FIND("_",$B207)-1),WP!$E$2:$E$23,0),2))),INDEX(WP!$A$2:$F$23,MATCH(Results!$B207,WP!$E$2:$E$23,0),2)),6)="Series",LEFT(IFERROR(IF(FIND("_",$B207)&gt;0,INDEX(WP!$A$2:$F$23,MATCH(LEFT($B207,FIND("_",$B207)-1),WP!$E$2:$E$23,0),2),IF(FIND("-",$B207)&gt;0,INDEX(WP!$A$2:$F$23,MATCH(LEFT($B207,FIND("_",$B207)-1),WP!$E$2:$E$23,0),2))),INDEX(WP!$A$2:$F$23,MATCH(Results!$B207,WP!$E$2:$E$23,0),2)),5),(IFERROR(IF(FIND("_",$B207)&gt;0,INDEX(WP!$A$2:$F$23,MATCH(LEFT($B207,FIND("_",$B207)-1),WP!$E$2:$E$23,0),2),IF(FIND("-",$B207)&gt;0,INDEX(WP!$A$2:$F$23,MATCH(LEFT($B207,FIND("_",$B207)-1),WP!$E$2:$E$23,0),2))),INDEX(WP!$A$2:$F$23,MATCH(Results!$B207,WP!$E$2:$E$23,0),2))))&amp;"-"&amp;$I207),"")</f>
        <v/>
      </c>
      <c r="G207" s="17" t="str">
        <f>IF(LEN(_xlfn.IFNA(IF(IFERROR(IF(FIND("_",$B207)&gt;0,MID($B207,FIND("_",$B207)+1,LEN($B207)),IF(FIND("-",$B207)&gt;0,MID($B207,FIND("-",$B207)+1,LEN($B207)))),"")="",IFERROR(VLOOKUP($F207,WP!$B$2:$C$23,2,0),VLOOKUP($C207,Series!$A$3:$F$11,6,0)),IFERROR(VLOOKUP($F207,WP!$B$2:$C$23,2,0),VLOOKUP($C207,Series!$A$3:$F$11,6,0))&amp;" - "&amp;(IFERROR(IF(FIND("_",$B207)&gt;0,MID($B207,FIND("_",$B207)+1,LEN($B207)),IF(FIND("-",$B207)&gt;0,MID($B207,FIND("-",$B207)+1,LEN($B207)))),""))),""))&lt;64,_xlfn.IFNA(IF(IFERROR(IF(FIND("_",$B207)&gt;0,MID($B207,FIND("_",$B207)+1,LEN($B207)),IF(FIND("-",$B207)&gt;0,MID($B207,FIND("-",$B207)+1,LEN($B207)))),"")="",IFERROR(VLOOKUP($F207,WP!$B$2:$C$23,2,0),VLOOKUP($C207,Series!$A$3:$F$11,6,0)),IFERROR(VLOOKUP($F207,WP!$B$2:$C$23,2,0),VLOOKUP($C207,Series!$A$3:$F$11,6,0))&amp;" - "&amp;(IFERROR(IF(FIND("_",$B207)&gt;0,MID($B207,FIND("_",$B207)+1,LEN($B207)),IF(FIND("-",$B207)&gt;0,MID($B207,FIND("-",$B207)+1,LEN($B207)))),""))),""),LEFT((_xlfn.IFNA(IF(IFERROR(IF(FIND("_",$B207)&gt;0,MID($B207,FIND("_",$B207)+1,LEN($B207)),IF(FIND("-",$B207)&gt;0,MID($B207,FIND("-",$B207)+1,LEN($B207)))),"")="",IFERROR(VLOOKUP($F207,WP!$B$2:$C$23,2,0),VLOOKUP($C207,Series!$A$3:$F$11,6,0)),IFERROR(VLOOKUP($F207,WP!$B$2:$C$23,2,0),VLOOKUP($C207,Series!$A$3:$F$11,6,0))&amp;" - "&amp;(IFERROR(IF(FIND("_",$B207)&gt;0,MID($B207,FIND("_",$B207)+1,LEN($B207)),IF(FIND("-",$B207)&gt;0,MID($B207,FIND("-",$B207)+1,LEN($B207)))),""))),"")),64))</f>
        <v/>
      </c>
      <c r="H207" s="12"/>
      <c r="I207" s="12" t="str">
        <f>IF($D207&lt;&gt;"",COUNTIF($D$7:$D207,"="&amp;$D207),"")</f>
        <v/>
      </c>
      <c r="J207"/>
      <c r="K207" s="8"/>
      <c r="L207"/>
    </row>
    <row r="208" spans="1:12" x14ac:dyDescent="0.3">
      <c r="A208" s="1"/>
      <c r="B208" s="26"/>
      <c r="C208" s="12" t="str">
        <f>_xlfn.IFNA(IFERROR(IF(FIND("_",$B208)&gt;0,INDEX(WP!$A$2:$F$23,MATCH(LEFT($B208,FIND("_",$B208)-1),WP!$E$2:$E$23,0),1),IF(FIND("-",$B208)&gt;0,INDEX(WP!$A$2:$F$23,MATCH(LEFT($B208,FIND("_",$B208)-1),WP!$E$2:$E$23,0),1))),INDEX(WP!$A$2:$F$23,MATCH(Results!$B208,WP!$E$2:$E$23,0),1)),"")</f>
        <v/>
      </c>
      <c r="D208" s="12" t="str">
        <f>IFERROR(IFERROR(IF(RIGHT(INDEX(WP!$A$2:$F$23,MATCH(IF(FIND("_",$B208)&gt;0,LEFT($B208,FIND("_",$B208)-1)),WP!$E$2:$E$23,0),2),6)="Series",LEFT(INDEX(WP!$A$2:$F$23,MATCH(IF(FIND("_",$B208)&gt;0,LEFT($B208,FIND("_",$B208)-1)),WP!$E$2:$E$23,0),2),5),""),IF(RIGHT(INDEX(WP!$A$2:$F$23,MATCH($B208,WP!$E$2:$E$23,0),2),6)="Series",LEFT(INDEX(WP!$A$2:$F$23,MATCH($B208,WP!$E$2:$E$23,0),2),5),"")),"")</f>
        <v/>
      </c>
      <c r="E208" s="17" t="str">
        <f>IFERROR(VLOOKUP(VALUE($D208),Series!$B$3:$F$11,2,0),"")</f>
        <v/>
      </c>
      <c r="F208" s="12" t="str">
        <f>_xlfn.IFNA(IF(IF($D208&lt;&gt;"",COUNTIF($E:$E,"="&amp;$D208),"")="",IF(RIGHT(IFERROR(IF(FIND("_",$B208)&gt;0,INDEX(WP!$A$2:$F$23,MATCH(LEFT($B208,FIND("_",$B208)-1),WP!$E$2:$E$23,0),2),IF(FIND("-",$B208)&gt;0,INDEX(WP!$A$2:$F$23,MATCH(LEFT($B208,FIND("_",$B208)-1),WP!$E$2:$E$23,0),2))),INDEX(WP!$A$2:$F$23,MATCH(Results!$B208,WP!$E$2:$E$23,0),2)),6)="Series",LEFT(IFERROR(IF(FIND("_",$B208)&gt;0,INDEX(WP!$A$2:$F$23,MATCH(LEFT($B208,FIND("_",$B208)-1),WP!$E$2:$E$23,0),2),IF(FIND("-",$B208)&gt;0,INDEX(WP!$A$2:$F$23,MATCH(LEFT($B208,FIND("_",$B208)-1),WP!$E$2:$E$23,0),2))),INDEX(WP!$A$2:$F$23,MATCH(Results!$B208,WP!$E$2:$E$23,0),2)),5),(IFERROR(IF(FIND("_",$B208)&gt;0,INDEX(WP!$A$2:$F$23,MATCH(LEFT($B208,FIND("_",$B208)-1),WP!$E$2:$E$23,0),2),IF(FIND("-",$B208)&gt;0,INDEX(WP!$A$2:$F$23,MATCH(LEFT($B208,FIND("_",$B208)-1),WP!$E$2:$E$23,0),2))),INDEX(WP!$A$2:$F$23,MATCH(Results!$B208,WP!$E$2:$E$23,0),2)))),IF(RIGHT(IFERROR(IF(FIND("_",$B208)&gt;0,INDEX(WP!$A$2:$F$23,MATCH(LEFT($B208,FIND("_",$B208)-1),WP!$E$2:$E$23,0),2),IF(FIND("-",$B208)&gt;0,INDEX(WP!$A$2:$F$23,MATCH(LEFT($B208,FIND("_",$B208)-1),WP!$E$2:$E$23,0),2))),INDEX(WP!$A$2:$F$23,MATCH(Results!$B208,WP!$E$2:$E$23,0),2)),6)="Series",LEFT(IFERROR(IF(FIND("_",$B208)&gt;0,INDEX(WP!$A$2:$F$23,MATCH(LEFT($B208,FIND("_",$B208)-1),WP!$E$2:$E$23,0),2),IF(FIND("-",$B208)&gt;0,INDEX(WP!$A$2:$F$23,MATCH(LEFT($B208,FIND("_",$B208)-1),WP!$E$2:$E$23,0),2))),INDEX(WP!$A$2:$F$23,MATCH(Results!$B208,WP!$E$2:$E$23,0),2)),5),(IFERROR(IF(FIND("_",$B208)&gt;0,INDEX(WP!$A$2:$F$23,MATCH(LEFT($B208,FIND("_",$B208)-1),WP!$E$2:$E$23,0),2),IF(FIND("-",$B208)&gt;0,INDEX(WP!$A$2:$F$23,MATCH(LEFT($B208,FIND("_",$B208)-1),WP!$E$2:$E$23,0),2))),INDEX(WP!$A$2:$F$23,MATCH(Results!$B208,WP!$E$2:$E$23,0),2))))&amp;"-"&amp;$I208),"")</f>
        <v/>
      </c>
      <c r="G208" s="17" t="str">
        <f>IF(LEN(_xlfn.IFNA(IF(IFERROR(IF(FIND("_",$B208)&gt;0,MID($B208,FIND("_",$B208)+1,LEN($B208)),IF(FIND("-",$B208)&gt;0,MID($B208,FIND("-",$B208)+1,LEN($B208)))),"")="",IFERROR(VLOOKUP($F208,WP!$B$2:$C$23,2,0),VLOOKUP($C208,Series!$A$3:$F$11,6,0)),IFERROR(VLOOKUP($F208,WP!$B$2:$C$23,2,0),VLOOKUP($C208,Series!$A$3:$F$11,6,0))&amp;" - "&amp;(IFERROR(IF(FIND("_",$B208)&gt;0,MID($B208,FIND("_",$B208)+1,LEN($B208)),IF(FIND("-",$B208)&gt;0,MID($B208,FIND("-",$B208)+1,LEN($B208)))),""))),""))&lt;64,_xlfn.IFNA(IF(IFERROR(IF(FIND("_",$B208)&gt;0,MID($B208,FIND("_",$B208)+1,LEN($B208)),IF(FIND("-",$B208)&gt;0,MID($B208,FIND("-",$B208)+1,LEN($B208)))),"")="",IFERROR(VLOOKUP($F208,WP!$B$2:$C$23,2,0),VLOOKUP($C208,Series!$A$3:$F$11,6,0)),IFERROR(VLOOKUP($F208,WP!$B$2:$C$23,2,0),VLOOKUP($C208,Series!$A$3:$F$11,6,0))&amp;" - "&amp;(IFERROR(IF(FIND("_",$B208)&gt;0,MID($B208,FIND("_",$B208)+1,LEN($B208)),IF(FIND("-",$B208)&gt;0,MID($B208,FIND("-",$B208)+1,LEN($B208)))),""))),""),LEFT((_xlfn.IFNA(IF(IFERROR(IF(FIND("_",$B208)&gt;0,MID($B208,FIND("_",$B208)+1,LEN($B208)),IF(FIND("-",$B208)&gt;0,MID($B208,FIND("-",$B208)+1,LEN($B208)))),"")="",IFERROR(VLOOKUP($F208,WP!$B$2:$C$23,2,0),VLOOKUP($C208,Series!$A$3:$F$11,6,0)),IFERROR(VLOOKUP($F208,WP!$B$2:$C$23,2,0),VLOOKUP($C208,Series!$A$3:$F$11,6,0))&amp;" - "&amp;(IFERROR(IF(FIND("_",$B208)&gt;0,MID($B208,FIND("_",$B208)+1,LEN($B208)),IF(FIND("-",$B208)&gt;0,MID($B208,FIND("-",$B208)+1,LEN($B208)))),""))),"")),64))</f>
        <v/>
      </c>
      <c r="H208" s="12"/>
      <c r="I208" s="12" t="str">
        <f>IF($D208&lt;&gt;"",COUNTIF($D$7:$D208,"="&amp;$D208),"")</f>
        <v/>
      </c>
      <c r="J208"/>
      <c r="K208" s="8"/>
      <c r="L208"/>
    </row>
    <row r="209" spans="1:12" x14ac:dyDescent="0.3">
      <c r="A209" s="1"/>
      <c r="B209" s="26"/>
      <c r="C209" s="12" t="str">
        <f>_xlfn.IFNA(IFERROR(IF(FIND("_",$B209)&gt;0,INDEX(WP!$A$2:$F$23,MATCH(LEFT($B209,FIND("_",$B209)-1),WP!$E$2:$E$23,0),1),IF(FIND("-",$B209)&gt;0,INDEX(WP!$A$2:$F$23,MATCH(LEFT($B209,FIND("_",$B209)-1),WP!$E$2:$E$23,0),1))),INDEX(WP!$A$2:$F$23,MATCH(Results!$B209,WP!$E$2:$E$23,0),1)),"")</f>
        <v/>
      </c>
      <c r="D209" s="12" t="str">
        <f>IFERROR(IFERROR(IF(RIGHT(INDEX(WP!$A$2:$F$23,MATCH(IF(FIND("_",$B209)&gt;0,LEFT($B209,FIND("_",$B209)-1)),WP!$E$2:$E$23,0),2),6)="Series",LEFT(INDEX(WP!$A$2:$F$23,MATCH(IF(FIND("_",$B209)&gt;0,LEFT($B209,FIND("_",$B209)-1)),WP!$E$2:$E$23,0),2),5),""),IF(RIGHT(INDEX(WP!$A$2:$F$23,MATCH($B209,WP!$E$2:$E$23,0),2),6)="Series",LEFT(INDEX(WP!$A$2:$F$23,MATCH($B209,WP!$E$2:$E$23,0),2),5),"")),"")</f>
        <v/>
      </c>
      <c r="E209" s="17" t="str">
        <f>IFERROR(VLOOKUP(VALUE($D209),Series!$B$3:$F$11,2,0),"")</f>
        <v/>
      </c>
      <c r="F209" s="12" t="str">
        <f>_xlfn.IFNA(IF(IF($D209&lt;&gt;"",COUNTIF($E:$E,"="&amp;$D209),"")="",IF(RIGHT(IFERROR(IF(FIND("_",$B209)&gt;0,INDEX(WP!$A$2:$F$23,MATCH(LEFT($B209,FIND("_",$B209)-1),WP!$E$2:$E$23,0),2),IF(FIND("-",$B209)&gt;0,INDEX(WP!$A$2:$F$23,MATCH(LEFT($B209,FIND("_",$B209)-1),WP!$E$2:$E$23,0),2))),INDEX(WP!$A$2:$F$23,MATCH(Results!$B209,WP!$E$2:$E$23,0),2)),6)="Series",LEFT(IFERROR(IF(FIND("_",$B209)&gt;0,INDEX(WP!$A$2:$F$23,MATCH(LEFT($B209,FIND("_",$B209)-1),WP!$E$2:$E$23,0),2),IF(FIND("-",$B209)&gt;0,INDEX(WP!$A$2:$F$23,MATCH(LEFT($B209,FIND("_",$B209)-1),WP!$E$2:$E$23,0),2))),INDEX(WP!$A$2:$F$23,MATCH(Results!$B209,WP!$E$2:$E$23,0),2)),5),(IFERROR(IF(FIND("_",$B209)&gt;0,INDEX(WP!$A$2:$F$23,MATCH(LEFT($B209,FIND("_",$B209)-1),WP!$E$2:$E$23,0),2),IF(FIND("-",$B209)&gt;0,INDEX(WP!$A$2:$F$23,MATCH(LEFT($B209,FIND("_",$B209)-1),WP!$E$2:$E$23,0),2))),INDEX(WP!$A$2:$F$23,MATCH(Results!$B209,WP!$E$2:$E$23,0),2)))),IF(RIGHT(IFERROR(IF(FIND("_",$B209)&gt;0,INDEX(WP!$A$2:$F$23,MATCH(LEFT($B209,FIND("_",$B209)-1),WP!$E$2:$E$23,0),2),IF(FIND("-",$B209)&gt;0,INDEX(WP!$A$2:$F$23,MATCH(LEFT($B209,FIND("_",$B209)-1),WP!$E$2:$E$23,0),2))),INDEX(WP!$A$2:$F$23,MATCH(Results!$B209,WP!$E$2:$E$23,0),2)),6)="Series",LEFT(IFERROR(IF(FIND("_",$B209)&gt;0,INDEX(WP!$A$2:$F$23,MATCH(LEFT($B209,FIND("_",$B209)-1),WP!$E$2:$E$23,0),2),IF(FIND("-",$B209)&gt;0,INDEX(WP!$A$2:$F$23,MATCH(LEFT($B209,FIND("_",$B209)-1),WP!$E$2:$E$23,0),2))),INDEX(WP!$A$2:$F$23,MATCH(Results!$B209,WP!$E$2:$E$23,0),2)),5),(IFERROR(IF(FIND("_",$B209)&gt;0,INDEX(WP!$A$2:$F$23,MATCH(LEFT($B209,FIND("_",$B209)-1),WP!$E$2:$E$23,0),2),IF(FIND("-",$B209)&gt;0,INDEX(WP!$A$2:$F$23,MATCH(LEFT($B209,FIND("_",$B209)-1),WP!$E$2:$E$23,0),2))),INDEX(WP!$A$2:$F$23,MATCH(Results!$B209,WP!$E$2:$E$23,0),2))))&amp;"-"&amp;$I209),"")</f>
        <v/>
      </c>
      <c r="G209" s="17" t="str">
        <f>IF(LEN(_xlfn.IFNA(IF(IFERROR(IF(FIND("_",$B209)&gt;0,MID($B209,FIND("_",$B209)+1,LEN($B209)),IF(FIND("-",$B209)&gt;0,MID($B209,FIND("-",$B209)+1,LEN($B209)))),"")="",IFERROR(VLOOKUP($F209,WP!$B$2:$C$23,2,0),VLOOKUP($C209,Series!$A$3:$F$11,6,0)),IFERROR(VLOOKUP($F209,WP!$B$2:$C$23,2,0),VLOOKUP($C209,Series!$A$3:$F$11,6,0))&amp;" - "&amp;(IFERROR(IF(FIND("_",$B209)&gt;0,MID($B209,FIND("_",$B209)+1,LEN($B209)),IF(FIND("-",$B209)&gt;0,MID($B209,FIND("-",$B209)+1,LEN($B209)))),""))),""))&lt;64,_xlfn.IFNA(IF(IFERROR(IF(FIND("_",$B209)&gt;0,MID($B209,FIND("_",$B209)+1,LEN($B209)),IF(FIND("-",$B209)&gt;0,MID($B209,FIND("-",$B209)+1,LEN($B209)))),"")="",IFERROR(VLOOKUP($F209,WP!$B$2:$C$23,2,0),VLOOKUP($C209,Series!$A$3:$F$11,6,0)),IFERROR(VLOOKUP($F209,WP!$B$2:$C$23,2,0),VLOOKUP($C209,Series!$A$3:$F$11,6,0))&amp;" - "&amp;(IFERROR(IF(FIND("_",$B209)&gt;0,MID($B209,FIND("_",$B209)+1,LEN($B209)),IF(FIND("-",$B209)&gt;0,MID($B209,FIND("-",$B209)+1,LEN($B209)))),""))),""),LEFT((_xlfn.IFNA(IF(IFERROR(IF(FIND("_",$B209)&gt;0,MID($B209,FIND("_",$B209)+1,LEN($B209)),IF(FIND("-",$B209)&gt;0,MID($B209,FIND("-",$B209)+1,LEN($B209)))),"")="",IFERROR(VLOOKUP($F209,WP!$B$2:$C$23,2,0),VLOOKUP($C209,Series!$A$3:$F$11,6,0)),IFERROR(VLOOKUP($F209,WP!$B$2:$C$23,2,0),VLOOKUP($C209,Series!$A$3:$F$11,6,0))&amp;" - "&amp;(IFERROR(IF(FIND("_",$B209)&gt;0,MID($B209,FIND("_",$B209)+1,LEN($B209)),IF(FIND("-",$B209)&gt;0,MID($B209,FIND("-",$B209)+1,LEN($B209)))),""))),"")),64))</f>
        <v/>
      </c>
      <c r="H209" s="12"/>
      <c r="I209" s="12" t="str">
        <f>IF($D209&lt;&gt;"",COUNTIF($D$7:$D209,"="&amp;$D209),"")</f>
        <v/>
      </c>
      <c r="J209"/>
      <c r="K209" s="8"/>
      <c r="L209"/>
    </row>
    <row r="210" spans="1:12" x14ac:dyDescent="0.3">
      <c r="A210" s="1"/>
      <c r="B210" s="26"/>
      <c r="C210" s="12" t="str">
        <f>_xlfn.IFNA(IFERROR(IF(FIND("_",$B210)&gt;0,INDEX(WP!$A$2:$F$23,MATCH(LEFT($B210,FIND("_",$B210)-1),WP!$E$2:$E$23,0),1),IF(FIND("-",$B210)&gt;0,INDEX(WP!$A$2:$F$23,MATCH(LEFT($B210,FIND("_",$B210)-1),WP!$E$2:$E$23,0),1))),INDEX(WP!$A$2:$F$23,MATCH(Results!$B210,WP!$E$2:$E$23,0),1)),"")</f>
        <v/>
      </c>
      <c r="D210" s="12" t="str">
        <f>IFERROR(IFERROR(IF(RIGHT(INDEX(WP!$A$2:$F$23,MATCH(IF(FIND("_",$B210)&gt;0,LEFT($B210,FIND("_",$B210)-1)),WP!$E$2:$E$23,0),2),6)="Series",LEFT(INDEX(WP!$A$2:$F$23,MATCH(IF(FIND("_",$B210)&gt;0,LEFT($B210,FIND("_",$B210)-1)),WP!$E$2:$E$23,0),2),5),""),IF(RIGHT(INDEX(WP!$A$2:$F$23,MATCH($B210,WP!$E$2:$E$23,0),2),6)="Series",LEFT(INDEX(WP!$A$2:$F$23,MATCH($B210,WP!$E$2:$E$23,0),2),5),"")),"")</f>
        <v/>
      </c>
      <c r="E210" s="17" t="str">
        <f>IFERROR(VLOOKUP(VALUE($D210),Series!$B$3:$F$11,2,0),"")</f>
        <v/>
      </c>
      <c r="F210" s="12" t="str">
        <f>_xlfn.IFNA(IF(IF($D210&lt;&gt;"",COUNTIF($E:$E,"="&amp;$D210),"")="",IF(RIGHT(IFERROR(IF(FIND("_",$B210)&gt;0,INDEX(WP!$A$2:$F$23,MATCH(LEFT($B210,FIND("_",$B210)-1),WP!$E$2:$E$23,0),2),IF(FIND("-",$B210)&gt;0,INDEX(WP!$A$2:$F$23,MATCH(LEFT($B210,FIND("_",$B210)-1),WP!$E$2:$E$23,0),2))),INDEX(WP!$A$2:$F$23,MATCH(Results!$B210,WP!$E$2:$E$23,0),2)),6)="Series",LEFT(IFERROR(IF(FIND("_",$B210)&gt;0,INDEX(WP!$A$2:$F$23,MATCH(LEFT($B210,FIND("_",$B210)-1),WP!$E$2:$E$23,0),2),IF(FIND("-",$B210)&gt;0,INDEX(WP!$A$2:$F$23,MATCH(LEFT($B210,FIND("_",$B210)-1),WP!$E$2:$E$23,0),2))),INDEX(WP!$A$2:$F$23,MATCH(Results!$B210,WP!$E$2:$E$23,0),2)),5),(IFERROR(IF(FIND("_",$B210)&gt;0,INDEX(WP!$A$2:$F$23,MATCH(LEFT($B210,FIND("_",$B210)-1),WP!$E$2:$E$23,0),2),IF(FIND("-",$B210)&gt;0,INDEX(WP!$A$2:$F$23,MATCH(LEFT($B210,FIND("_",$B210)-1),WP!$E$2:$E$23,0),2))),INDEX(WP!$A$2:$F$23,MATCH(Results!$B210,WP!$E$2:$E$23,0),2)))),IF(RIGHT(IFERROR(IF(FIND("_",$B210)&gt;0,INDEX(WP!$A$2:$F$23,MATCH(LEFT($B210,FIND("_",$B210)-1),WP!$E$2:$E$23,0),2),IF(FIND("-",$B210)&gt;0,INDEX(WP!$A$2:$F$23,MATCH(LEFT($B210,FIND("_",$B210)-1),WP!$E$2:$E$23,0),2))),INDEX(WP!$A$2:$F$23,MATCH(Results!$B210,WP!$E$2:$E$23,0),2)),6)="Series",LEFT(IFERROR(IF(FIND("_",$B210)&gt;0,INDEX(WP!$A$2:$F$23,MATCH(LEFT($B210,FIND("_",$B210)-1),WP!$E$2:$E$23,0),2),IF(FIND("-",$B210)&gt;0,INDEX(WP!$A$2:$F$23,MATCH(LEFT($B210,FIND("_",$B210)-1),WP!$E$2:$E$23,0),2))),INDEX(WP!$A$2:$F$23,MATCH(Results!$B210,WP!$E$2:$E$23,0),2)),5),(IFERROR(IF(FIND("_",$B210)&gt;0,INDEX(WP!$A$2:$F$23,MATCH(LEFT($B210,FIND("_",$B210)-1),WP!$E$2:$E$23,0),2),IF(FIND("-",$B210)&gt;0,INDEX(WP!$A$2:$F$23,MATCH(LEFT($B210,FIND("_",$B210)-1),WP!$E$2:$E$23,0),2))),INDEX(WP!$A$2:$F$23,MATCH(Results!$B210,WP!$E$2:$E$23,0),2))))&amp;"-"&amp;$I210),"")</f>
        <v/>
      </c>
      <c r="G210" s="17" t="str">
        <f>IF(LEN(_xlfn.IFNA(IF(IFERROR(IF(FIND("_",$B210)&gt;0,MID($B210,FIND("_",$B210)+1,LEN($B210)),IF(FIND("-",$B210)&gt;0,MID($B210,FIND("-",$B210)+1,LEN($B210)))),"")="",IFERROR(VLOOKUP($F210,WP!$B$2:$C$23,2,0),VLOOKUP($C210,Series!$A$3:$F$11,6,0)),IFERROR(VLOOKUP($F210,WP!$B$2:$C$23,2,0),VLOOKUP($C210,Series!$A$3:$F$11,6,0))&amp;" - "&amp;(IFERROR(IF(FIND("_",$B210)&gt;0,MID($B210,FIND("_",$B210)+1,LEN($B210)),IF(FIND("-",$B210)&gt;0,MID($B210,FIND("-",$B210)+1,LEN($B210)))),""))),""))&lt;64,_xlfn.IFNA(IF(IFERROR(IF(FIND("_",$B210)&gt;0,MID($B210,FIND("_",$B210)+1,LEN($B210)),IF(FIND("-",$B210)&gt;0,MID($B210,FIND("-",$B210)+1,LEN($B210)))),"")="",IFERROR(VLOOKUP($F210,WP!$B$2:$C$23,2,0),VLOOKUP($C210,Series!$A$3:$F$11,6,0)),IFERROR(VLOOKUP($F210,WP!$B$2:$C$23,2,0),VLOOKUP($C210,Series!$A$3:$F$11,6,0))&amp;" - "&amp;(IFERROR(IF(FIND("_",$B210)&gt;0,MID($B210,FIND("_",$B210)+1,LEN($B210)),IF(FIND("-",$B210)&gt;0,MID($B210,FIND("-",$B210)+1,LEN($B210)))),""))),""),LEFT((_xlfn.IFNA(IF(IFERROR(IF(FIND("_",$B210)&gt;0,MID($B210,FIND("_",$B210)+1,LEN($B210)),IF(FIND("-",$B210)&gt;0,MID($B210,FIND("-",$B210)+1,LEN($B210)))),"")="",IFERROR(VLOOKUP($F210,WP!$B$2:$C$23,2,0),VLOOKUP($C210,Series!$A$3:$F$11,6,0)),IFERROR(VLOOKUP($F210,WP!$B$2:$C$23,2,0),VLOOKUP($C210,Series!$A$3:$F$11,6,0))&amp;" - "&amp;(IFERROR(IF(FIND("_",$B210)&gt;0,MID($B210,FIND("_",$B210)+1,LEN($B210)),IF(FIND("-",$B210)&gt;0,MID($B210,FIND("-",$B210)+1,LEN($B210)))),""))),"")),64))</f>
        <v/>
      </c>
      <c r="H210" s="12"/>
      <c r="I210" s="12" t="str">
        <f>IF($D210&lt;&gt;"",COUNTIF($D$7:$D210,"="&amp;$D210),"")</f>
        <v/>
      </c>
      <c r="J210"/>
      <c r="K210" s="8"/>
      <c r="L210"/>
    </row>
    <row r="211" spans="1:12" x14ac:dyDescent="0.3">
      <c r="A211" s="1"/>
      <c r="B211" s="26"/>
      <c r="C211" s="12" t="str">
        <f>_xlfn.IFNA(IFERROR(IF(FIND("_",$B211)&gt;0,INDEX(WP!$A$2:$F$23,MATCH(LEFT($B211,FIND("_",$B211)-1),WP!$E$2:$E$23,0),1),IF(FIND("-",$B211)&gt;0,INDEX(WP!$A$2:$F$23,MATCH(LEFT($B211,FIND("_",$B211)-1),WP!$E$2:$E$23,0),1))),INDEX(WP!$A$2:$F$23,MATCH(Results!$B211,WP!$E$2:$E$23,0),1)),"")</f>
        <v/>
      </c>
      <c r="D211" s="12" t="str">
        <f>IFERROR(IFERROR(IF(RIGHT(INDEX(WP!$A$2:$F$23,MATCH(IF(FIND("_",$B211)&gt;0,LEFT($B211,FIND("_",$B211)-1)),WP!$E$2:$E$23,0),2),6)="Series",LEFT(INDEX(WP!$A$2:$F$23,MATCH(IF(FIND("_",$B211)&gt;0,LEFT($B211,FIND("_",$B211)-1)),WP!$E$2:$E$23,0),2),5),""),IF(RIGHT(INDEX(WP!$A$2:$F$23,MATCH($B211,WP!$E$2:$E$23,0),2),6)="Series",LEFT(INDEX(WP!$A$2:$F$23,MATCH($B211,WP!$E$2:$E$23,0),2),5),"")),"")</f>
        <v/>
      </c>
      <c r="E211" s="17" t="str">
        <f>IFERROR(VLOOKUP(VALUE($D211),Series!$B$3:$F$11,2,0),"")</f>
        <v/>
      </c>
      <c r="F211" s="12" t="str">
        <f>_xlfn.IFNA(IF(IF($D211&lt;&gt;"",COUNTIF($E:$E,"="&amp;$D211),"")="",IF(RIGHT(IFERROR(IF(FIND("_",$B211)&gt;0,INDEX(WP!$A$2:$F$23,MATCH(LEFT($B211,FIND("_",$B211)-1),WP!$E$2:$E$23,0),2),IF(FIND("-",$B211)&gt;0,INDEX(WP!$A$2:$F$23,MATCH(LEFT($B211,FIND("_",$B211)-1),WP!$E$2:$E$23,0),2))),INDEX(WP!$A$2:$F$23,MATCH(Results!$B211,WP!$E$2:$E$23,0),2)),6)="Series",LEFT(IFERROR(IF(FIND("_",$B211)&gt;0,INDEX(WP!$A$2:$F$23,MATCH(LEFT($B211,FIND("_",$B211)-1),WP!$E$2:$E$23,0),2),IF(FIND("-",$B211)&gt;0,INDEX(WP!$A$2:$F$23,MATCH(LEFT($B211,FIND("_",$B211)-1),WP!$E$2:$E$23,0),2))),INDEX(WP!$A$2:$F$23,MATCH(Results!$B211,WP!$E$2:$E$23,0),2)),5),(IFERROR(IF(FIND("_",$B211)&gt;0,INDEX(WP!$A$2:$F$23,MATCH(LEFT($B211,FIND("_",$B211)-1),WP!$E$2:$E$23,0),2),IF(FIND("-",$B211)&gt;0,INDEX(WP!$A$2:$F$23,MATCH(LEFT($B211,FIND("_",$B211)-1),WP!$E$2:$E$23,0),2))),INDEX(WP!$A$2:$F$23,MATCH(Results!$B211,WP!$E$2:$E$23,0),2)))),IF(RIGHT(IFERROR(IF(FIND("_",$B211)&gt;0,INDEX(WP!$A$2:$F$23,MATCH(LEFT($B211,FIND("_",$B211)-1),WP!$E$2:$E$23,0),2),IF(FIND("-",$B211)&gt;0,INDEX(WP!$A$2:$F$23,MATCH(LEFT($B211,FIND("_",$B211)-1),WP!$E$2:$E$23,0),2))),INDEX(WP!$A$2:$F$23,MATCH(Results!$B211,WP!$E$2:$E$23,0),2)),6)="Series",LEFT(IFERROR(IF(FIND("_",$B211)&gt;0,INDEX(WP!$A$2:$F$23,MATCH(LEFT($B211,FIND("_",$B211)-1),WP!$E$2:$E$23,0),2),IF(FIND("-",$B211)&gt;0,INDEX(WP!$A$2:$F$23,MATCH(LEFT($B211,FIND("_",$B211)-1),WP!$E$2:$E$23,0),2))),INDEX(WP!$A$2:$F$23,MATCH(Results!$B211,WP!$E$2:$E$23,0),2)),5),(IFERROR(IF(FIND("_",$B211)&gt;0,INDEX(WP!$A$2:$F$23,MATCH(LEFT($B211,FIND("_",$B211)-1),WP!$E$2:$E$23,0),2),IF(FIND("-",$B211)&gt;0,INDEX(WP!$A$2:$F$23,MATCH(LEFT($B211,FIND("_",$B211)-1),WP!$E$2:$E$23,0),2))),INDEX(WP!$A$2:$F$23,MATCH(Results!$B211,WP!$E$2:$E$23,0),2))))&amp;"-"&amp;$I211),"")</f>
        <v/>
      </c>
      <c r="G211" s="17" t="str">
        <f>IF(LEN(_xlfn.IFNA(IF(IFERROR(IF(FIND("_",$B211)&gt;0,MID($B211,FIND("_",$B211)+1,LEN($B211)),IF(FIND("-",$B211)&gt;0,MID($B211,FIND("-",$B211)+1,LEN($B211)))),"")="",IFERROR(VLOOKUP($F211,WP!$B$2:$C$23,2,0),VLOOKUP($C211,Series!$A$3:$F$11,6,0)),IFERROR(VLOOKUP($F211,WP!$B$2:$C$23,2,0),VLOOKUP($C211,Series!$A$3:$F$11,6,0))&amp;" - "&amp;(IFERROR(IF(FIND("_",$B211)&gt;0,MID($B211,FIND("_",$B211)+1,LEN($B211)),IF(FIND("-",$B211)&gt;0,MID($B211,FIND("-",$B211)+1,LEN($B211)))),""))),""))&lt;64,_xlfn.IFNA(IF(IFERROR(IF(FIND("_",$B211)&gt;0,MID($B211,FIND("_",$B211)+1,LEN($B211)),IF(FIND("-",$B211)&gt;0,MID($B211,FIND("-",$B211)+1,LEN($B211)))),"")="",IFERROR(VLOOKUP($F211,WP!$B$2:$C$23,2,0),VLOOKUP($C211,Series!$A$3:$F$11,6,0)),IFERROR(VLOOKUP($F211,WP!$B$2:$C$23,2,0),VLOOKUP($C211,Series!$A$3:$F$11,6,0))&amp;" - "&amp;(IFERROR(IF(FIND("_",$B211)&gt;0,MID($B211,FIND("_",$B211)+1,LEN($B211)),IF(FIND("-",$B211)&gt;0,MID($B211,FIND("-",$B211)+1,LEN($B211)))),""))),""),LEFT((_xlfn.IFNA(IF(IFERROR(IF(FIND("_",$B211)&gt;0,MID($B211,FIND("_",$B211)+1,LEN($B211)),IF(FIND("-",$B211)&gt;0,MID($B211,FIND("-",$B211)+1,LEN($B211)))),"")="",IFERROR(VLOOKUP($F211,WP!$B$2:$C$23,2,0),VLOOKUP($C211,Series!$A$3:$F$11,6,0)),IFERROR(VLOOKUP($F211,WP!$B$2:$C$23,2,0),VLOOKUP($C211,Series!$A$3:$F$11,6,0))&amp;" - "&amp;(IFERROR(IF(FIND("_",$B211)&gt;0,MID($B211,FIND("_",$B211)+1,LEN($B211)),IF(FIND("-",$B211)&gt;0,MID($B211,FIND("-",$B211)+1,LEN($B211)))),""))),"")),64))</f>
        <v/>
      </c>
      <c r="H211" s="12"/>
      <c r="I211" s="12" t="str">
        <f>IF($D211&lt;&gt;"",COUNTIF($D$7:$D211,"="&amp;$D211),"")</f>
        <v/>
      </c>
      <c r="J211"/>
      <c r="K211" s="8"/>
      <c r="L211"/>
    </row>
    <row r="212" spans="1:12" x14ac:dyDescent="0.3">
      <c r="A212" s="1"/>
      <c r="B212" s="26"/>
      <c r="C212" s="12" t="str">
        <f>_xlfn.IFNA(IFERROR(IF(FIND("_",$B212)&gt;0,INDEX(WP!$A$2:$F$23,MATCH(LEFT($B212,FIND("_",$B212)-1),WP!$E$2:$E$23,0),1),IF(FIND("-",$B212)&gt;0,INDEX(WP!$A$2:$F$23,MATCH(LEFT($B212,FIND("_",$B212)-1),WP!$E$2:$E$23,0),1))),INDEX(WP!$A$2:$F$23,MATCH(Results!$B212,WP!$E$2:$E$23,0),1)),"")</f>
        <v/>
      </c>
      <c r="D212" s="12" t="str">
        <f>IFERROR(IFERROR(IF(RIGHT(INDEX(WP!$A$2:$F$23,MATCH(IF(FIND("_",$B212)&gt;0,LEFT($B212,FIND("_",$B212)-1)),WP!$E$2:$E$23,0),2),6)="Series",LEFT(INDEX(WP!$A$2:$F$23,MATCH(IF(FIND("_",$B212)&gt;0,LEFT($B212,FIND("_",$B212)-1)),WP!$E$2:$E$23,0),2),5),""),IF(RIGHT(INDEX(WP!$A$2:$F$23,MATCH($B212,WP!$E$2:$E$23,0),2),6)="Series",LEFT(INDEX(WP!$A$2:$F$23,MATCH($B212,WP!$E$2:$E$23,0),2),5),"")),"")</f>
        <v/>
      </c>
      <c r="E212" s="17" t="str">
        <f>IFERROR(VLOOKUP(VALUE($D212),Series!$B$3:$F$11,2,0),"")</f>
        <v/>
      </c>
      <c r="F212" s="12" t="str">
        <f>_xlfn.IFNA(IF(IF($D212&lt;&gt;"",COUNTIF($E:$E,"="&amp;$D212),"")="",IF(RIGHT(IFERROR(IF(FIND("_",$B212)&gt;0,INDEX(WP!$A$2:$F$23,MATCH(LEFT($B212,FIND("_",$B212)-1),WP!$E$2:$E$23,0),2),IF(FIND("-",$B212)&gt;0,INDEX(WP!$A$2:$F$23,MATCH(LEFT($B212,FIND("_",$B212)-1),WP!$E$2:$E$23,0),2))),INDEX(WP!$A$2:$F$23,MATCH(Results!$B212,WP!$E$2:$E$23,0),2)),6)="Series",LEFT(IFERROR(IF(FIND("_",$B212)&gt;0,INDEX(WP!$A$2:$F$23,MATCH(LEFT($B212,FIND("_",$B212)-1),WP!$E$2:$E$23,0),2),IF(FIND("-",$B212)&gt;0,INDEX(WP!$A$2:$F$23,MATCH(LEFT($B212,FIND("_",$B212)-1),WP!$E$2:$E$23,0),2))),INDEX(WP!$A$2:$F$23,MATCH(Results!$B212,WP!$E$2:$E$23,0),2)),5),(IFERROR(IF(FIND("_",$B212)&gt;0,INDEX(WP!$A$2:$F$23,MATCH(LEFT($B212,FIND("_",$B212)-1),WP!$E$2:$E$23,0),2),IF(FIND("-",$B212)&gt;0,INDEX(WP!$A$2:$F$23,MATCH(LEFT($B212,FIND("_",$B212)-1),WP!$E$2:$E$23,0),2))),INDEX(WP!$A$2:$F$23,MATCH(Results!$B212,WP!$E$2:$E$23,0),2)))),IF(RIGHT(IFERROR(IF(FIND("_",$B212)&gt;0,INDEX(WP!$A$2:$F$23,MATCH(LEFT($B212,FIND("_",$B212)-1),WP!$E$2:$E$23,0),2),IF(FIND("-",$B212)&gt;0,INDEX(WP!$A$2:$F$23,MATCH(LEFT($B212,FIND("_",$B212)-1),WP!$E$2:$E$23,0),2))),INDEX(WP!$A$2:$F$23,MATCH(Results!$B212,WP!$E$2:$E$23,0),2)),6)="Series",LEFT(IFERROR(IF(FIND("_",$B212)&gt;0,INDEX(WP!$A$2:$F$23,MATCH(LEFT($B212,FIND("_",$B212)-1),WP!$E$2:$E$23,0),2),IF(FIND("-",$B212)&gt;0,INDEX(WP!$A$2:$F$23,MATCH(LEFT($B212,FIND("_",$B212)-1),WP!$E$2:$E$23,0),2))),INDEX(WP!$A$2:$F$23,MATCH(Results!$B212,WP!$E$2:$E$23,0),2)),5),(IFERROR(IF(FIND("_",$B212)&gt;0,INDEX(WP!$A$2:$F$23,MATCH(LEFT($B212,FIND("_",$B212)-1),WP!$E$2:$E$23,0),2),IF(FIND("-",$B212)&gt;0,INDEX(WP!$A$2:$F$23,MATCH(LEFT($B212,FIND("_",$B212)-1),WP!$E$2:$E$23,0),2))),INDEX(WP!$A$2:$F$23,MATCH(Results!$B212,WP!$E$2:$E$23,0),2))))&amp;"-"&amp;$I212),"")</f>
        <v/>
      </c>
      <c r="G212" s="17" t="str">
        <f>IF(LEN(_xlfn.IFNA(IF(IFERROR(IF(FIND("_",$B212)&gt;0,MID($B212,FIND("_",$B212)+1,LEN($B212)),IF(FIND("-",$B212)&gt;0,MID($B212,FIND("-",$B212)+1,LEN($B212)))),"")="",IFERROR(VLOOKUP($F212,WP!$B$2:$C$23,2,0),VLOOKUP($C212,Series!$A$3:$F$11,6,0)),IFERROR(VLOOKUP($F212,WP!$B$2:$C$23,2,0),VLOOKUP($C212,Series!$A$3:$F$11,6,0))&amp;" - "&amp;(IFERROR(IF(FIND("_",$B212)&gt;0,MID($B212,FIND("_",$B212)+1,LEN($B212)),IF(FIND("-",$B212)&gt;0,MID($B212,FIND("-",$B212)+1,LEN($B212)))),""))),""))&lt;64,_xlfn.IFNA(IF(IFERROR(IF(FIND("_",$B212)&gt;0,MID($B212,FIND("_",$B212)+1,LEN($B212)),IF(FIND("-",$B212)&gt;0,MID($B212,FIND("-",$B212)+1,LEN($B212)))),"")="",IFERROR(VLOOKUP($F212,WP!$B$2:$C$23,2,0),VLOOKUP($C212,Series!$A$3:$F$11,6,0)),IFERROR(VLOOKUP($F212,WP!$B$2:$C$23,2,0),VLOOKUP($C212,Series!$A$3:$F$11,6,0))&amp;" - "&amp;(IFERROR(IF(FIND("_",$B212)&gt;0,MID($B212,FIND("_",$B212)+1,LEN($B212)),IF(FIND("-",$B212)&gt;0,MID($B212,FIND("-",$B212)+1,LEN($B212)))),""))),""),LEFT((_xlfn.IFNA(IF(IFERROR(IF(FIND("_",$B212)&gt;0,MID($B212,FIND("_",$B212)+1,LEN($B212)),IF(FIND("-",$B212)&gt;0,MID($B212,FIND("-",$B212)+1,LEN($B212)))),"")="",IFERROR(VLOOKUP($F212,WP!$B$2:$C$23,2,0),VLOOKUP($C212,Series!$A$3:$F$11,6,0)),IFERROR(VLOOKUP($F212,WP!$B$2:$C$23,2,0),VLOOKUP($C212,Series!$A$3:$F$11,6,0))&amp;" - "&amp;(IFERROR(IF(FIND("_",$B212)&gt;0,MID($B212,FIND("_",$B212)+1,LEN($B212)),IF(FIND("-",$B212)&gt;0,MID($B212,FIND("-",$B212)+1,LEN($B212)))),""))),"")),64))</f>
        <v/>
      </c>
      <c r="H212" s="12"/>
      <c r="I212" s="12" t="str">
        <f>IF($D212&lt;&gt;"",COUNTIF($D$7:$D212,"="&amp;$D212),"")</f>
        <v/>
      </c>
      <c r="J212"/>
      <c r="K212" s="8"/>
      <c r="L212"/>
    </row>
    <row r="213" spans="1:12" x14ac:dyDescent="0.3">
      <c r="A213" s="1"/>
      <c r="B213" s="26"/>
      <c r="C213" s="12" t="str">
        <f>_xlfn.IFNA(IFERROR(IF(FIND("_",$B213)&gt;0,INDEX(WP!$A$2:$F$23,MATCH(LEFT($B213,FIND("_",$B213)-1),WP!$E$2:$E$23,0),1),IF(FIND("-",$B213)&gt;0,INDEX(WP!$A$2:$F$23,MATCH(LEFT($B213,FIND("_",$B213)-1),WP!$E$2:$E$23,0),1))),INDEX(WP!$A$2:$F$23,MATCH(Results!$B213,WP!$E$2:$E$23,0),1)),"")</f>
        <v/>
      </c>
      <c r="D213" s="12" t="str">
        <f>IFERROR(IFERROR(IF(RIGHT(INDEX(WP!$A$2:$F$23,MATCH(IF(FIND("_",$B213)&gt;0,LEFT($B213,FIND("_",$B213)-1)),WP!$E$2:$E$23,0),2),6)="Series",LEFT(INDEX(WP!$A$2:$F$23,MATCH(IF(FIND("_",$B213)&gt;0,LEFT($B213,FIND("_",$B213)-1)),WP!$E$2:$E$23,0),2),5),""),IF(RIGHT(INDEX(WP!$A$2:$F$23,MATCH($B213,WP!$E$2:$E$23,0),2),6)="Series",LEFT(INDEX(WP!$A$2:$F$23,MATCH($B213,WP!$E$2:$E$23,0),2),5),"")),"")</f>
        <v/>
      </c>
      <c r="E213" s="17" t="str">
        <f>IFERROR(VLOOKUP(VALUE($D213),Series!$B$3:$F$11,2,0),"")</f>
        <v/>
      </c>
      <c r="F213" s="12" t="str">
        <f>_xlfn.IFNA(IF(IF($D213&lt;&gt;"",COUNTIF($E:$E,"="&amp;$D213),"")="",IF(RIGHT(IFERROR(IF(FIND("_",$B213)&gt;0,INDEX(WP!$A$2:$F$23,MATCH(LEFT($B213,FIND("_",$B213)-1),WP!$E$2:$E$23,0),2),IF(FIND("-",$B213)&gt;0,INDEX(WP!$A$2:$F$23,MATCH(LEFT($B213,FIND("_",$B213)-1),WP!$E$2:$E$23,0),2))),INDEX(WP!$A$2:$F$23,MATCH(Results!$B213,WP!$E$2:$E$23,0),2)),6)="Series",LEFT(IFERROR(IF(FIND("_",$B213)&gt;0,INDEX(WP!$A$2:$F$23,MATCH(LEFT($B213,FIND("_",$B213)-1),WP!$E$2:$E$23,0),2),IF(FIND("-",$B213)&gt;0,INDEX(WP!$A$2:$F$23,MATCH(LEFT($B213,FIND("_",$B213)-1),WP!$E$2:$E$23,0),2))),INDEX(WP!$A$2:$F$23,MATCH(Results!$B213,WP!$E$2:$E$23,0),2)),5),(IFERROR(IF(FIND("_",$B213)&gt;0,INDEX(WP!$A$2:$F$23,MATCH(LEFT($B213,FIND("_",$B213)-1),WP!$E$2:$E$23,0),2),IF(FIND("-",$B213)&gt;0,INDEX(WP!$A$2:$F$23,MATCH(LEFT($B213,FIND("_",$B213)-1),WP!$E$2:$E$23,0),2))),INDEX(WP!$A$2:$F$23,MATCH(Results!$B213,WP!$E$2:$E$23,0),2)))),IF(RIGHT(IFERROR(IF(FIND("_",$B213)&gt;0,INDEX(WP!$A$2:$F$23,MATCH(LEFT($B213,FIND("_",$B213)-1),WP!$E$2:$E$23,0),2),IF(FIND("-",$B213)&gt;0,INDEX(WP!$A$2:$F$23,MATCH(LEFT($B213,FIND("_",$B213)-1),WP!$E$2:$E$23,0),2))),INDEX(WP!$A$2:$F$23,MATCH(Results!$B213,WP!$E$2:$E$23,0),2)),6)="Series",LEFT(IFERROR(IF(FIND("_",$B213)&gt;0,INDEX(WP!$A$2:$F$23,MATCH(LEFT($B213,FIND("_",$B213)-1),WP!$E$2:$E$23,0),2),IF(FIND("-",$B213)&gt;0,INDEX(WP!$A$2:$F$23,MATCH(LEFT($B213,FIND("_",$B213)-1),WP!$E$2:$E$23,0),2))),INDEX(WP!$A$2:$F$23,MATCH(Results!$B213,WP!$E$2:$E$23,0),2)),5),(IFERROR(IF(FIND("_",$B213)&gt;0,INDEX(WP!$A$2:$F$23,MATCH(LEFT($B213,FIND("_",$B213)-1),WP!$E$2:$E$23,0),2),IF(FIND("-",$B213)&gt;0,INDEX(WP!$A$2:$F$23,MATCH(LEFT($B213,FIND("_",$B213)-1),WP!$E$2:$E$23,0),2))),INDEX(WP!$A$2:$F$23,MATCH(Results!$B213,WP!$E$2:$E$23,0),2))))&amp;"-"&amp;$I213),"")</f>
        <v/>
      </c>
      <c r="G213" s="17" t="str">
        <f>IF(LEN(_xlfn.IFNA(IF(IFERROR(IF(FIND("_",$B213)&gt;0,MID($B213,FIND("_",$B213)+1,LEN($B213)),IF(FIND("-",$B213)&gt;0,MID($B213,FIND("-",$B213)+1,LEN($B213)))),"")="",IFERROR(VLOOKUP($F213,WP!$B$2:$C$23,2,0),VLOOKUP($C213,Series!$A$3:$F$11,6,0)),IFERROR(VLOOKUP($F213,WP!$B$2:$C$23,2,0),VLOOKUP($C213,Series!$A$3:$F$11,6,0))&amp;" - "&amp;(IFERROR(IF(FIND("_",$B213)&gt;0,MID($B213,FIND("_",$B213)+1,LEN($B213)),IF(FIND("-",$B213)&gt;0,MID($B213,FIND("-",$B213)+1,LEN($B213)))),""))),""))&lt;64,_xlfn.IFNA(IF(IFERROR(IF(FIND("_",$B213)&gt;0,MID($B213,FIND("_",$B213)+1,LEN($B213)),IF(FIND("-",$B213)&gt;0,MID($B213,FIND("-",$B213)+1,LEN($B213)))),"")="",IFERROR(VLOOKUP($F213,WP!$B$2:$C$23,2,0),VLOOKUP($C213,Series!$A$3:$F$11,6,0)),IFERROR(VLOOKUP($F213,WP!$B$2:$C$23,2,0),VLOOKUP($C213,Series!$A$3:$F$11,6,0))&amp;" - "&amp;(IFERROR(IF(FIND("_",$B213)&gt;0,MID($B213,FIND("_",$B213)+1,LEN($B213)),IF(FIND("-",$B213)&gt;0,MID($B213,FIND("-",$B213)+1,LEN($B213)))),""))),""),LEFT((_xlfn.IFNA(IF(IFERROR(IF(FIND("_",$B213)&gt;0,MID($B213,FIND("_",$B213)+1,LEN($B213)),IF(FIND("-",$B213)&gt;0,MID($B213,FIND("-",$B213)+1,LEN($B213)))),"")="",IFERROR(VLOOKUP($F213,WP!$B$2:$C$23,2,0),VLOOKUP($C213,Series!$A$3:$F$11,6,0)),IFERROR(VLOOKUP($F213,WP!$B$2:$C$23,2,0),VLOOKUP($C213,Series!$A$3:$F$11,6,0))&amp;" - "&amp;(IFERROR(IF(FIND("_",$B213)&gt;0,MID($B213,FIND("_",$B213)+1,LEN($B213)),IF(FIND("-",$B213)&gt;0,MID($B213,FIND("-",$B213)+1,LEN($B213)))),""))),"")),64))</f>
        <v/>
      </c>
      <c r="H213" s="12"/>
      <c r="I213" s="12" t="str">
        <f>IF($D213&lt;&gt;"",COUNTIF($D$7:$D213,"="&amp;$D213),"")</f>
        <v/>
      </c>
      <c r="J213"/>
      <c r="K213" s="8"/>
      <c r="L213"/>
    </row>
    <row r="214" spans="1:12" x14ac:dyDescent="0.3">
      <c r="A214" s="1"/>
      <c r="B214" s="26"/>
      <c r="C214" s="12" t="str">
        <f>_xlfn.IFNA(IFERROR(IF(FIND("_",$B214)&gt;0,INDEX(WP!$A$2:$F$23,MATCH(LEFT($B214,FIND("_",$B214)-1),WP!$E$2:$E$23,0),1),IF(FIND("-",$B214)&gt;0,INDEX(WP!$A$2:$F$23,MATCH(LEFT($B214,FIND("_",$B214)-1),WP!$E$2:$E$23,0),1))),INDEX(WP!$A$2:$F$23,MATCH(Results!$B214,WP!$E$2:$E$23,0),1)),"")</f>
        <v/>
      </c>
      <c r="D214" s="12" t="str">
        <f>IFERROR(IFERROR(IF(RIGHT(INDEX(WP!$A$2:$F$23,MATCH(IF(FIND("_",$B214)&gt;0,LEFT($B214,FIND("_",$B214)-1)),WP!$E$2:$E$23,0),2),6)="Series",LEFT(INDEX(WP!$A$2:$F$23,MATCH(IF(FIND("_",$B214)&gt;0,LEFT($B214,FIND("_",$B214)-1)),WP!$E$2:$E$23,0),2),5),""),IF(RIGHT(INDEX(WP!$A$2:$F$23,MATCH($B214,WP!$E$2:$E$23,0),2),6)="Series",LEFT(INDEX(WP!$A$2:$F$23,MATCH($B214,WP!$E$2:$E$23,0),2),5),"")),"")</f>
        <v/>
      </c>
      <c r="E214" s="17" t="str">
        <f>IFERROR(VLOOKUP(VALUE($D214),Series!$B$3:$F$11,2,0),"")</f>
        <v/>
      </c>
      <c r="F214" s="12" t="str">
        <f>_xlfn.IFNA(IF(IF($D214&lt;&gt;"",COUNTIF($E:$E,"="&amp;$D214),"")="",IF(RIGHT(IFERROR(IF(FIND("_",$B214)&gt;0,INDEX(WP!$A$2:$F$23,MATCH(LEFT($B214,FIND("_",$B214)-1),WP!$E$2:$E$23,0),2),IF(FIND("-",$B214)&gt;0,INDEX(WP!$A$2:$F$23,MATCH(LEFT($B214,FIND("_",$B214)-1),WP!$E$2:$E$23,0),2))),INDEX(WP!$A$2:$F$23,MATCH(Results!$B214,WP!$E$2:$E$23,0),2)),6)="Series",LEFT(IFERROR(IF(FIND("_",$B214)&gt;0,INDEX(WP!$A$2:$F$23,MATCH(LEFT($B214,FIND("_",$B214)-1),WP!$E$2:$E$23,0),2),IF(FIND("-",$B214)&gt;0,INDEX(WP!$A$2:$F$23,MATCH(LEFT($B214,FIND("_",$B214)-1),WP!$E$2:$E$23,0),2))),INDEX(WP!$A$2:$F$23,MATCH(Results!$B214,WP!$E$2:$E$23,0),2)),5),(IFERROR(IF(FIND("_",$B214)&gt;0,INDEX(WP!$A$2:$F$23,MATCH(LEFT($B214,FIND("_",$B214)-1),WP!$E$2:$E$23,0),2),IF(FIND("-",$B214)&gt;0,INDEX(WP!$A$2:$F$23,MATCH(LEFT($B214,FIND("_",$B214)-1),WP!$E$2:$E$23,0),2))),INDEX(WP!$A$2:$F$23,MATCH(Results!$B214,WP!$E$2:$E$23,0),2)))),IF(RIGHT(IFERROR(IF(FIND("_",$B214)&gt;0,INDEX(WP!$A$2:$F$23,MATCH(LEFT($B214,FIND("_",$B214)-1),WP!$E$2:$E$23,0),2),IF(FIND("-",$B214)&gt;0,INDEX(WP!$A$2:$F$23,MATCH(LEFT($B214,FIND("_",$B214)-1),WP!$E$2:$E$23,0),2))),INDEX(WP!$A$2:$F$23,MATCH(Results!$B214,WP!$E$2:$E$23,0),2)),6)="Series",LEFT(IFERROR(IF(FIND("_",$B214)&gt;0,INDEX(WP!$A$2:$F$23,MATCH(LEFT($B214,FIND("_",$B214)-1),WP!$E$2:$E$23,0),2),IF(FIND("-",$B214)&gt;0,INDEX(WP!$A$2:$F$23,MATCH(LEFT($B214,FIND("_",$B214)-1),WP!$E$2:$E$23,0),2))),INDEX(WP!$A$2:$F$23,MATCH(Results!$B214,WP!$E$2:$E$23,0),2)),5),(IFERROR(IF(FIND("_",$B214)&gt;0,INDEX(WP!$A$2:$F$23,MATCH(LEFT($B214,FIND("_",$B214)-1),WP!$E$2:$E$23,0),2),IF(FIND("-",$B214)&gt;0,INDEX(WP!$A$2:$F$23,MATCH(LEFT($B214,FIND("_",$B214)-1),WP!$E$2:$E$23,0),2))),INDEX(WP!$A$2:$F$23,MATCH(Results!$B214,WP!$E$2:$E$23,0),2))))&amp;"-"&amp;$I214),"")</f>
        <v/>
      </c>
      <c r="G214" s="17" t="str">
        <f>IF(LEN(_xlfn.IFNA(IF(IFERROR(IF(FIND("_",$B214)&gt;0,MID($B214,FIND("_",$B214)+1,LEN($B214)),IF(FIND("-",$B214)&gt;0,MID($B214,FIND("-",$B214)+1,LEN($B214)))),"")="",IFERROR(VLOOKUP($F214,WP!$B$2:$C$23,2,0),VLOOKUP($C214,Series!$A$3:$F$11,6,0)),IFERROR(VLOOKUP($F214,WP!$B$2:$C$23,2,0),VLOOKUP($C214,Series!$A$3:$F$11,6,0))&amp;" - "&amp;(IFERROR(IF(FIND("_",$B214)&gt;0,MID($B214,FIND("_",$B214)+1,LEN($B214)),IF(FIND("-",$B214)&gt;0,MID($B214,FIND("-",$B214)+1,LEN($B214)))),""))),""))&lt;64,_xlfn.IFNA(IF(IFERROR(IF(FIND("_",$B214)&gt;0,MID($B214,FIND("_",$B214)+1,LEN($B214)),IF(FIND("-",$B214)&gt;0,MID($B214,FIND("-",$B214)+1,LEN($B214)))),"")="",IFERROR(VLOOKUP($F214,WP!$B$2:$C$23,2,0),VLOOKUP($C214,Series!$A$3:$F$11,6,0)),IFERROR(VLOOKUP($F214,WP!$B$2:$C$23,2,0),VLOOKUP($C214,Series!$A$3:$F$11,6,0))&amp;" - "&amp;(IFERROR(IF(FIND("_",$B214)&gt;0,MID($B214,FIND("_",$B214)+1,LEN($B214)),IF(FIND("-",$B214)&gt;0,MID($B214,FIND("-",$B214)+1,LEN($B214)))),""))),""),LEFT((_xlfn.IFNA(IF(IFERROR(IF(FIND("_",$B214)&gt;0,MID($B214,FIND("_",$B214)+1,LEN($B214)),IF(FIND("-",$B214)&gt;0,MID($B214,FIND("-",$B214)+1,LEN($B214)))),"")="",IFERROR(VLOOKUP($F214,WP!$B$2:$C$23,2,0),VLOOKUP($C214,Series!$A$3:$F$11,6,0)),IFERROR(VLOOKUP($F214,WP!$B$2:$C$23,2,0),VLOOKUP($C214,Series!$A$3:$F$11,6,0))&amp;" - "&amp;(IFERROR(IF(FIND("_",$B214)&gt;0,MID($B214,FIND("_",$B214)+1,LEN($B214)),IF(FIND("-",$B214)&gt;0,MID($B214,FIND("-",$B214)+1,LEN($B214)))),""))),"")),64))</f>
        <v/>
      </c>
      <c r="H214" s="12"/>
      <c r="I214" s="12" t="str">
        <f>IF($D214&lt;&gt;"",COUNTIF($D$7:$D214,"="&amp;$D214),"")</f>
        <v/>
      </c>
      <c r="J214"/>
      <c r="K214" s="8"/>
      <c r="L214"/>
    </row>
    <row r="215" spans="1:12" x14ac:dyDescent="0.3">
      <c r="A215" s="1"/>
      <c r="B215" s="26"/>
      <c r="C215" s="12" t="str">
        <f>_xlfn.IFNA(IFERROR(IF(FIND("_",$B215)&gt;0,INDEX(WP!$A$2:$F$23,MATCH(LEFT($B215,FIND("_",$B215)-1),WP!$E$2:$E$23,0),1),IF(FIND("-",$B215)&gt;0,INDEX(WP!$A$2:$F$23,MATCH(LEFT($B215,FIND("_",$B215)-1),WP!$E$2:$E$23,0),1))),INDEX(WP!$A$2:$F$23,MATCH(Results!$B215,WP!$E$2:$E$23,0),1)),"")</f>
        <v/>
      </c>
      <c r="D215" s="12" t="str">
        <f>IFERROR(IFERROR(IF(RIGHT(INDEX(WP!$A$2:$F$23,MATCH(IF(FIND("_",$B215)&gt;0,LEFT($B215,FIND("_",$B215)-1)),WP!$E$2:$E$23,0),2),6)="Series",LEFT(INDEX(WP!$A$2:$F$23,MATCH(IF(FIND("_",$B215)&gt;0,LEFT($B215,FIND("_",$B215)-1)),WP!$E$2:$E$23,0),2),5),""),IF(RIGHT(INDEX(WP!$A$2:$F$23,MATCH($B215,WP!$E$2:$E$23,0),2),6)="Series",LEFT(INDEX(WP!$A$2:$F$23,MATCH($B215,WP!$E$2:$E$23,0),2),5),"")),"")</f>
        <v/>
      </c>
      <c r="E215" s="17" t="str">
        <f>IFERROR(VLOOKUP(VALUE($D215),Series!$B$3:$F$11,2,0),"")</f>
        <v/>
      </c>
      <c r="F215" s="12" t="str">
        <f>_xlfn.IFNA(IF(IF($D215&lt;&gt;"",COUNTIF($E:$E,"="&amp;$D215),"")="",IF(RIGHT(IFERROR(IF(FIND("_",$B215)&gt;0,INDEX(WP!$A$2:$F$23,MATCH(LEFT($B215,FIND("_",$B215)-1),WP!$E$2:$E$23,0),2),IF(FIND("-",$B215)&gt;0,INDEX(WP!$A$2:$F$23,MATCH(LEFT($B215,FIND("_",$B215)-1),WP!$E$2:$E$23,0),2))),INDEX(WP!$A$2:$F$23,MATCH(Results!$B215,WP!$E$2:$E$23,0),2)),6)="Series",LEFT(IFERROR(IF(FIND("_",$B215)&gt;0,INDEX(WP!$A$2:$F$23,MATCH(LEFT($B215,FIND("_",$B215)-1),WP!$E$2:$E$23,0),2),IF(FIND("-",$B215)&gt;0,INDEX(WP!$A$2:$F$23,MATCH(LEFT($B215,FIND("_",$B215)-1),WP!$E$2:$E$23,0),2))),INDEX(WP!$A$2:$F$23,MATCH(Results!$B215,WP!$E$2:$E$23,0),2)),5),(IFERROR(IF(FIND("_",$B215)&gt;0,INDEX(WP!$A$2:$F$23,MATCH(LEFT($B215,FIND("_",$B215)-1),WP!$E$2:$E$23,0),2),IF(FIND("-",$B215)&gt;0,INDEX(WP!$A$2:$F$23,MATCH(LEFT($B215,FIND("_",$B215)-1),WP!$E$2:$E$23,0),2))),INDEX(WP!$A$2:$F$23,MATCH(Results!$B215,WP!$E$2:$E$23,0),2)))),IF(RIGHT(IFERROR(IF(FIND("_",$B215)&gt;0,INDEX(WP!$A$2:$F$23,MATCH(LEFT($B215,FIND("_",$B215)-1),WP!$E$2:$E$23,0),2),IF(FIND("-",$B215)&gt;0,INDEX(WP!$A$2:$F$23,MATCH(LEFT($B215,FIND("_",$B215)-1),WP!$E$2:$E$23,0),2))),INDEX(WP!$A$2:$F$23,MATCH(Results!$B215,WP!$E$2:$E$23,0),2)),6)="Series",LEFT(IFERROR(IF(FIND("_",$B215)&gt;0,INDEX(WP!$A$2:$F$23,MATCH(LEFT($B215,FIND("_",$B215)-1),WP!$E$2:$E$23,0),2),IF(FIND("-",$B215)&gt;0,INDEX(WP!$A$2:$F$23,MATCH(LEFT($B215,FIND("_",$B215)-1),WP!$E$2:$E$23,0),2))),INDEX(WP!$A$2:$F$23,MATCH(Results!$B215,WP!$E$2:$E$23,0),2)),5),(IFERROR(IF(FIND("_",$B215)&gt;0,INDEX(WP!$A$2:$F$23,MATCH(LEFT($B215,FIND("_",$B215)-1),WP!$E$2:$E$23,0),2),IF(FIND("-",$B215)&gt;0,INDEX(WP!$A$2:$F$23,MATCH(LEFT($B215,FIND("_",$B215)-1),WP!$E$2:$E$23,0),2))),INDEX(WP!$A$2:$F$23,MATCH(Results!$B215,WP!$E$2:$E$23,0),2))))&amp;"-"&amp;$I215),"")</f>
        <v/>
      </c>
      <c r="G215" s="17" t="str">
        <f>IF(LEN(_xlfn.IFNA(IF(IFERROR(IF(FIND("_",$B215)&gt;0,MID($B215,FIND("_",$B215)+1,LEN($B215)),IF(FIND("-",$B215)&gt;0,MID($B215,FIND("-",$B215)+1,LEN($B215)))),"")="",IFERROR(VLOOKUP($F215,WP!$B$2:$C$23,2,0),VLOOKUP($C215,Series!$A$3:$F$11,6,0)),IFERROR(VLOOKUP($F215,WP!$B$2:$C$23,2,0),VLOOKUP($C215,Series!$A$3:$F$11,6,0))&amp;" - "&amp;(IFERROR(IF(FIND("_",$B215)&gt;0,MID($B215,FIND("_",$B215)+1,LEN($B215)),IF(FIND("-",$B215)&gt;0,MID($B215,FIND("-",$B215)+1,LEN($B215)))),""))),""))&lt;64,_xlfn.IFNA(IF(IFERROR(IF(FIND("_",$B215)&gt;0,MID($B215,FIND("_",$B215)+1,LEN($B215)),IF(FIND("-",$B215)&gt;0,MID($B215,FIND("-",$B215)+1,LEN($B215)))),"")="",IFERROR(VLOOKUP($F215,WP!$B$2:$C$23,2,0),VLOOKUP($C215,Series!$A$3:$F$11,6,0)),IFERROR(VLOOKUP($F215,WP!$B$2:$C$23,2,0),VLOOKUP($C215,Series!$A$3:$F$11,6,0))&amp;" - "&amp;(IFERROR(IF(FIND("_",$B215)&gt;0,MID($B215,FIND("_",$B215)+1,LEN($B215)),IF(FIND("-",$B215)&gt;0,MID($B215,FIND("-",$B215)+1,LEN($B215)))),""))),""),LEFT((_xlfn.IFNA(IF(IFERROR(IF(FIND("_",$B215)&gt;0,MID($B215,FIND("_",$B215)+1,LEN($B215)),IF(FIND("-",$B215)&gt;0,MID($B215,FIND("-",$B215)+1,LEN($B215)))),"")="",IFERROR(VLOOKUP($F215,WP!$B$2:$C$23,2,0),VLOOKUP($C215,Series!$A$3:$F$11,6,0)),IFERROR(VLOOKUP($F215,WP!$B$2:$C$23,2,0),VLOOKUP($C215,Series!$A$3:$F$11,6,0))&amp;" - "&amp;(IFERROR(IF(FIND("_",$B215)&gt;0,MID($B215,FIND("_",$B215)+1,LEN($B215)),IF(FIND("-",$B215)&gt;0,MID($B215,FIND("-",$B215)+1,LEN($B215)))),""))),"")),64))</f>
        <v/>
      </c>
      <c r="H215" s="12"/>
      <c r="I215" s="12" t="str">
        <f>IF($D215&lt;&gt;"",COUNTIF($D$7:$D215,"="&amp;$D215),"")</f>
        <v/>
      </c>
      <c r="J215"/>
      <c r="K215" s="8"/>
      <c r="L215"/>
    </row>
    <row r="216" spans="1:12" x14ac:dyDescent="0.3">
      <c r="A216" s="1"/>
      <c r="B216" s="26"/>
      <c r="C216" s="12" t="str">
        <f>_xlfn.IFNA(IFERROR(IF(FIND("_",$B216)&gt;0,INDEX(WP!$A$2:$F$23,MATCH(LEFT($B216,FIND("_",$B216)-1),WP!$E$2:$E$23,0),1),IF(FIND("-",$B216)&gt;0,INDEX(WP!$A$2:$F$23,MATCH(LEFT($B216,FIND("_",$B216)-1),WP!$E$2:$E$23,0),1))),INDEX(WP!$A$2:$F$23,MATCH(Results!$B216,WP!$E$2:$E$23,0),1)),"")</f>
        <v/>
      </c>
      <c r="D216" s="12" t="str">
        <f>IFERROR(IFERROR(IF(RIGHT(INDEX(WP!$A$2:$F$23,MATCH(IF(FIND("_",$B216)&gt;0,LEFT($B216,FIND("_",$B216)-1)),WP!$E$2:$E$23,0),2),6)="Series",LEFT(INDEX(WP!$A$2:$F$23,MATCH(IF(FIND("_",$B216)&gt;0,LEFT($B216,FIND("_",$B216)-1)),WP!$E$2:$E$23,0),2),5),""),IF(RIGHT(INDEX(WP!$A$2:$F$23,MATCH($B216,WP!$E$2:$E$23,0),2),6)="Series",LEFT(INDEX(WP!$A$2:$F$23,MATCH($B216,WP!$E$2:$E$23,0),2),5),"")),"")</f>
        <v/>
      </c>
      <c r="E216" s="17" t="str">
        <f>IFERROR(VLOOKUP(VALUE($D216),Series!$B$3:$F$11,2,0),"")</f>
        <v/>
      </c>
      <c r="F216" s="12" t="str">
        <f>_xlfn.IFNA(IF(IF($D216&lt;&gt;"",COUNTIF($E:$E,"="&amp;$D216),"")="",IF(RIGHT(IFERROR(IF(FIND("_",$B216)&gt;0,INDEX(WP!$A$2:$F$23,MATCH(LEFT($B216,FIND("_",$B216)-1),WP!$E$2:$E$23,0),2),IF(FIND("-",$B216)&gt;0,INDEX(WP!$A$2:$F$23,MATCH(LEFT($B216,FIND("_",$B216)-1),WP!$E$2:$E$23,0),2))),INDEX(WP!$A$2:$F$23,MATCH(Results!$B216,WP!$E$2:$E$23,0),2)),6)="Series",LEFT(IFERROR(IF(FIND("_",$B216)&gt;0,INDEX(WP!$A$2:$F$23,MATCH(LEFT($B216,FIND("_",$B216)-1),WP!$E$2:$E$23,0),2),IF(FIND("-",$B216)&gt;0,INDEX(WP!$A$2:$F$23,MATCH(LEFT($B216,FIND("_",$B216)-1),WP!$E$2:$E$23,0),2))),INDEX(WP!$A$2:$F$23,MATCH(Results!$B216,WP!$E$2:$E$23,0),2)),5),(IFERROR(IF(FIND("_",$B216)&gt;0,INDEX(WP!$A$2:$F$23,MATCH(LEFT($B216,FIND("_",$B216)-1),WP!$E$2:$E$23,0),2),IF(FIND("-",$B216)&gt;0,INDEX(WP!$A$2:$F$23,MATCH(LEFT($B216,FIND("_",$B216)-1),WP!$E$2:$E$23,0),2))),INDEX(WP!$A$2:$F$23,MATCH(Results!$B216,WP!$E$2:$E$23,0),2)))),IF(RIGHT(IFERROR(IF(FIND("_",$B216)&gt;0,INDEX(WP!$A$2:$F$23,MATCH(LEFT($B216,FIND("_",$B216)-1),WP!$E$2:$E$23,0),2),IF(FIND("-",$B216)&gt;0,INDEX(WP!$A$2:$F$23,MATCH(LEFT($B216,FIND("_",$B216)-1),WP!$E$2:$E$23,0),2))),INDEX(WP!$A$2:$F$23,MATCH(Results!$B216,WP!$E$2:$E$23,0),2)),6)="Series",LEFT(IFERROR(IF(FIND("_",$B216)&gt;0,INDEX(WP!$A$2:$F$23,MATCH(LEFT($B216,FIND("_",$B216)-1),WP!$E$2:$E$23,0),2),IF(FIND("-",$B216)&gt;0,INDEX(WP!$A$2:$F$23,MATCH(LEFT($B216,FIND("_",$B216)-1),WP!$E$2:$E$23,0),2))),INDEX(WP!$A$2:$F$23,MATCH(Results!$B216,WP!$E$2:$E$23,0),2)),5),(IFERROR(IF(FIND("_",$B216)&gt;0,INDEX(WP!$A$2:$F$23,MATCH(LEFT($B216,FIND("_",$B216)-1),WP!$E$2:$E$23,0),2),IF(FIND("-",$B216)&gt;0,INDEX(WP!$A$2:$F$23,MATCH(LEFT($B216,FIND("_",$B216)-1),WP!$E$2:$E$23,0),2))),INDEX(WP!$A$2:$F$23,MATCH(Results!$B216,WP!$E$2:$E$23,0),2))))&amp;"-"&amp;$I216),"")</f>
        <v/>
      </c>
      <c r="G216" s="17" t="str">
        <f>IF(LEN(_xlfn.IFNA(IF(IFERROR(IF(FIND("_",$B216)&gt;0,MID($B216,FIND("_",$B216)+1,LEN($B216)),IF(FIND("-",$B216)&gt;0,MID($B216,FIND("-",$B216)+1,LEN($B216)))),"")="",IFERROR(VLOOKUP($F216,WP!$B$2:$C$23,2,0),VLOOKUP($C216,Series!$A$3:$F$11,6,0)),IFERROR(VLOOKUP($F216,WP!$B$2:$C$23,2,0),VLOOKUP($C216,Series!$A$3:$F$11,6,0))&amp;" - "&amp;(IFERROR(IF(FIND("_",$B216)&gt;0,MID($B216,FIND("_",$B216)+1,LEN($B216)),IF(FIND("-",$B216)&gt;0,MID($B216,FIND("-",$B216)+1,LEN($B216)))),""))),""))&lt;64,_xlfn.IFNA(IF(IFERROR(IF(FIND("_",$B216)&gt;0,MID($B216,FIND("_",$B216)+1,LEN($B216)),IF(FIND("-",$B216)&gt;0,MID($B216,FIND("-",$B216)+1,LEN($B216)))),"")="",IFERROR(VLOOKUP($F216,WP!$B$2:$C$23,2,0),VLOOKUP($C216,Series!$A$3:$F$11,6,0)),IFERROR(VLOOKUP($F216,WP!$B$2:$C$23,2,0),VLOOKUP($C216,Series!$A$3:$F$11,6,0))&amp;" - "&amp;(IFERROR(IF(FIND("_",$B216)&gt;0,MID($B216,FIND("_",$B216)+1,LEN($B216)),IF(FIND("-",$B216)&gt;0,MID($B216,FIND("-",$B216)+1,LEN($B216)))),""))),""),LEFT((_xlfn.IFNA(IF(IFERROR(IF(FIND("_",$B216)&gt;0,MID($B216,FIND("_",$B216)+1,LEN($B216)),IF(FIND("-",$B216)&gt;0,MID($B216,FIND("-",$B216)+1,LEN($B216)))),"")="",IFERROR(VLOOKUP($F216,WP!$B$2:$C$23,2,0),VLOOKUP($C216,Series!$A$3:$F$11,6,0)),IFERROR(VLOOKUP($F216,WP!$B$2:$C$23,2,0),VLOOKUP($C216,Series!$A$3:$F$11,6,0))&amp;" - "&amp;(IFERROR(IF(FIND("_",$B216)&gt;0,MID($B216,FIND("_",$B216)+1,LEN($B216)),IF(FIND("-",$B216)&gt;0,MID($B216,FIND("-",$B216)+1,LEN($B216)))),""))),"")),64))</f>
        <v/>
      </c>
      <c r="H216" s="12"/>
      <c r="I216" s="12" t="str">
        <f>IF($D216&lt;&gt;"",COUNTIF($D$7:$D216,"="&amp;$D216),"")</f>
        <v/>
      </c>
      <c r="J216"/>
      <c r="K216" s="8"/>
      <c r="L216"/>
    </row>
    <row r="217" spans="1:12" x14ac:dyDescent="0.3">
      <c r="A217" s="1"/>
      <c r="B217" s="26"/>
      <c r="C217" s="12" t="str">
        <f>_xlfn.IFNA(IFERROR(IF(FIND("_",$B217)&gt;0,INDEX(WP!$A$2:$F$23,MATCH(LEFT($B217,FIND("_",$B217)-1),WP!$E$2:$E$23,0),1),IF(FIND("-",$B217)&gt;0,INDEX(WP!$A$2:$F$23,MATCH(LEFT($B217,FIND("_",$B217)-1),WP!$E$2:$E$23,0),1))),INDEX(WP!$A$2:$F$23,MATCH(Results!$B217,WP!$E$2:$E$23,0),1)),"")</f>
        <v/>
      </c>
      <c r="D217" s="12" t="str">
        <f>IFERROR(IFERROR(IF(RIGHT(INDEX(WP!$A$2:$F$23,MATCH(IF(FIND("_",$B217)&gt;0,LEFT($B217,FIND("_",$B217)-1)),WP!$E$2:$E$23,0),2),6)="Series",LEFT(INDEX(WP!$A$2:$F$23,MATCH(IF(FIND("_",$B217)&gt;0,LEFT($B217,FIND("_",$B217)-1)),WP!$E$2:$E$23,0),2),5),""),IF(RIGHT(INDEX(WP!$A$2:$F$23,MATCH($B217,WP!$E$2:$E$23,0),2),6)="Series",LEFT(INDEX(WP!$A$2:$F$23,MATCH($B217,WP!$E$2:$E$23,0),2),5),"")),"")</f>
        <v/>
      </c>
      <c r="E217" s="17" t="str">
        <f>IFERROR(VLOOKUP(VALUE($D217),Series!$B$3:$F$11,2,0),"")</f>
        <v/>
      </c>
      <c r="F217" s="12" t="str">
        <f>_xlfn.IFNA(IF(IF($D217&lt;&gt;"",COUNTIF($E:$E,"="&amp;$D217),"")="",IF(RIGHT(IFERROR(IF(FIND("_",$B217)&gt;0,INDEX(WP!$A$2:$F$23,MATCH(LEFT($B217,FIND("_",$B217)-1),WP!$E$2:$E$23,0),2),IF(FIND("-",$B217)&gt;0,INDEX(WP!$A$2:$F$23,MATCH(LEFT($B217,FIND("_",$B217)-1),WP!$E$2:$E$23,0),2))),INDEX(WP!$A$2:$F$23,MATCH(Results!$B217,WP!$E$2:$E$23,0),2)),6)="Series",LEFT(IFERROR(IF(FIND("_",$B217)&gt;0,INDEX(WP!$A$2:$F$23,MATCH(LEFT($B217,FIND("_",$B217)-1),WP!$E$2:$E$23,0),2),IF(FIND("-",$B217)&gt;0,INDEX(WP!$A$2:$F$23,MATCH(LEFT($B217,FIND("_",$B217)-1),WP!$E$2:$E$23,0),2))),INDEX(WP!$A$2:$F$23,MATCH(Results!$B217,WP!$E$2:$E$23,0),2)),5),(IFERROR(IF(FIND("_",$B217)&gt;0,INDEX(WP!$A$2:$F$23,MATCH(LEFT($B217,FIND("_",$B217)-1),WP!$E$2:$E$23,0),2),IF(FIND("-",$B217)&gt;0,INDEX(WP!$A$2:$F$23,MATCH(LEFT($B217,FIND("_",$B217)-1),WP!$E$2:$E$23,0),2))),INDEX(WP!$A$2:$F$23,MATCH(Results!$B217,WP!$E$2:$E$23,0),2)))),IF(RIGHT(IFERROR(IF(FIND("_",$B217)&gt;0,INDEX(WP!$A$2:$F$23,MATCH(LEFT($B217,FIND("_",$B217)-1),WP!$E$2:$E$23,0),2),IF(FIND("-",$B217)&gt;0,INDEX(WP!$A$2:$F$23,MATCH(LEFT($B217,FIND("_",$B217)-1),WP!$E$2:$E$23,0),2))),INDEX(WP!$A$2:$F$23,MATCH(Results!$B217,WP!$E$2:$E$23,0),2)),6)="Series",LEFT(IFERROR(IF(FIND("_",$B217)&gt;0,INDEX(WP!$A$2:$F$23,MATCH(LEFT($B217,FIND("_",$B217)-1),WP!$E$2:$E$23,0),2),IF(FIND("-",$B217)&gt;0,INDEX(WP!$A$2:$F$23,MATCH(LEFT($B217,FIND("_",$B217)-1),WP!$E$2:$E$23,0),2))),INDEX(WP!$A$2:$F$23,MATCH(Results!$B217,WP!$E$2:$E$23,0),2)),5),(IFERROR(IF(FIND("_",$B217)&gt;0,INDEX(WP!$A$2:$F$23,MATCH(LEFT($B217,FIND("_",$B217)-1),WP!$E$2:$E$23,0),2),IF(FIND("-",$B217)&gt;0,INDEX(WP!$A$2:$F$23,MATCH(LEFT($B217,FIND("_",$B217)-1),WP!$E$2:$E$23,0),2))),INDEX(WP!$A$2:$F$23,MATCH(Results!$B217,WP!$E$2:$E$23,0),2))))&amp;"-"&amp;$I217),"")</f>
        <v/>
      </c>
      <c r="G217" s="17" t="str">
        <f>IF(LEN(_xlfn.IFNA(IF(IFERROR(IF(FIND("_",$B217)&gt;0,MID($B217,FIND("_",$B217)+1,LEN($B217)),IF(FIND("-",$B217)&gt;0,MID($B217,FIND("-",$B217)+1,LEN($B217)))),"")="",IFERROR(VLOOKUP($F217,WP!$B$2:$C$23,2,0),VLOOKUP($C217,Series!$A$3:$F$11,6,0)),IFERROR(VLOOKUP($F217,WP!$B$2:$C$23,2,0),VLOOKUP($C217,Series!$A$3:$F$11,6,0))&amp;" - "&amp;(IFERROR(IF(FIND("_",$B217)&gt;0,MID($B217,FIND("_",$B217)+1,LEN($B217)),IF(FIND("-",$B217)&gt;0,MID($B217,FIND("-",$B217)+1,LEN($B217)))),""))),""))&lt;64,_xlfn.IFNA(IF(IFERROR(IF(FIND("_",$B217)&gt;0,MID($B217,FIND("_",$B217)+1,LEN($B217)),IF(FIND("-",$B217)&gt;0,MID($B217,FIND("-",$B217)+1,LEN($B217)))),"")="",IFERROR(VLOOKUP($F217,WP!$B$2:$C$23,2,0),VLOOKUP($C217,Series!$A$3:$F$11,6,0)),IFERROR(VLOOKUP($F217,WP!$B$2:$C$23,2,0),VLOOKUP($C217,Series!$A$3:$F$11,6,0))&amp;" - "&amp;(IFERROR(IF(FIND("_",$B217)&gt;0,MID($B217,FIND("_",$B217)+1,LEN($B217)),IF(FIND("-",$B217)&gt;0,MID($B217,FIND("-",$B217)+1,LEN($B217)))),""))),""),LEFT((_xlfn.IFNA(IF(IFERROR(IF(FIND("_",$B217)&gt;0,MID($B217,FIND("_",$B217)+1,LEN($B217)),IF(FIND("-",$B217)&gt;0,MID($B217,FIND("-",$B217)+1,LEN($B217)))),"")="",IFERROR(VLOOKUP($F217,WP!$B$2:$C$23,2,0),VLOOKUP($C217,Series!$A$3:$F$11,6,0)),IFERROR(VLOOKUP($F217,WP!$B$2:$C$23,2,0),VLOOKUP($C217,Series!$A$3:$F$11,6,0))&amp;" - "&amp;(IFERROR(IF(FIND("_",$B217)&gt;0,MID($B217,FIND("_",$B217)+1,LEN($B217)),IF(FIND("-",$B217)&gt;0,MID($B217,FIND("-",$B217)+1,LEN($B217)))),""))),"")),64))</f>
        <v/>
      </c>
      <c r="H217" s="12"/>
      <c r="I217" s="12" t="str">
        <f>IF($D217&lt;&gt;"",COUNTIF($D$7:$D217,"="&amp;$D217),"")</f>
        <v/>
      </c>
      <c r="J217"/>
      <c r="K217" s="8"/>
      <c r="L217"/>
    </row>
    <row r="218" spans="1:12" x14ac:dyDescent="0.3">
      <c r="A218" s="1"/>
      <c r="B218" s="26"/>
      <c r="C218" s="12" t="str">
        <f>_xlfn.IFNA(IFERROR(IF(FIND("_",$B218)&gt;0,INDEX(WP!$A$2:$F$23,MATCH(LEFT($B218,FIND("_",$B218)-1),WP!$E$2:$E$23,0),1),IF(FIND("-",$B218)&gt;0,INDEX(WP!$A$2:$F$23,MATCH(LEFT($B218,FIND("_",$B218)-1),WP!$E$2:$E$23,0),1))),INDEX(WP!$A$2:$F$23,MATCH(Results!$B218,WP!$E$2:$E$23,0),1)),"")</f>
        <v/>
      </c>
      <c r="D218" s="12" t="str">
        <f>IFERROR(IFERROR(IF(RIGHT(INDEX(WP!$A$2:$F$23,MATCH(IF(FIND("_",$B218)&gt;0,LEFT($B218,FIND("_",$B218)-1)),WP!$E$2:$E$23,0),2),6)="Series",LEFT(INDEX(WP!$A$2:$F$23,MATCH(IF(FIND("_",$B218)&gt;0,LEFT($B218,FIND("_",$B218)-1)),WP!$E$2:$E$23,0),2),5),""),IF(RIGHT(INDEX(WP!$A$2:$F$23,MATCH($B218,WP!$E$2:$E$23,0),2),6)="Series",LEFT(INDEX(WP!$A$2:$F$23,MATCH($B218,WP!$E$2:$E$23,0),2),5),"")),"")</f>
        <v/>
      </c>
      <c r="E218" s="17" t="str">
        <f>IFERROR(VLOOKUP(VALUE($D218),Series!$B$3:$F$11,2,0),"")</f>
        <v/>
      </c>
      <c r="F218" s="12" t="str">
        <f>_xlfn.IFNA(IF(IF($D218&lt;&gt;"",COUNTIF($E:$E,"="&amp;$D218),"")="",IF(RIGHT(IFERROR(IF(FIND("_",$B218)&gt;0,INDEX(WP!$A$2:$F$23,MATCH(LEFT($B218,FIND("_",$B218)-1),WP!$E$2:$E$23,0),2),IF(FIND("-",$B218)&gt;0,INDEX(WP!$A$2:$F$23,MATCH(LEFT($B218,FIND("_",$B218)-1),WP!$E$2:$E$23,0),2))),INDEX(WP!$A$2:$F$23,MATCH(Results!$B218,WP!$E$2:$E$23,0),2)),6)="Series",LEFT(IFERROR(IF(FIND("_",$B218)&gt;0,INDEX(WP!$A$2:$F$23,MATCH(LEFT($B218,FIND("_",$B218)-1),WP!$E$2:$E$23,0),2),IF(FIND("-",$B218)&gt;0,INDEX(WP!$A$2:$F$23,MATCH(LEFT($B218,FIND("_",$B218)-1),WP!$E$2:$E$23,0),2))),INDEX(WP!$A$2:$F$23,MATCH(Results!$B218,WP!$E$2:$E$23,0),2)),5),(IFERROR(IF(FIND("_",$B218)&gt;0,INDEX(WP!$A$2:$F$23,MATCH(LEFT($B218,FIND("_",$B218)-1),WP!$E$2:$E$23,0),2),IF(FIND("-",$B218)&gt;0,INDEX(WP!$A$2:$F$23,MATCH(LEFT($B218,FIND("_",$B218)-1),WP!$E$2:$E$23,0),2))),INDEX(WP!$A$2:$F$23,MATCH(Results!$B218,WP!$E$2:$E$23,0),2)))),IF(RIGHT(IFERROR(IF(FIND("_",$B218)&gt;0,INDEX(WP!$A$2:$F$23,MATCH(LEFT($B218,FIND("_",$B218)-1),WP!$E$2:$E$23,0),2),IF(FIND("-",$B218)&gt;0,INDEX(WP!$A$2:$F$23,MATCH(LEFT($B218,FIND("_",$B218)-1),WP!$E$2:$E$23,0),2))),INDEX(WP!$A$2:$F$23,MATCH(Results!$B218,WP!$E$2:$E$23,0),2)),6)="Series",LEFT(IFERROR(IF(FIND("_",$B218)&gt;0,INDEX(WP!$A$2:$F$23,MATCH(LEFT($B218,FIND("_",$B218)-1),WP!$E$2:$E$23,0),2),IF(FIND("-",$B218)&gt;0,INDEX(WP!$A$2:$F$23,MATCH(LEFT($B218,FIND("_",$B218)-1),WP!$E$2:$E$23,0),2))),INDEX(WP!$A$2:$F$23,MATCH(Results!$B218,WP!$E$2:$E$23,0),2)),5),(IFERROR(IF(FIND("_",$B218)&gt;0,INDEX(WP!$A$2:$F$23,MATCH(LEFT($B218,FIND("_",$B218)-1),WP!$E$2:$E$23,0),2),IF(FIND("-",$B218)&gt;0,INDEX(WP!$A$2:$F$23,MATCH(LEFT($B218,FIND("_",$B218)-1),WP!$E$2:$E$23,0),2))),INDEX(WP!$A$2:$F$23,MATCH(Results!$B218,WP!$E$2:$E$23,0),2))))&amp;"-"&amp;$I218),"")</f>
        <v/>
      </c>
      <c r="G218" s="17" t="str">
        <f>IF(LEN(_xlfn.IFNA(IF(IFERROR(IF(FIND("_",$B218)&gt;0,MID($B218,FIND("_",$B218)+1,LEN($B218)),IF(FIND("-",$B218)&gt;0,MID($B218,FIND("-",$B218)+1,LEN($B218)))),"")="",IFERROR(VLOOKUP($F218,WP!$B$2:$C$23,2,0),VLOOKUP($C218,Series!$A$3:$F$11,6,0)),IFERROR(VLOOKUP($F218,WP!$B$2:$C$23,2,0),VLOOKUP($C218,Series!$A$3:$F$11,6,0))&amp;" - "&amp;(IFERROR(IF(FIND("_",$B218)&gt;0,MID($B218,FIND("_",$B218)+1,LEN($B218)),IF(FIND("-",$B218)&gt;0,MID($B218,FIND("-",$B218)+1,LEN($B218)))),""))),""))&lt;64,_xlfn.IFNA(IF(IFERROR(IF(FIND("_",$B218)&gt;0,MID($B218,FIND("_",$B218)+1,LEN($B218)),IF(FIND("-",$B218)&gt;0,MID($B218,FIND("-",$B218)+1,LEN($B218)))),"")="",IFERROR(VLOOKUP($F218,WP!$B$2:$C$23,2,0),VLOOKUP($C218,Series!$A$3:$F$11,6,0)),IFERROR(VLOOKUP($F218,WP!$B$2:$C$23,2,0),VLOOKUP($C218,Series!$A$3:$F$11,6,0))&amp;" - "&amp;(IFERROR(IF(FIND("_",$B218)&gt;0,MID($B218,FIND("_",$B218)+1,LEN($B218)),IF(FIND("-",$B218)&gt;0,MID($B218,FIND("-",$B218)+1,LEN($B218)))),""))),""),LEFT((_xlfn.IFNA(IF(IFERROR(IF(FIND("_",$B218)&gt;0,MID($B218,FIND("_",$B218)+1,LEN($B218)),IF(FIND("-",$B218)&gt;0,MID($B218,FIND("-",$B218)+1,LEN($B218)))),"")="",IFERROR(VLOOKUP($F218,WP!$B$2:$C$23,2,0),VLOOKUP($C218,Series!$A$3:$F$11,6,0)),IFERROR(VLOOKUP($F218,WP!$B$2:$C$23,2,0),VLOOKUP($C218,Series!$A$3:$F$11,6,0))&amp;" - "&amp;(IFERROR(IF(FIND("_",$B218)&gt;0,MID($B218,FIND("_",$B218)+1,LEN($B218)),IF(FIND("-",$B218)&gt;0,MID($B218,FIND("-",$B218)+1,LEN($B218)))),""))),"")),64))</f>
        <v/>
      </c>
      <c r="H218" s="12"/>
      <c r="I218" s="12" t="str">
        <f>IF($D218&lt;&gt;"",COUNTIF($D$7:$D218,"="&amp;$D218),"")</f>
        <v/>
      </c>
      <c r="J218"/>
      <c r="K218" s="8"/>
      <c r="L218"/>
    </row>
    <row r="219" spans="1:12" x14ac:dyDescent="0.3">
      <c r="A219" s="1"/>
      <c r="B219" s="26"/>
      <c r="C219" s="12" t="str">
        <f>_xlfn.IFNA(IFERROR(IF(FIND("_",$B219)&gt;0,INDEX(WP!$A$2:$F$23,MATCH(LEFT($B219,FIND("_",$B219)-1),WP!$E$2:$E$23,0),1),IF(FIND("-",$B219)&gt;0,INDEX(WP!$A$2:$F$23,MATCH(LEFT($B219,FIND("_",$B219)-1),WP!$E$2:$E$23,0),1))),INDEX(WP!$A$2:$F$23,MATCH(Results!$B219,WP!$E$2:$E$23,0),1)),"")</f>
        <v/>
      </c>
      <c r="D219" s="12" t="str">
        <f>IFERROR(IFERROR(IF(RIGHT(INDEX(WP!$A$2:$F$23,MATCH(IF(FIND("_",$B219)&gt;0,LEFT($B219,FIND("_",$B219)-1)),WP!$E$2:$E$23,0),2),6)="Series",LEFT(INDEX(WP!$A$2:$F$23,MATCH(IF(FIND("_",$B219)&gt;0,LEFT($B219,FIND("_",$B219)-1)),WP!$E$2:$E$23,0),2),5),""),IF(RIGHT(INDEX(WP!$A$2:$F$23,MATCH($B219,WP!$E$2:$E$23,0),2),6)="Series",LEFT(INDEX(WP!$A$2:$F$23,MATCH($B219,WP!$E$2:$E$23,0),2),5),"")),"")</f>
        <v/>
      </c>
      <c r="E219" s="17" t="str">
        <f>IFERROR(VLOOKUP(VALUE($D219),Series!$B$3:$F$11,2,0),"")</f>
        <v/>
      </c>
      <c r="F219" s="12" t="str">
        <f>_xlfn.IFNA(IF(IF($D219&lt;&gt;"",COUNTIF($E:$E,"="&amp;$D219),"")="",IF(RIGHT(IFERROR(IF(FIND("_",$B219)&gt;0,INDEX(WP!$A$2:$F$23,MATCH(LEFT($B219,FIND("_",$B219)-1),WP!$E$2:$E$23,0),2),IF(FIND("-",$B219)&gt;0,INDEX(WP!$A$2:$F$23,MATCH(LEFT($B219,FIND("_",$B219)-1),WP!$E$2:$E$23,0),2))),INDEX(WP!$A$2:$F$23,MATCH(Results!$B219,WP!$E$2:$E$23,0),2)),6)="Series",LEFT(IFERROR(IF(FIND("_",$B219)&gt;0,INDEX(WP!$A$2:$F$23,MATCH(LEFT($B219,FIND("_",$B219)-1),WP!$E$2:$E$23,0),2),IF(FIND("-",$B219)&gt;0,INDEX(WP!$A$2:$F$23,MATCH(LEFT($B219,FIND("_",$B219)-1),WP!$E$2:$E$23,0),2))),INDEX(WP!$A$2:$F$23,MATCH(Results!$B219,WP!$E$2:$E$23,0),2)),5),(IFERROR(IF(FIND("_",$B219)&gt;0,INDEX(WP!$A$2:$F$23,MATCH(LEFT($B219,FIND("_",$B219)-1),WP!$E$2:$E$23,0),2),IF(FIND("-",$B219)&gt;0,INDEX(WP!$A$2:$F$23,MATCH(LEFT($B219,FIND("_",$B219)-1),WP!$E$2:$E$23,0),2))),INDEX(WP!$A$2:$F$23,MATCH(Results!$B219,WP!$E$2:$E$23,0),2)))),IF(RIGHT(IFERROR(IF(FIND("_",$B219)&gt;0,INDEX(WP!$A$2:$F$23,MATCH(LEFT($B219,FIND("_",$B219)-1),WP!$E$2:$E$23,0),2),IF(FIND("-",$B219)&gt;0,INDEX(WP!$A$2:$F$23,MATCH(LEFT($B219,FIND("_",$B219)-1),WP!$E$2:$E$23,0),2))),INDEX(WP!$A$2:$F$23,MATCH(Results!$B219,WP!$E$2:$E$23,0),2)),6)="Series",LEFT(IFERROR(IF(FIND("_",$B219)&gt;0,INDEX(WP!$A$2:$F$23,MATCH(LEFT($B219,FIND("_",$B219)-1),WP!$E$2:$E$23,0),2),IF(FIND("-",$B219)&gt;0,INDEX(WP!$A$2:$F$23,MATCH(LEFT($B219,FIND("_",$B219)-1),WP!$E$2:$E$23,0),2))),INDEX(WP!$A$2:$F$23,MATCH(Results!$B219,WP!$E$2:$E$23,0),2)),5),(IFERROR(IF(FIND("_",$B219)&gt;0,INDEX(WP!$A$2:$F$23,MATCH(LEFT($B219,FIND("_",$B219)-1),WP!$E$2:$E$23,0),2),IF(FIND("-",$B219)&gt;0,INDEX(WP!$A$2:$F$23,MATCH(LEFT($B219,FIND("_",$B219)-1),WP!$E$2:$E$23,0),2))),INDEX(WP!$A$2:$F$23,MATCH(Results!$B219,WP!$E$2:$E$23,0),2))))&amp;"-"&amp;$I219),"")</f>
        <v/>
      </c>
      <c r="G219" s="17" t="str">
        <f>IF(LEN(_xlfn.IFNA(IF(IFERROR(IF(FIND("_",$B219)&gt;0,MID($B219,FIND("_",$B219)+1,LEN($B219)),IF(FIND("-",$B219)&gt;0,MID($B219,FIND("-",$B219)+1,LEN($B219)))),"")="",IFERROR(VLOOKUP($F219,WP!$B$2:$C$23,2,0),VLOOKUP($C219,Series!$A$3:$F$11,6,0)),IFERROR(VLOOKUP($F219,WP!$B$2:$C$23,2,0),VLOOKUP($C219,Series!$A$3:$F$11,6,0))&amp;" - "&amp;(IFERROR(IF(FIND("_",$B219)&gt;0,MID($B219,FIND("_",$B219)+1,LEN($B219)),IF(FIND("-",$B219)&gt;0,MID($B219,FIND("-",$B219)+1,LEN($B219)))),""))),""))&lt;64,_xlfn.IFNA(IF(IFERROR(IF(FIND("_",$B219)&gt;0,MID($B219,FIND("_",$B219)+1,LEN($B219)),IF(FIND("-",$B219)&gt;0,MID($B219,FIND("-",$B219)+1,LEN($B219)))),"")="",IFERROR(VLOOKUP($F219,WP!$B$2:$C$23,2,0),VLOOKUP($C219,Series!$A$3:$F$11,6,0)),IFERROR(VLOOKUP($F219,WP!$B$2:$C$23,2,0),VLOOKUP($C219,Series!$A$3:$F$11,6,0))&amp;" - "&amp;(IFERROR(IF(FIND("_",$B219)&gt;0,MID($B219,FIND("_",$B219)+1,LEN($B219)),IF(FIND("-",$B219)&gt;0,MID($B219,FIND("-",$B219)+1,LEN($B219)))),""))),""),LEFT((_xlfn.IFNA(IF(IFERROR(IF(FIND("_",$B219)&gt;0,MID($B219,FIND("_",$B219)+1,LEN($B219)),IF(FIND("-",$B219)&gt;0,MID($B219,FIND("-",$B219)+1,LEN($B219)))),"")="",IFERROR(VLOOKUP($F219,WP!$B$2:$C$23,2,0),VLOOKUP($C219,Series!$A$3:$F$11,6,0)),IFERROR(VLOOKUP($F219,WP!$B$2:$C$23,2,0),VLOOKUP($C219,Series!$A$3:$F$11,6,0))&amp;" - "&amp;(IFERROR(IF(FIND("_",$B219)&gt;0,MID($B219,FIND("_",$B219)+1,LEN($B219)),IF(FIND("-",$B219)&gt;0,MID($B219,FIND("-",$B219)+1,LEN($B219)))),""))),"")),64))</f>
        <v/>
      </c>
      <c r="H219" s="12"/>
      <c r="I219" s="12" t="str">
        <f>IF($D219&lt;&gt;"",COUNTIF($D$7:$D219,"="&amp;$D219),"")</f>
        <v/>
      </c>
      <c r="J219"/>
      <c r="K219" s="8"/>
      <c r="L219"/>
    </row>
    <row r="220" spans="1:12" x14ac:dyDescent="0.3">
      <c r="A220" s="1"/>
      <c r="B220" s="26"/>
      <c r="C220" s="12" t="str">
        <f>_xlfn.IFNA(IFERROR(IF(FIND("_",$B220)&gt;0,INDEX(WP!$A$2:$F$23,MATCH(LEFT($B220,FIND("_",$B220)-1),WP!$E$2:$E$23,0),1),IF(FIND("-",$B220)&gt;0,INDEX(WP!$A$2:$F$23,MATCH(LEFT($B220,FIND("_",$B220)-1),WP!$E$2:$E$23,0),1))),INDEX(WP!$A$2:$F$23,MATCH(Results!$B220,WP!$E$2:$E$23,0),1)),"")</f>
        <v/>
      </c>
      <c r="D220" s="12" t="str">
        <f>IFERROR(IFERROR(IF(RIGHT(INDEX(WP!$A$2:$F$23,MATCH(IF(FIND("_",$B220)&gt;0,LEFT($B220,FIND("_",$B220)-1)),WP!$E$2:$E$23,0),2),6)="Series",LEFT(INDEX(WP!$A$2:$F$23,MATCH(IF(FIND("_",$B220)&gt;0,LEFT($B220,FIND("_",$B220)-1)),WP!$E$2:$E$23,0),2),5),""),IF(RIGHT(INDEX(WP!$A$2:$F$23,MATCH($B220,WP!$E$2:$E$23,0),2),6)="Series",LEFT(INDEX(WP!$A$2:$F$23,MATCH($B220,WP!$E$2:$E$23,0),2),5),"")),"")</f>
        <v/>
      </c>
      <c r="E220" s="17" t="str">
        <f>IFERROR(VLOOKUP(VALUE($D220),Series!$B$3:$F$11,2,0),"")</f>
        <v/>
      </c>
      <c r="F220" s="12" t="str">
        <f>_xlfn.IFNA(IF(IF($D220&lt;&gt;"",COUNTIF($E:$E,"="&amp;$D220),"")="",IF(RIGHT(IFERROR(IF(FIND("_",$B220)&gt;0,INDEX(WP!$A$2:$F$23,MATCH(LEFT($B220,FIND("_",$B220)-1),WP!$E$2:$E$23,0),2),IF(FIND("-",$B220)&gt;0,INDEX(WP!$A$2:$F$23,MATCH(LEFT($B220,FIND("_",$B220)-1),WP!$E$2:$E$23,0),2))),INDEX(WP!$A$2:$F$23,MATCH(Results!$B220,WP!$E$2:$E$23,0),2)),6)="Series",LEFT(IFERROR(IF(FIND("_",$B220)&gt;0,INDEX(WP!$A$2:$F$23,MATCH(LEFT($B220,FIND("_",$B220)-1),WP!$E$2:$E$23,0),2),IF(FIND("-",$B220)&gt;0,INDEX(WP!$A$2:$F$23,MATCH(LEFT($B220,FIND("_",$B220)-1),WP!$E$2:$E$23,0),2))),INDEX(WP!$A$2:$F$23,MATCH(Results!$B220,WP!$E$2:$E$23,0),2)),5),(IFERROR(IF(FIND("_",$B220)&gt;0,INDEX(WP!$A$2:$F$23,MATCH(LEFT($B220,FIND("_",$B220)-1),WP!$E$2:$E$23,0),2),IF(FIND("-",$B220)&gt;0,INDEX(WP!$A$2:$F$23,MATCH(LEFT($B220,FIND("_",$B220)-1),WP!$E$2:$E$23,0),2))),INDEX(WP!$A$2:$F$23,MATCH(Results!$B220,WP!$E$2:$E$23,0),2)))),IF(RIGHT(IFERROR(IF(FIND("_",$B220)&gt;0,INDEX(WP!$A$2:$F$23,MATCH(LEFT($B220,FIND("_",$B220)-1),WP!$E$2:$E$23,0),2),IF(FIND("-",$B220)&gt;0,INDEX(WP!$A$2:$F$23,MATCH(LEFT($B220,FIND("_",$B220)-1),WP!$E$2:$E$23,0),2))),INDEX(WP!$A$2:$F$23,MATCH(Results!$B220,WP!$E$2:$E$23,0),2)),6)="Series",LEFT(IFERROR(IF(FIND("_",$B220)&gt;0,INDEX(WP!$A$2:$F$23,MATCH(LEFT($B220,FIND("_",$B220)-1),WP!$E$2:$E$23,0),2),IF(FIND("-",$B220)&gt;0,INDEX(WP!$A$2:$F$23,MATCH(LEFT($B220,FIND("_",$B220)-1),WP!$E$2:$E$23,0),2))),INDEX(WP!$A$2:$F$23,MATCH(Results!$B220,WP!$E$2:$E$23,0),2)),5),(IFERROR(IF(FIND("_",$B220)&gt;0,INDEX(WP!$A$2:$F$23,MATCH(LEFT($B220,FIND("_",$B220)-1),WP!$E$2:$E$23,0),2),IF(FIND("-",$B220)&gt;0,INDEX(WP!$A$2:$F$23,MATCH(LEFT($B220,FIND("_",$B220)-1),WP!$E$2:$E$23,0),2))),INDEX(WP!$A$2:$F$23,MATCH(Results!$B220,WP!$E$2:$E$23,0),2))))&amp;"-"&amp;$I220),"")</f>
        <v/>
      </c>
      <c r="G220" s="17" t="str">
        <f>IF(LEN(_xlfn.IFNA(IF(IFERROR(IF(FIND("_",$B220)&gt;0,MID($B220,FIND("_",$B220)+1,LEN($B220)),IF(FIND("-",$B220)&gt;0,MID($B220,FIND("-",$B220)+1,LEN($B220)))),"")="",IFERROR(VLOOKUP($F220,WP!$B$2:$C$23,2,0),VLOOKUP($C220,Series!$A$3:$F$11,6,0)),IFERROR(VLOOKUP($F220,WP!$B$2:$C$23,2,0),VLOOKUP($C220,Series!$A$3:$F$11,6,0))&amp;" - "&amp;(IFERROR(IF(FIND("_",$B220)&gt;0,MID($B220,FIND("_",$B220)+1,LEN($B220)),IF(FIND("-",$B220)&gt;0,MID($B220,FIND("-",$B220)+1,LEN($B220)))),""))),""))&lt;64,_xlfn.IFNA(IF(IFERROR(IF(FIND("_",$B220)&gt;0,MID($B220,FIND("_",$B220)+1,LEN($B220)),IF(FIND("-",$B220)&gt;0,MID($B220,FIND("-",$B220)+1,LEN($B220)))),"")="",IFERROR(VLOOKUP($F220,WP!$B$2:$C$23,2,0),VLOOKUP($C220,Series!$A$3:$F$11,6,0)),IFERROR(VLOOKUP($F220,WP!$B$2:$C$23,2,0),VLOOKUP($C220,Series!$A$3:$F$11,6,0))&amp;" - "&amp;(IFERROR(IF(FIND("_",$B220)&gt;0,MID($B220,FIND("_",$B220)+1,LEN($B220)),IF(FIND("-",$B220)&gt;0,MID($B220,FIND("-",$B220)+1,LEN($B220)))),""))),""),LEFT((_xlfn.IFNA(IF(IFERROR(IF(FIND("_",$B220)&gt;0,MID($B220,FIND("_",$B220)+1,LEN($B220)),IF(FIND("-",$B220)&gt;0,MID($B220,FIND("-",$B220)+1,LEN($B220)))),"")="",IFERROR(VLOOKUP($F220,WP!$B$2:$C$23,2,0),VLOOKUP($C220,Series!$A$3:$F$11,6,0)),IFERROR(VLOOKUP($F220,WP!$B$2:$C$23,2,0),VLOOKUP($C220,Series!$A$3:$F$11,6,0))&amp;" - "&amp;(IFERROR(IF(FIND("_",$B220)&gt;0,MID($B220,FIND("_",$B220)+1,LEN($B220)),IF(FIND("-",$B220)&gt;0,MID($B220,FIND("-",$B220)+1,LEN($B220)))),""))),"")),64))</f>
        <v/>
      </c>
      <c r="H220" s="12"/>
      <c r="I220" s="12" t="str">
        <f>IF($D220&lt;&gt;"",COUNTIF($D$7:$D220,"="&amp;$D220),"")</f>
        <v/>
      </c>
      <c r="J220"/>
      <c r="K220" s="8"/>
      <c r="L220"/>
    </row>
    <row r="221" spans="1:12" x14ac:dyDescent="0.3">
      <c r="A221" s="1"/>
      <c r="B221" s="26"/>
      <c r="C221" s="12" t="str">
        <f>_xlfn.IFNA(IFERROR(IF(FIND("_",$B221)&gt;0,INDEX(WP!$A$2:$F$23,MATCH(LEFT($B221,FIND("_",$B221)-1),WP!$E$2:$E$23,0),1),IF(FIND("-",$B221)&gt;0,INDEX(WP!$A$2:$F$23,MATCH(LEFT($B221,FIND("_",$B221)-1),WP!$E$2:$E$23,0),1))),INDEX(WP!$A$2:$F$23,MATCH(Results!$B221,WP!$E$2:$E$23,0),1)),"")</f>
        <v/>
      </c>
      <c r="D221" s="12" t="str">
        <f>IFERROR(IFERROR(IF(RIGHT(INDEX(WP!$A$2:$F$23,MATCH(IF(FIND("_",$B221)&gt;0,LEFT($B221,FIND("_",$B221)-1)),WP!$E$2:$E$23,0),2),6)="Series",LEFT(INDEX(WP!$A$2:$F$23,MATCH(IF(FIND("_",$B221)&gt;0,LEFT($B221,FIND("_",$B221)-1)),WP!$E$2:$E$23,0),2),5),""),IF(RIGHT(INDEX(WP!$A$2:$F$23,MATCH($B221,WP!$E$2:$E$23,0),2),6)="Series",LEFT(INDEX(WP!$A$2:$F$23,MATCH($B221,WP!$E$2:$E$23,0),2),5),"")),"")</f>
        <v/>
      </c>
      <c r="E221" s="17" t="str">
        <f>IFERROR(VLOOKUP(VALUE($D221),Series!$B$3:$F$11,2,0),"")</f>
        <v/>
      </c>
      <c r="F221" s="12" t="str">
        <f>_xlfn.IFNA(IF(IF($D221&lt;&gt;"",COUNTIF($E:$E,"="&amp;$D221),"")="",IF(RIGHT(IFERROR(IF(FIND("_",$B221)&gt;0,INDEX(WP!$A$2:$F$23,MATCH(LEFT($B221,FIND("_",$B221)-1),WP!$E$2:$E$23,0),2),IF(FIND("-",$B221)&gt;0,INDEX(WP!$A$2:$F$23,MATCH(LEFT($B221,FIND("_",$B221)-1),WP!$E$2:$E$23,0),2))),INDEX(WP!$A$2:$F$23,MATCH(Results!$B221,WP!$E$2:$E$23,0),2)),6)="Series",LEFT(IFERROR(IF(FIND("_",$B221)&gt;0,INDEX(WP!$A$2:$F$23,MATCH(LEFT($B221,FIND("_",$B221)-1),WP!$E$2:$E$23,0),2),IF(FIND("-",$B221)&gt;0,INDEX(WP!$A$2:$F$23,MATCH(LEFT($B221,FIND("_",$B221)-1),WP!$E$2:$E$23,0),2))),INDEX(WP!$A$2:$F$23,MATCH(Results!$B221,WP!$E$2:$E$23,0),2)),5),(IFERROR(IF(FIND("_",$B221)&gt;0,INDEX(WP!$A$2:$F$23,MATCH(LEFT($B221,FIND("_",$B221)-1),WP!$E$2:$E$23,0),2),IF(FIND("-",$B221)&gt;0,INDEX(WP!$A$2:$F$23,MATCH(LEFT($B221,FIND("_",$B221)-1),WP!$E$2:$E$23,0),2))),INDEX(WP!$A$2:$F$23,MATCH(Results!$B221,WP!$E$2:$E$23,0),2)))),IF(RIGHT(IFERROR(IF(FIND("_",$B221)&gt;0,INDEX(WP!$A$2:$F$23,MATCH(LEFT($B221,FIND("_",$B221)-1),WP!$E$2:$E$23,0),2),IF(FIND("-",$B221)&gt;0,INDEX(WP!$A$2:$F$23,MATCH(LEFT($B221,FIND("_",$B221)-1),WP!$E$2:$E$23,0),2))),INDEX(WP!$A$2:$F$23,MATCH(Results!$B221,WP!$E$2:$E$23,0),2)),6)="Series",LEFT(IFERROR(IF(FIND("_",$B221)&gt;0,INDEX(WP!$A$2:$F$23,MATCH(LEFT($B221,FIND("_",$B221)-1),WP!$E$2:$E$23,0),2),IF(FIND("-",$B221)&gt;0,INDEX(WP!$A$2:$F$23,MATCH(LEFT($B221,FIND("_",$B221)-1),WP!$E$2:$E$23,0),2))),INDEX(WP!$A$2:$F$23,MATCH(Results!$B221,WP!$E$2:$E$23,0),2)),5),(IFERROR(IF(FIND("_",$B221)&gt;0,INDEX(WP!$A$2:$F$23,MATCH(LEFT($B221,FIND("_",$B221)-1),WP!$E$2:$E$23,0),2),IF(FIND("-",$B221)&gt;0,INDEX(WP!$A$2:$F$23,MATCH(LEFT($B221,FIND("_",$B221)-1),WP!$E$2:$E$23,0),2))),INDEX(WP!$A$2:$F$23,MATCH(Results!$B221,WP!$E$2:$E$23,0),2))))&amp;"-"&amp;$I221),"")</f>
        <v/>
      </c>
      <c r="G221" s="17" t="str">
        <f>IF(LEN(_xlfn.IFNA(IF(IFERROR(IF(FIND("_",$B221)&gt;0,MID($B221,FIND("_",$B221)+1,LEN($B221)),IF(FIND("-",$B221)&gt;0,MID($B221,FIND("-",$B221)+1,LEN($B221)))),"")="",IFERROR(VLOOKUP($F221,WP!$B$2:$C$23,2,0),VLOOKUP($C221,Series!$A$3:$F$11,6,0)),IFERROR(VLOOKUP($F221,WP!$B$2:$C$23,2,0),VLOOKUP($C221,Series!$A$3:$F$11,6,0))&amp;" - "&amp;(IFERROR(IF(FIND("_",$B221)&gt;0,MID($B221,FIND("_",$B221)+1,LEN($B221)),IF(FIND("-",$B221)&gt;0,MID($B221,FIND("-",$B221)+1,LEN($B221)))),""))),""))&lt;64,_xlfn.IFNA(IF(IFERROR(IF(FIND("_",$B221)&gt;0,MID($B221,FIND("_",$B221)+1,LEN($B221)),IF(FIND("-",$B221)&gt;0,MID($B221,FIND("-",$B221)+1,LEN($B221)))),"")="",IFERROR(VLOOKUP($F221,WP!$B$2:$C$23,2,0),VLOOKUP($C221,Series!$A$3:$F$11,6,0)),IFERROR(VLOOKUP($F221,WP!$B$2:$C$23,2,0),VLOOKUP($C221,Series!$A$3:$F$11,6,0))&amp;" - "&amp;(IFERROR(IF(FIND("_",$B221)&gt;0,MID($B221,FIND("_",$B221)+1,LEN($B221)),IF(FIND("-",$B221)&gt;0,MID($B221,FIND("-",$B221)+1,LEN($B221)))),""))),""),LEFT((_xlfn.IFNA(IF(IFERROR(IF(FIND("_",$B221)&gt;0,MID($B221,FIND("_",$B221)+1,LEN($B221)),IF(FIND("-",$B221)&gt;0,MID($B221,FIND("-",$B221)+1,LEN($B221)))),"")="",IFERROR(VLOOKUP($F221,WP!$B$2:$C$23,2,0),VLOOKUP($C221,Series!$A$3:$F$11,6,0)),IFERROR(VLOOKUP($F221,WP!$B$2:$C$23,2,0),VLOOKUP($C221,Series!$A$3:$F$11,6,0))&amp;" - "&amp;(IFERROR(IF(FIND("_",$B221)&gt;0,MID($B221,FIND("_",$B221)+1,LEN($B221)),IF(FIND("-",$B221)&gt;0,MID($B221,FIND("-",$B221)+1,LEN($B221)))),""))),"")),64))</f>
        <v/>
      </c>
      <c r="H221" s="12"/>
      <c r="I221" s="12" t="str">
        <f>IF($D221&lt;&gt;"",COUNTIF($D$7:$D221,"="&amp;$D221),"")</f>
        <v/>
      </c>
      <c r="J221"/>
      <c r="K221" s="8"/>
      <c r="L221"/>
    </row>
    <row r="222" spans="1:12" x14ac:dyDescent="0.3">
      <c r="A222" s="1"/>
      <c r="B222" s="26"/>
      <c r="C222" s="12" t="str">
        <f>_xlfn.IFNA(IFERROR(IF(FIND("_",$B222)&gt;0,INDEX(WP!$A$2:$F$23,MATCH(LEFT($B222,FIND("_",$B222)-1),WP!$E$2:$E$23,0),1),IF(FIND("-",$B222)&gt;0,INDEX(WP!$A$2:$F$23,MATCH(LEFT($B222,FIND("_",$B222)-1),WP!$E$2:$E$23,0),1))),INDEX(WP!$A$2:$F$23,MATCH(Results!$B222,WP!$E$2:$E$23,0),1)),"")</f>
        <v/>
      </c>
      <c r="D222" s="12" t="str">
        <f>IFERROR(IFERROR(IF(RIGHT(INDEX(WP!$A$2:$F$23,MATCH(IF(FIND("_",$B222)&gt;0,LEFT($B222,FIND("_",$B222)-1)),WP!$E$2:$E$23,0),2),6)="Series",LEFT(INDEX(WP!$A$2:$F$23,MATCH(IF(FIND("_",$B222)&gt;0,LEFT($B222,FIND("_",$B222)-1)),WP!$E$2:$E$23,0),2),5),""),IF(RIGHT(INDEX(WP!$A$2:$F$23,MATCH($B222,WP!$E$2:$E$23,0),2),6)="Series",LEFT(INDEX(WP!$A$2:$F$23,MATCH($B222,WP!$E$2:$E$23,0),2),5),"")),"")</f>
        <v/>
      </c>
      <c r="E222" s="17" t="str">
        <f>IFERROR(VLOOKUP(VALUE($D222),Series!$B$3:$F$11,2,0),"")</f>
        <v/>
      </c>
      <c r="F222" s="12" t="str">
        <f>_xlfn.IFNA(IF(IF($D222&lt;&gt;"",COUNTIF($E:$E,"="&amp;$D222),"")="",IF(RIGHT(IFERROR(IF(FIND("_",$B222)&gt;0,INDEX(WP!$A$2:$F$23,MATCH(LEFT($B222,FIND("_",$B222)-1),WP!$E$2:$E$23,0),2),IF(FIND("-",$B222)&gt;0,INDEX(WP!$A$2:$F$23,MATCH(LEFT($B222,FIND("_",$B222)-1),WP!$E$2:$E$23,0),2))),INDEX(WP!$A$2:$F$23,MATCH(Results!$B222,WP!$E$2:$E$23,0),2)),6)="Series",LEFT(IFERROR(IF(FIND("_",$B222)&gt;0,INDEX(WP!$A$2:$F$23,MATCH(LEFT($B222,FIND("_",$B222)-1),WP!$E$2:$E$23,0),2),IF(FIND("-",$B222)&gt;0,INDEX(WP!$A$2:$F$23,MATCH(LEFT($B222,FIND("_",$B222)-1),WP!$E$2:$E$23,0),2))),INDEX(WP!$A$2:$F$23,MATCH(Results!$B222,WP!$E$2:$E$23,0),2)),5),(IFERROR(IF(FIND("_",$B222)&gt;0,INDEX(WP!$A$2:$F$23,MATCH(LEFT($B222,FIND("_",$B222)-1),WP!$E$2:$E$23,0),2),IF(FIND("-",$B222)&gt;0,INDEX(WP!$A$2:$F$23,MATCH(LEFT($B222,FIND("_",$B222)-1),WP!$E$2:$E$23,0),2))),INDEX(WP!$A$2:$F$23,MATCH(Results!$B222,WP!$E$2:$E$23,0),2)))),IF(RIGHT(IFERROR(IF(FIND("_",$B222)&gt;0,INDEX(WP!$A$2:$F$23,MATCH(LEFT($B222,FIND("_",$B222)-1),WP!$E$2:$E$23,0),2),IF(FIND("-",$B222)&gt;0,INDEX(WP!$A$2:$F$23,MATCH(LEFT($B222,FIND("_",$B222)-1),WP!$E$2:$E$23,0),2))),INDEX(WP!$A$2:$F$23,MATCH(Results!$B222,WP!$E$2:$E$23,0),2)),6)="Series",LEFT(IFERROR(IF(FIND("_",$B222)&gt;0,INDEX(WP!$A$2:$F$23,MATCH(LEFT($B222,FIND("_",$B222)-1),WP!$E$2:$E$23,0),2),IF(FIND("-",$B222)&gt;0,INDEX(WP!$A$2:$F$23,MATCH(LEFT($B222,FIND("_",$B222)-1),WP!$E$2:$E$23,0),2))),INDEX(WP!$A$2:$F$23,MATCH(Results!$B222,WP!$E$2:$E$23,0),2)),5),(IFERROR(IF(FIND("_",$B222)&gt;0,INDEX(WP!$A$2:$F$23,MATCH(LEFT($B222,FIND("_",$B222)-1),WP!$E$2:$E$23,0),2),IF(FIND("-",$B222)&gt;0,INDEX(WP!$A$2:$F$23,MATCH(LEFT($B222,FIND("_",$B222)-1),WP!$E$2:$E$23,0),2))),INDEX(WP!$A$2:$F$23,MATCH(Results!$B222,WP!$E$2:$E$23,0),2))))&amp;"-"&amp;$I222),"")</f>
        <v/>
      </c>
      <c r="G222" s="17" t="str">
        <f>IF(LEN(_xlfn.IFNA(IF(IFERROR(IF(FIND("_",$B222)&gt;0,MID($B222,FIND("_",$B222)+1,LEN($B222)),IF(FIND("-",$B222)&gt;0,MID($B222,FIND("-",$B222)+1,LEN($B222)))),"")="",IFERROR(VLOOKUP($F222,WP!$B$2:$C$23,2,0),VLOOKUP($C222,Series!$A$3:$F$11,6,0)),IFERROR(VLOOKUP($F222,WP!$B$2:$C$23,2,0),VLOOKUP($C222,Series!$A$3:$F$11,6,0))&amp;" - "&amp;(IFERROR(IF(FIND("_",$B222)&gt;0,MID($B222,FIND("_",$B222)+1,LEN($B222)),IF(FIND("-",$B222)&gt;0,MID($B222,FIND("-",$B222)+1,LEN($B222)))),""))),""))&lt;64,_xlfn.IFNA(IF(IFERROR(IF(FIND("_",$B222)&gt;0,MID($B222,FIND("_",$B222)+1,LEN($B222)),IF(FIND("-",$B222)&gt;0,MID($B222,FIND("-",$B222)+1,LEN($B222)))),"")="",IFERROR(VLOOKUP($F222,WP!$B$2:$C$23,2,0),VLOOKUP($C222,Series!$A$3:$F$11,6,0)),IFERROR(VLOOKUP($F222,WP!$B$2:$C$23,2,0),VLOOKUP($C222,Series!$A$3:$F$11,6,0))&amp;" - "&amp;(IFERROR(IF(FIND("_",$B222)&gt;0,MID($B222,FIND("_",$B222)+1,LEN($B222)),IF(FIND("-",$B222)&gt;0,MID($B222,FIND("-",$B222)+1,LEN($B222)))),""))),""),LEFT((_xlfn.IFNA(IF(IFERROR(IF(FIND("_",$B222)&gt;0,MID($B222,FIND("_",$B222)+1,LEN($B222)),IF(FIND("-",$B222)&gt;0,MID($B222,FIND("-",$B222)+1,LEN($B222)))),"")="",IFERROR(VLOOKUP($F222,WP!$B$2:$C$23,2,0),VLOOKUP($C222,Series!$A$3:$F$11,6,0)),IFERROR(VLOOKUP($F222,WP!$B$2:$C$23,2,0),VLOOKUP($C222,Series!$A$3:$F$11,6,0))&amp;" - "&amp;(IFERROR(IF(FIND("_",$B222)&gt;0,MID($B222,FIND("_",$B222)+1,LEN($B222)),IF(FIND("-",$B222)&gt;0,MID($B222,FIND("-",$B222)+1,LEN($B222)))),""))),"")),64))</f>
        <v/>
      </c>
      <c r="H222" s="12"/>
      <c r="I222" s="12" t="str">
        <f>IF($D222&lt;&gt;"",COUNTIF($D$7:$D222,"="&amp;$D222),"")</f>
        <v/>
      </c>
      <c r="J222"/>
      <c r="K222" s="8"/>
      <c r="L222"/>
    </row>
    <row r="223" spans="1:12" x14ac:dyDescent="0.3">
      <c r="A223" s="1"/>
      <c r="B223" s="26"/>
      <c r="C223" s="12" t="str">
        <f>_xlfn.IFNA(IFERROR(IF(FIND("_",$B223)&gt;0,INDEX(WP!$A$2:$F$23,MATCH(LEFT($B223,FIND("_",$B223)-1),WP!$E$2:$E$23,0),1),IF(FIND("-",$B223)&gt;0,INDEX(WP!$A$2:$F$23,MATCH(LEFT($B223,FIND("_",$B223)-1),WP!$E$2:$E$23,0),1))),INDEX(WP!$A$2:$F$23,MATCH(Results!$B223,WP!$E$2:$E$23,0),1)),"")</f>
        <v/>
      </c>
      <c r="D223" s="12" t="str">
        <f>IFERROR(IFERROR(IF(RIGHT(INDEX(WP!$A$2:$F$23,MATCH(IF(FIND("_",$B223)&gt;0,LEFT($B223,FIND("_",$B223)-1)),WP!$E$2:$E$23,0),2),6)="Series",LEFT(INDEX(WP!$A$2:$F$23,MATCH(IF(FIND("_",$B223)&gt;0,LEFT($B223,FIND("_",$B223)-1)),WP!$E$2:$E$23,0),2),5),""),IF(RIGHT(INDEX(WP!$A$2:$F$23,MATCH($B223,WP!$E$2:$E$23,0),2),6)="Series",LEFT(INDEX(WP!$A$2:$F$23,MATCH($B223,WP!$E$2:$E$23,0),2),5),"")),"")</f>
        <v/>
      </c>
      <c r="E223" s="17" t="str">
        <f>IFERROR(VLOOKUP(VALUE($D223),Series!$B$3:$F$11,2,0),"")</f>
        <v/>
      </c>
      <c r="F223" s="12" t="str">
        <f>_xlfn.IFNA(IF(IF($D223&lt;&gt;"",COUNTIF($E:$E,"="&amp;$D223),"")="",IF(RIGHT(IFERROR(IF(FIND("_",$B223)&gt;0,INDEX(WP!$A$2:$F$23,MATCH(LEFT($B223,FIND("_",$B223)-1),WP!$E$2:$E$23,0),2),IF(FIND("-",$B223)&gt;0,INDEX(WP!$A$2:$F$23,MATCH(LEFT($B223,FIND("_",$B223)-1),WP!$E$2:$E$23,0),2))),INDEX(WP!$A$2:$F$23,MATCH(Results!$B223,WP!$E$2:$E$23,0),2)),6)="Series",LEFT(IFERROR(IF(FIND("_",$B223)&gt;0,INDEX(WP!$A$2:$F$23,MATCH(LEFT($B223,FIND("_",$B223)-1),WP!$E$2:$E$23,0),2),IF(FIND("-",$B223)&gt;0,INDEX(WP!$A$2:$F$23,MATCH(LEFT($B223,FIND("_",$B223)-1),WP!$E$2:$E$23,0),2))),INDEX(WP!$A$2:$F$23,MATCH(Results!$B223,WP!$E$2:$E$23,0),2)),5),(IFERROR(IF(FIND("_",$B223)&gt;0,INDEX(WP!$A$2:$F$23,MATCH(LEFT($B223,FIND("_",$B223)-1),WP!$E$2:$E$23,0),2),IF(FIND("-",$B223)&gt;0,INDEX(WP!$A$2:$F$23,MATCH(LEFT($B223,FIND("_",$B223)-1),WP!$E$2:$E$23,0),2))),INDEX(WP!$A$2:$F$23,MATCH(Results!$B223,WP!$E$2:$E$23,0),2)))),IF(RIGHT(IFERROR(IF(FIND("_",$B223)&gt;0,INDEX(WP!$A$2:$F$23,MATCH(LEFT($B223,FIND("_",$B223)-1),WP!$E$2:$E$23,0),2),IF(FIND("-",$B223)&gt;0,INDEX(WP!$A$2:$F$23,MATCH(LEFT($B223,FIND("_",$B223)-1),WP!$E$2:$E$23,0),2))),INDEX(WP!$A$2:$F$23,MATCH(Results!$B223,WP!$E$2:$E$23,0),2)),6)="Series",LEFT(IFERROR(IF(FIND("_",$B223)&gt;0,INDEX(WP!$A$2:$F$23,MATCH(LEFT($B223,FIND("_",$B223)-1),WP!$E$2:$E$23,0),2),IF(FIND("-",$B223)&gt;0,INDEX(WP!$A$2:$F$23,MATCH(LEFT($B223,FIND("_",$B223)-1),WP!$E$2:$E$23,0),2))),INDEX(WP!$A$2:$F$23,MATCH(Results!$B223,WP!$E$2:$E$23,0),2)),5),(IFERROR(IF(FIND("_",$B223)&gt;0,INDEX(WP!$A$2:$F$23,MATCH(LEFT($B223,FIND("_",$B223)-1),WP!$E$2:$E$23,0),2),IF(FIND("-",$B223)&gt;0,INDEX(WP!$A$2:$F$23,MATCH(LEFT($B223,FIND("_",$B223)-1),WP!$E$2:$E$23,0),2))),INDEX(WP!$A$2:$F$23,MATCH(Results!$B223,WP!$E$2:$E$23,0),2))))&amp;"-"&amp;$I223),"")</f>
        <v/>
      </c>
      <c r="G223" s="17" t="str">
        <f>IF(LEN(_xlfn.IFNA(IF(IFERROR(IF(FIND("_",$B223)&gt;0,MID($B223,FIND("_",$B223)+1,LEN($B223)),IF(FIND("-",$B223)&gt;0,MID($B223,FIND("-",$B223)+1,LEN($B223)))),"")="",IFERROR(VLOOKUP($F223,WP!$B$2:$C$23,2,0),VLOOKUP($C223,Series!$A$3:$F$11,6,0)),IFERROR(VLOOKUP($F223,WP!$B$2:$C$23,2,0),VLOOKUP($C223,Series!$A$3:$F$11,6,0))&amp;" - "&amp;(IFERROR(IF(FIND("_",$B223)&gt;0,MID($B223,FIND("_",$B223)+1,LEN($B223)),IF(FIND("-",$B223)&gt;0,MID($B223,FIND("-",$B223)+1,LEN($B223)))),""))),""))&lt;64,_xlfn.IFNA(IF(IFERROR(IF(FIND("_",$B223)&gt;0,MID($B223,FIND("_",$B223)+1,LEN($B223)),IF(FIND("-",$B223)&gt;0,MID($B223,FIND("-",$B223)+1,LEN($B223)))),"")="",IFERROR(VLOOKUP($F223,WP!$B$2:$C$23,2,0),VLOOKUP($C223,Series!$A$3:$F$11,6,0)),IFERROR(VLOOKUP($F223,WP!$B$2:$C$23,2,0),VLOOKUP($C223,Series!$A$3:$F$11,6,0))&amp;" - "&amp;(IFERROR(IF(FIND("_",$B223)&gt;0,MID($B223,FIND("_",$B223)+1,LEN($B223)),IF(FIND("-",$B223)&gt;0,MID($B223,FIND("-",$B223)+1,LEN($B223)))),""))),""),LEFT((_xlfn.IFNA(IF(IFERROR(IF(FIND("_",$B223)&gt;0,MID($B223,FIND("_",$B223)+1,LEN($B223)),IF(FIND("-",$B223)&gt;0,MID($B223,FIND("-",$B223)+1,LEN($B223)))),"")="",IFERROR(VLOOKUP($F223,WP!$B$2:$C$23,2,0),VLOOKUP($C223,Series!$A$3:$F$11,6,0)),IFERROR(VLOOKUP($F223,WP!$B$2:$C$23,2,0),VLOOKUP($C223,Series!$A$3:$F$11,6,0))&amp;" - "&amp;(IFERROR(IF(FIND("_",$B223)&gt;0,MID($B223,FIND("_",$B223)+1,LEN($B223)),IF(FIND("-",$B223)&gt;0,MID($B223,FIND("-",$B223)+1,LEN($B223)))),""))),"")),64))</f>
        <v/>
      </c>
      <c r="H223" s="12"/>
      <c r="I223" s="12" t="str">
        <f>IF($D223&lt;&gt;"",COUNTIF($D$7:$D223,"="&amp;$D223),"")</f>
        <v/>
      </c>
      <c r="J223"/>
      <c r="K223" s="8"/>
      <c r="L223"/>
    </row>
    <row r="224" spans="1:12" x14ac:dyDescent="0.3">
      <c r="A224" s="1"/>
      <c r="B224" s="26"/>
      <c r="C224" s="12" t="str">
        <f>_xlfn.IFNA(IFERROR(IF(FIND("_",$B224)&gt;0,INDEX(WP!$A$2:$F$23,MATCH(LEFT($B224,FIND("_",$B224)-1),WP!$E$2:$E$23,0),1),IF(FIND("-",$B224)&gt;0,INDEX(WP!$A$2:$F$23,MATCH(LEFT($B224,FIND("_",$B224)-1),WP!$E$2:$E$23,0),1))),INDEX(WP!$A$2:$F$23,MATCH(Results!$B224,WP!$E$2:$E$23,0),1)),"")</f>
        <v/>
      </c>
      <c r="D224" s="12" t="str">
        <f>IFERROR(IFERROR(IF(RIGHT(INDEX(WP!$A$2:$F$23,MATCH(IF(FIND("_",$B224)&gt;0,LEFT($B224,FIND("_",$B224)-1)),WP!$E$2:$E$23,0),2),6)="Series",LEFT(INDEX(WP!$A$2:$F$23,MATCH(IF(FIND("_",$B224)&gt;0,LEFT($B224,FIND("_",$B224)-1)),WP!$E$2:$E$23,0),2),5),""),IF(RIGHT(INDEX(WP!$A$2:$F$23,MATCH($B224,WP!$E$2:$E$23,0),2),6)="Series",LEFT(INDEX(WP!$A$2:$F$23,MATCH($B224,WP!$E$2:$E$23,0),2),5),"")),"")</f>
        <v/>
      </c>
      <c r="E224" s="17" t="str">
        <f>IFERROR(VLOOKUP(VALUE($D224),Series!$B$3:$F$11,2,0),"")</f>
        <v/>
      </c>
      <c r="F224" s="12" t="str">
        <f>_xlfn.IFNA(IF(IF($D224&lt;&gt;"",COUNTIF($E:$E,"="&amp;$D224),"")="",IF(RIGHT(IFERROR(IF(FIND("_",$B224)&gt;0,INDEX(WP!$A$2:$F$23,MATCH(LEFT($B224,FIND("_",$B224)-1),WP!$E$2:$E$23,0),2),IF(FIND("-",$B224)&gt;0,INDEX(WP!$A$2:$F$23,MATCH(LEFT($B224,FIND("_",$B224)-1),WP!$E$2:$E$23,0),2))),INDEX(WP!$A$2:$F$23,MATCH(Results!$B224,WP!$E$2:$E$23,0),2)),6)="Series",LEFT(IFERROR(IF(FIND("_",$B224)&gt;0,INDEX(WP!$A$2:$F$23,MATCH(LEFT($B224,FIND("_",$B224)-1),WP!$E$2:$E$23,0),2),IF(FIND("-",$B224)&gt;0,INDEX(WP!$A$2:$F$23,MATCH(LEFT($B224,FIND("_",$B224)-1),WP!$E$2:$E$23,0),2))),INDEX(WP!$A$2:$F$23,MATCH(Results!$B224,WP!$E$2:$E$23,0),2)),5),(IFERROR(IF(FIND("_",$B224)&gt;0,INDEX(WP!$A$2:$F$23,MATCH(LEFT($B224,FIND("_",$B224)-1),WP!$E$2:$E$23,0),2),IF(FIND("-",$B224)&gt;0,INDEX(WP!$A$2:$F$23,MATCH(LEFT($B224,FIND("_",$B224)-1),WP!$E$2:$E$23,0),2))),INDEX(WP!$A$2:$F$23,MATCH(Results!$B224,WP!$E$2:$E$23,0),2)))),IF(RIGHT(IFERROR(IF(FIND("_",$B224)&gt;0,INDEX(WP!$A$2:$F$23,MATCH(LEFT($B224,FIND("_",$B224)-1),WP!$E$2:$E$23,0),2),IF(FIND("-",$B224)&gt;0,INDEX(WP!$A$2:$F$23,MATCH(LEFT($B224,FIND("_",$B224)-1),WP!$E$2:$E$23,0),2))),INDEX(WP!$A$2:$F$23,MATCH(Results!$B224,WP!$E$2:$E$23,0),2)),6)="Series",LEFT(IFERROR(IF(FIND("_",$B224)&gt;0,INDEX(WP!$A$2:$F$23,MATCH(LEFT($B224,FIND("_",$B224)-1),WP!$E$2:$E$23,0),2),IF(FIND("-",$B224)&gt;0,INDEX(WP!$A$2:$F$23,MATCH(LEFT($B224,FIND("_",$B224)-1),WP!$E$2:$E$23,0),2))),INDEX(WP!$A$2:$F$23,MATCH(Results!$B224,WP!$E$2:$E$23,0),2)),5),(IFERROR(IF(FIND("_",$B224)&gt;0,INDEX(WP!$A$2:$F$23,MATCH(LEFT($B224,FIND("_",$B224)-1),WP!$E$2:$E$23,0),2),IF(FIND("-",$B224)&gt;0,INDEX(WP!$A$2:$F$23,MATCH(LEFT($B224,FIND("_",$B224)-1),WP!$E$2:$E$23,0),2))),INDEX(WP!$A$2:$F$23,MATCH(Results!$B224,WP!$E$2:$E$23,0),2))))&amp;"-"&amp;$I224),"")</f>
        <v/>
      </c>
      <c r="G224" s="17" t="str">
        <f>IF(LEN(_xlfn.IFNA(IF(IFERROR(IF(FIND("_",$B224)&gt;0,MID($B224,FIND("_",$B224)+1,LEN($B224)),IF(FIND("-",$B224)&gt;0,MID($B224,FIND("-",$B224)+1,LEN($B224)))),"")="",IFERROR(VLOOKUP($F224,WP!$B$2:$C$23,2,0),VLOOKUP($C224,Series!$A$3:$F$11,6,0)),IFERROR(VLOOKUP($F224,WP!$B$2:$C$23,2,0),VLOOKUP($C224,Series!$A$3:$F$11,6,0))&amp;" - "&amp;(IFERROR(IF(FIND("_",$B224)&gt;0,MID($B224,FIND("_",$B224)+1,LEN($B224)),IF(FIND("-",$B224)&gt;0,MID($B224,FIND("-",$B224)+1,LEN($B224)))),""))),""))&lt;64,_xlfn.IFNA(IF(IFERROR(IF(FIND("_",$B224)&gt;0,MID($B224,FIND("_",$B224)+1,LEN($B224)),IF(FIND("-",$B224)&gt;0,MID($B224,FIND("-",$B224)+1,LEN($B224)))),"")="",IFERROR(VLOOKUP($F224,WP!$B$2:$C$23,2,0),VLOOKUP($C224,Series!$A$3:$F$11,6,0)),IFERROR(VLOOKUP($F224,WP!$B$2:$C$23,2,0),VLOOKUP($C224,Series!$A$3:$F$11,6,0))&amp;" - "&amp;(IFERROR(IF(FIND("_",$B224)&gt;0,MID($B224,FIND("_",$B224)+1,LEN($B224)),IF(FIND("-",$B224)&gt;0,MID($B224,FIND("-",$B224)+1,LEN($B224)))),""))),""),LEFT((_xlfn.IFNA(IF(IFERROR(IF(FIND("_",$B224)&gt;0,MID($B224,FIND("_",$B224)+1,LEN($B224)),IF(FIND("-",$B224)&gt;0,MID($B224,FIND("-",$B224)+1,LEN($B224)))),"")="",IFERROR(VLOOKUP($F224,WP!$B$2:$C$23,2,0),VLOOKUP($C224,Series!$A$3:$F$11,6,0)),IFERROR(VLOOKUP($F224,WP!$B$2:$C$23,2,0),VLOOKUP($C224,Series!$A$3:$F$11,6,0))&amp;" - "&amp;(IFERROR(IF(FIND("_",$B224)&gt;0,MID($B224,FIND("_",$B224)+1,LEN($B224)),IF(FIND("-",$B224)&gt;0,MID($B224,FIND("-",$B224)+1,LEN($B224)))),""))),"")),64))</f>
        <v/>
      </c>
      <c r="H224" s="12"/>
      <c r="I224" s="12" t="str">
        <f>IF($D224&lt;&gt;"",COUNTIF($D$7:$D224,"="&amp;$D224),"")</f>
        <v/>
      </c>
      <c r="J224"/>
      <c r="K224" s="8"/>
      <c r="L224"/>
    </row>
    <row r="225" spans="1:12" x14ac:dyDescent="0.3">
      <c r="A225" s="1"/>
      <c r="B225" s="26"/>
      <c r="C225" s="12" t="str">
        <f>_xlfn.IFNA(IFERROR(IF(FIND("_",$B225)&gt;0,INDEX(WP!$A$2:$F$23,MATCH(LEFT($B225,FIND("_",$B225)-1),WP!$E$2:$E$23,0),1),IF(FIND("-",$B225)&gt;0,INDEX(WP!$A$2:$F$23,MATCH(LEFT($B225,FIND("_",$B225)-1),WP!$E$2:$E$23,0),1))),INDEX(WP!$A$2:$F$23,MATCH(Results!$B225,WP!$E$2:$E$23,0),1)),"")</f>
        <v/>
      </c>
      <c r="D225" s="12" t="str">
        <f>IFERROR(IFERROR(IF(RIGHT(INDEX(WP!$A$2:$F$23,MATCH(IF(FIND("_",$B225)&gt;0,LEFT($B225,FIND("_",$B225)-1)),WP!$E$2:$E$23,0),2),6)="Series",LEFT(INDEX(WP!$A$2:$F$23,MATCH(IF(FIND("_",$B225)&gt;0,LEFT($B225,FIND("_",$B225)-1)),WP!$E$2:$E$23,0),2),5),""),IF(RIGHT(INDEX(WP!$A$2:$F$23,MATCH($B225,WP!$E$2:$E$23,0),2),6)="Series",LEFT(INDEX(WP!$A$2:$F$23,MATCH($B225,WP!$E$2:$E$23,0),2),5),"")),"")</f>
        <v/>
      </c>
      <c r="E225" s="17" t="str">
        <f>IFERROR(VLOOKUP(VALUE($D225),Series!$B$3:$F$11,2,0),"")</f>
        <v/>
      </c>
      <c r="F225" s="12" t="str">
        <f>_xlfn.IFNA(IF(IF($D225&lt;&gt;"",COUNTIF($E:$E,"="&amp;$D225),"")="",IF(RIGHT(IFERROR(IF(FIND("_",$B225)&gt;0,INDEX(WP!$A$2:$F$23,MATCH(LEFT($B225,FIND("_",$B225)-1),WP!$E$2:$E$23,0),2),IF(FIND("-",$B225)&gt;0,INDEX(WP!$A$2:$F$23,MATCH(LEFT($B225,FIND("_",$B225)-1),WP!$E$2:$E$23,0),2))),INDEX(WP!$A$2:$F$23,MATCH(Results!$B225,WP!$E$2:$E$23,0),2)),6)="Series",LEFT(IFERROR(IF(FIND("_",$B225)&gt;0,INDEX(WP!$A$2:$F$23,MATCH(LEFT($B225,FIND("_",$B225)-1),WP!$E$2:$E$23,0),2),IF(FIND("-",$B225)&gt;0,INDEX(WP!$A$2:$F$23,MATCH(LEFT($B225,FIND("_",$B225)-1),WP!$E$2:$E$23,0),2))),INDEX(WP!$A$2:$F$23,MATCH(Results!$B225,WP!$E$2:$E$23,0),2)),5),(IFERROR(IF(FIND("_",$B225)&gt;0,INDEX(WP!$A$2:$F$23,MATCH(LEFT($B225,FIND("_",$B225)-1),WP!$E$2:$E$23,0),2),IF(FIND("-",$B225)&gt;0,INDEX(WP!$A$2:$F$23,MATCH(LEFT($B225,FIND("_",$B225)-1),WP!$E$2:$E$23,0),2))),INDEX(WP!$A$2:$F$23,MATCH(Results!$B225,WP!$E$2:$E$23,0),2)))),IF(RIGHT(IFERROR(IF(FIND("_",$B225)&gt;0,INDEX(WP!$A$2:$F$23,MATCH(LEFT($B225,FIND("_",$B225)-1),WP!$E$2:$E$23,0),2),IF(FIND("-",$B225)&gt;0,INDEX(WP!$A$2:$F$23,MATCH(LEFT($B225,FIND("_",$B225)-1),WP!$E$2:$E$23,0),2))),INDEX(WP!$A$2:$F$23,MATCH(Results!$B225,WP!$E$2:$E$23,0),2)),6)="Series",LEFT(IFERROR(IF(FIND("_",$B225)&gt;0,INDEX(WP!$A$2:$F$23,MATCH(LEFT($B225,FIND("_",$B225)-1),WP!$E$2:$E$23,0),2),IF(FIND("-",$B225)&gt;0,INDEX(WP!$A$2:$F$23,MATCH(LEFT($B225,FIND("_",$B225)-1),WP!$E$2:$E$23,0),2))),INDEX(WP!$A$2:$F$23,MATCH(Results!$B225,WP!$E$2:$E$23,0),2)),5),(IFERROR(IF(FIND("_",$B225)&gt;0,INDEX(WP!$A$2:$F$23,MATCH(LEFT($B225,FIND("_",$B225)-1),WP!$E$2:$E$23,0),2),IF(FIND("-",$B225)&gt;0,INDEX(WP!$A$2:$F$23,MATCH(LEFT($B225,FIND("_",$B225)-1),WP!$E$2:$E$23,0),2))),INDEX(WP!$A$2:$F$23,MATCH(Results!$B225,WP!$E$2:$E$23,0),2))))&amp;"-"&amp;$I225),"")</f>
        <v/>
      </c>
      <c r="G225" s="17" t="str">
        <f>IF(LEN(_xlfn.IFNA(IF(IFERROR(IF(FIND("_",$B225)&gt;0,MID($B225,FIND("_",$B225)+1,LEN($B225)),IF(FIND("-",$B225)&gt;0,MID($B225,FIND("-",$B225)+1,LEN($B225)))),"")="",IFERROR(VLOOKUP($F225,WP!$B$2:$C$23,2,0),VLOOKUP($C225,Series!$A$3:$F$11,6,0)),IFERROR(VLOOKUP($F225,WP!$B$2:$C$23,2,0),VLOOKUP($C225,Series!$A$3:$F$11,6,0))&amp;" - "&amp;(IFERROR(IF(FIND("_",$B225)&gt;0,MID($B225,FIND("_",$B225)+1,LEN($B225)),IF(FIND("-",$B225)&gt;0,MID($B225,FIND("-",$B225)+1,LEN($B225)))),""))),""))&lt;64,_xlfn.IFNA(IF(IFERROR(IF(FIND("_",$B225)&gt;0,MID($B225,FIND("_",$B225)+1,LEN($B225)),IF(FIND("-",$B225)&gt;0,MID($B225,FIND("-",$B225)+1,LEN($B225)))),"")="",IFERROR(VLOOKUP($F225,WP!$B$2:$C$23,2,0),VLOOKUP($C225,Series!$A$3:$F$11,6,0)),IFERROR(VLOOKUP($F225,WP!$B$2:$C$23,2,0),VLOOKUP($C225,Series!$A$3:$F$11,6,0))&amp;" - "&amp;(IFERROR(IF(FIND("_",$B225)&gt;0,MID($B225,FIND("_",$B225)+1,LEN($B225)),IF(FIND("-",$B225)&gt;0,MID($B225,FIND("-",$B225)+1,LEN($B225)))),""))),""),LEFT((_xlfn.IFNA(IF(IFERROR(IF(FIND("_",$B225)&gt;0,MID($B225,FIND("_",$B225)+1,LEN($B225)),IF(FIND("-",$B225)&gt;0,MID($B225,FIND("-",$B225)+1,LEN($B225)))),"")="",IFERROR(VLOOKUP($F225,WP!$B$2:$C$23,2,0),VLOOKUP($C225,Series!$A$3:$F$11,6,0)),IFERROR(VLOOKUP($F225,WP!$B$2:$C$23,2,0),VLOOKUP($C225,Series!$A$3:$F$11,6,0))&amp;" - "&amp;(IFERROR(IF(FIND("_",$B225)&gt;0,MID($B225,FIND("_",$B225)+1,LEN($B225)),IF(FIND("-",$B225)&gt;0,MID($B225,FIND("-",$B225)+1,LEN($B225)))),""))),"")),64))</f>
        <v/>
      </c>
      <c r="H225" s="12"/>
      <c r="I225" s="12" t="str">
        <f>IF($D225&lt;&gt;"",COUNTIF($D$7:$D225,"="&amp;$D225),"")</f>
        <v/>
      </c>
      <c r="J225"/>
      <c r="K225" s="8"/>
      <c r="L225"/>
    </row>
    <row r="226" spans="1:12" x14ac:dyDescent="0.3">
      <c r="A226" s="1"/>
      <c r="B226" s="26"/>
      <c r="C226" s="12" t="str">
        <f>_xlfn.IFNA(IFERROR(IF(FIND("_",$B226)&gt;0,INDEX(WP!$A$2:$F$23,MATCH(LEFT($B226,FIND("_",$B226)-1),WP!$E$2:$E$23,0),1),IF(FIND("-",$B226)&gt;0,INDEX(WP!$A$2:$F$23,MATCH(LEFT($B226,FIND("_",$B226)-1),WP!$E$2:$E$23,0),1))),INDEX(WP!$A$2:$F$23,MATCH(Results!$B226,WP!$E$2:$E$23,0),1)),"")</f>
        <v/>
      </c>
      <c r="D226" s="12" t="str">
        <f>IFERROR(IFERROR(IF(RIGHT(INDEX(WP!$A$2:$F$23,MATCH(IF(FIND("_",$B226)&gt;0,LEFT($B226,FIND("_",$B226)-1)),WP!$E$2:$E$23,0),2),6)="Series",LEFT(INDEX(WP!$A$2:$F$23,MATCH(IF(FIND("_",$B226)&gt;0,LEFT($B226,FIND("_",$B226)-1)),WP!$E$2:$E$23,0),2),5),""),IF(RIGHT(INDEX(WP!$A$2:$F$23,MATCH($B226,WP!$E$2:$E$23,0),2),6)="Series",LEFT(INDEX(WP!$A$2:$F$23,MATCH($B226,WP!$E$2:$E$23,0),2),5),"")),"")</f>
        <v/>
      </c>
      <c r="E226" s="17" t="str">
        <f>IFERROR(VLOOKUP(VALUE($D226),Series!$B$3:$F$11,2,0),"")</f>
        <v/>
      </c>
      <c r="F226" s="12" t="str">
        <f>_xlfn.IFNA(IF(IF($D226&lt;&gt;"",COUNTIF($E:$E,"="&amp;$D226),"")="",IF(RIGHT(IFERROR(IF(FIND("_",$B226)&gt;0,INDEX(WP!$A$2:$F$23,MATCH(LEFT($B226,FIND("_",$B226)-1),WP!$E$2:$E$23,0),2),IF(FIND("-",$B226)&gt;0,INDEX(WP!$A$2:$F$23,MATCH(LEFT($B226,FIND("_",$B226)-1),WP!$E$2:$E$23,0),2))),INDEX(WP!$A$2:$F$23,MATCH(Results!$B226,WP!$E$2:$E$23,0),2)),6)="Series",LEFT(IFERROR(IF(FIND("_",$B226)&gt;0,INDEX(WP!$A$2:$F$23,MATCH(LEFT($B226,FIND("_",$B226)-1),WP!$E$2:$E$23,0),2),IF(FIND("-",$B226)&gt;0,INDEX(WP!$A$2:$F$23,MATCH(LEFT($B226,FIND("_",$B226)-1),WP!$E$2:$E$23,0),2))),INDEX(WP!$A$2:$F$23,MATCH(Results!$B226,WP!$E$2:$E$23,0),2)),5),(IFERROR(IF(FIND("_",$B226)&gt;0,INDEX(WP!$A$2:$F$23,MATCH(LEFT($B226,FIND("_",$B226)-1),WP!$E$2:$E$23,0),2),IF(FIND("-",$B226)&gt;0,INDEX(WP!$A$2:$F$23,MATCH(LEFT($B226,FIND("_",$B226)-1),WP!$E$2:$E$23,0),2))),INDEX(WP!$A$2:$F$23,MATCH(Results!$B226,WP!$E$2:$E$23,0),2)))),IF(RIGHT(IFERROR(IF(FIND("_",$B226)&gt;0,INDEX(WP!$A$2:$F$23,MATCH(LEFT($B226,FIND("_",$B226)-1),WP!$E$2:$E$23,0),2),IF(FIND("-",$B226)&gt;0,INDEX(WP!$A$2:$F$23,MATCH(LEFT($B226,FIND("_",$B226)-1),WP!$E$2:$E$23,0),2))),INDEX(WP!$A$2:$F$23,MATCH(Results!$B226,WP!$E$2:$E$23,0),2)),6)="Series",LEFT(IFERROR(IF(FIND("_",$B226)&gt;0,INDEX(WP!$A$2:$F$23,MATCH(LEFT($B226,FIND("_",$B226)-1),WP!$E$2:$E$23,0),2),IF(FIND("-",$B226)&gt;0,INDEX(WP!$A$2:$F$23,MATCH(LEFT($B226,FIND("_",$B226)-1),WP!$E$2:$E$23,0),2))),INDEX(WP!$A$2:$F$23,MATCH(Results!$B226,WP!$E$2:$E$23,0),2)),5),(IFERROR(IF(FIND("_",$B226)&gt;0,INDEX(WP!$A$2:$F$23,MATCH(LEFT($B226,FIND("_",$B226)-1),WP!$E$2:$E$23,0),2),IF(FIND("-",$B226)&gt;0,INDEX(WP!$A$2:$F$23,MATCH(LEFT($B226,FIND("_",$B226)-1),WP!$E$2:$E$23,0),2))),INDEX(WP!$A$2:$F$23,MATCH(Results!$B226,WP!$E$2:$E$23,0),2))))&amp;"-"&amp;$I226),"")</f>
        <v/>
      </c>
      <c r="G226" s="17" t="str">
        <f>IF(LEN(_xlfn.IFNA(IF(IFERROR(IF(FIND("_",$B226)&gt;0,MID($B226,FIND("_",$B226)+1,LEN($B226)),IF(FIND("-",$B226)&gt;0,MID($B226,FIND("-",$B226)+1,LEN($B226)))),"")="",IFERROR(VLOOKUP($F226,WP!$B$2:$C$23,2,0),VLOOKUP($C226,Series!$A$3:$F$11,6,0)),IFERROR(VLOOKUP($F226,WP!$B$2:$C$23,2,0),VLOOKUP($C226,Series!$A$3:$F$11,6,0))&amp;" - "&amp;(IFERROR(IF(FIND("_",$B226)&gt;0,MID($B226,FIND("_",$B226)+1,LEN($B226)),IF(FIND("-",$B226)&gt;0,MID($B226,FIND("-",$B226)+1,LEN($B226)))),""))),""))&lt;64,_xlfn.IFNA(IF(IFERROR(IF(FIND("_",$B226)&gt;0,MID($B226,FIND("_",$B226)+1,LEN($B226)),IF(FIND("-",$B226)&gt;0,MID($B226,FIND("-",$B226)+1,LEN($B226)))),"")="",IFERROR(VLOOKUP($F226,WP!$B$2:$C$23,2,0),VLOOKUP($C226,Series!$A$3:$F$11,6,0)),IFERROR(VLOOKUP($F226,WP!$B$2:$C$23,2,0),VLOOKUP($C226,Series!$A$3:$F$11,6,0))&amp;" - "&amp;(IFERROR(IF(FIND("_",$B226)&gt;0,MID($B226,FIND("_",$B226)+1,LEN($B226)),IF(FIND("-",$B226)&gt;0,MID($B226,FIND("-",$B226)+1,LEN($B226)))),""))),""),LEFT((_xlfn.IFNA(IF(IFERROR(IF(FIND("_",$B226)&gt;0,MID($B226,FIND("_",$B226)+1,LEN($B226)),IF(FIND("-",$B226)&gt;0,MID($B226,FIND("-",$B226)+1,LEN($B226)))),"")="",IFERROR(VLOOKUP($F226,WP!$B$2:$C$23,2,0),VLOOKUP($C226,Series!$A$3:$F$11,6,0)),IFERROR(VLOOKUP($F226,WP!$B$2:$C$23,2,0),VLOOKUP($C226,Series!$A$3:$F$11,6,0))&amp;" - "&amp;(IFERROR(IF(FIND("_",$B226)&gt;0,MID($B226,FIND("_",$B226)+1,LEN($B226)),IF(FIND("-",$B226)&gt;0,MID($B226,FIND("-",$B226)+1,LEN($B226)))),""))),"")),64))</f>
        <v/>
      </c>
      <c r="H226" s="12"/>
      <c r="I226" s="12" t="str">
        <f>IF($D226&lt;&gt;"",COUNTIF($D$7:$D226,"="&amp;$D226),"")</f>
        <v/>
      </c>
      <c r="J226"/>
      <c r="K226" s="8"/>
      <c r="L226"/>
    </row>
    <row r="227" spans="1:12" x14ac:dyDescent="0.3">
      <c r="A227" s="1"/>
      <c r="B227" s="26"/>
      <c r="C227" s="12" t="str">
        <f>_xlfn.IFNA(IFERROR(IF(FIND("_",$B227)&gt;0,INDEX(WP!$A$2:$F$23,MATCH(LEFT($B227,FIND("_",$B227)-1),WP!$E$2:$E$23,0),1),IF(FIND("-",$B227)&gt;0,INDEX(WP!$A$2:$F$23,MATCH(LEFT($B227,FIND("_",$B227)-1),WP!$E$2:$E$23,0),1))),INDEX(WP!$A$2:$F$23,MATCH(Results!$B227,WP!$E$2:$E$23,0),1)),"")</f>
        <v/>
      </c>
      <c r="D227" s="12" t="str">
        <f>IFERROR(IFERROR(IF(RIGHT(INDEX(WP!$A$2:$F$23,MATCH(IF(FIND("_",$B227)&gt;0,LEFT($B227,FIND("_",$B227)-1)),WP!$E$2:$E$23,0),2),6)="Series",LEFT(INDEX(WP!$A$2:$F$23,MATCH(IF(FIND("_",$B227)&gt;0,LEFT($B227,FIND("_",$B227)-1)),WP!$E$2:$E$23,0),2),5),""),IF(RIGHT(INDEX(WP!$A$2:$F$23,MATCH($B227,WP!$E$2:$E$23,0),2),6)="Series",LEFT(INDEX(WP!$A$2:$F$23,MATCH($B227,WP!$E$2:$E$23,0),2),5),"")),"")</f>
        <v/>
      </c>
      <c r="E227" s="17" t="str">
        <f>IFERROR(VLOOKUP(VALUE($D227),Series!$B$3:$F$11,2,0),"")</f>
        <v/>
      </c>
      <c r="F227" s="12" t="str">
        <f>_xlfn.IFNA(IF(IF($D227&lt;&gt;"",COUNTIF($E:$E,"="&amp;$D227),"")="",IF(RIGHT(IFERROR(IF(FIND("_",$B227)&gt;0,INDEX(WP!$A$2:$F$23,MATCH(LEFT($B227,FIND("_",$B227)-1),WP!$E$2:$E$23,0),2),IF(FIND("-",$B227)&gt;0,INDEX(WP!$A$2:$F$23,MATCH(LEFT($B227,FIND("_",$B227)-1),WP!$E$2:$E$23,0),2))),INDEX(WP!$A$2:$F$23,MATCH(Results!$B227,WP!$E$2:$E$23,0),2)),6)="Series",LEFT(IFERROR(IF(FIND("_",$B227)&gt;0,INDEX(WP!$A$2:$F$23,MATCH(LEFT($B227,FIND("_",$B227)-1),WP!$E$2:$E$23,0),2),IF(FIND("-",$B227)&gt;0,INDEX(WP!$A$2:$F$23,MATCH(LEFT($B227,FIND("_",$B227)-1),WP!$E$2:$E$23,0),2))),INDEX(WP!$A$2:$F$23,MATCH(Results!$B227,WP!$E$2:$E$23,0),2)),5),(IFERROR(IF(FIND("_",$B227)&gt;0,INDEX(WP!$A$2:$F$23,MATCH(LEFT($B227,FIND("_",$B227)-1),WP!$E$2:$E$23,0),2),IF(FIND("-",$B227)&gt;0,INDEX(WP!$A$2:$F$23,MATCH(LEFT($B227,FIND("_",$B227)-1),WP!$E$2:$E$23,0),2))),INDEX(WP!$A$2:$F$23,MATCH(Results!$B227,WP!$E$2:$E$23,0),2)))),IF(RIGHT(IFERROR(IF(FIND("_",$B227)&gt;0,INDEX(WP!$A$2:$F$23,MATCH(LEFT($B227,FIND("_",$B227)-1),WP!$E$2:$E$23,0),2),IF(FIND("-",$B227)&gt;0,INDEX(WP!$A$2:$F$23,MATCH(LEFT($B227,FIND("_",$B227)-1),WP!$E$2:$E$23,0),2))),INDEX(WP!$A$2:$F$23,MATCH(Results!$B227,WP!$E$2:$E$23,0),2)),6)="Series",LEFT(IFERROR(IF(FIND("_",$B227)&gt;0,INDEX(WP!$A$2:$F$23,MATCH(LEFT($B227,FIND("_",$B227)-1),WP!$E$2:$E$23,0),2),IF(FIND("-",$B227)&gt;0,INDEX(WP!$A$2:$F$23,MATCH(LEFT($B227,FIND("_",$B227)-1),WP!$E$2:$E$23,0),2))),INDEX(WP!$A$2:$F$23,MATCH(Results!$B227,WP!$E$2:$E$23,0),2)),5),(IFERROR(IF(FIND("_",$B227)&gt;0,INDEX(WP!$A$2:$F$23,MATCH(LEFT($B227,FIND("_",$B227)-1),WP!$E$2:$E$23,0),2),IF(FIND("-",$B227)&gt;0,INDEX(WP!$A$2:$F$23,MATCH(LEFT($B227,FIND("_",$B227)-1),WP!$E$2:$E$23,0),2))),INDEX(WP!$A$2:$F$23,MATCH(Results!$B227,WP!$E$2:$E$23,0),2))))&amp;"-"&amp;$I227),"")</f>
        <v/>
      </c>
      <c r="G227" s="17" t="str">
        <f>IF(LEN(_xlfn.IFNA(IF(IFERROR(IF(FIND("_",$B227)&gt;0,MID($B227,FIND("_",$B227)+1,LEN($B227)),IF(FIND("-",$B227)&gt;0,MID($B227,FIND("-",$B227)+1,LEN($B227)))),"")="",IFERROR(VLOOKUP($F227,WP!$B$2:$C$23,2,0),VLOOKUP($C227,Series!$A$3:$F$11,6,0)),IFERROR(VLOOKUP($F227,WP!$B$2:$C$23,2,0),VLOOKUP($C227,Series!$A$3:$F$11,6,0))&amp;" - "&amp;(IFERROR(IF(FIND("_",$B227)&gt;0,MID($B227,FIND("_",$B227)+1,LEN($B227)),IF(FIND("-",$B227)&gt;0,MID($B227,FIND("-",$B227)+1,LEN($B227)))),""))),""))&lt;64,_xlfn.IFNA(IF(IFERROR(IF(FIND("_",$B227)&gt;0,MID($B227,FIND("_",$B227)+1,LEN($B227)),IF(FIND("-",$B227)&gt;0,MID($B227,FIND("-",$B227)+1,LEN($B227)))),"")="",IFERROR(VLOOKUP($F227,WP!$B$2:$C$23,2,0),VLOOKUP($C227,Series!$A$3:$F$11,6,0)),IFERROR(VLOOKUP($F227,WP!$B$2:$C$23,2,0),VLOOKUP($C227,Series!$A$3:$F$11,6,0))&amp;" - "&amp;(IFERROR(IF(FIND("_",$B227)&gt;0,MID($B227,FIND("_",$B227)+1,LEN($B227)),IF(FIND("-",$B227)&gt;0,MID($B227,FIND("-",$B227)+1,LEN($B227)))),""))),""),LEFT((_xlfn.IFNA(IF(IFERROR(IF(FIND("_",$B227)&gt;0,MID($B227,FIND("_",$B227)+1,LEN($B227)),IF(FIND("-",$B227)&gt;0,MID($B227,FIND("-",$B227)+1,LEN($B227)))),"")="",IFERROR(VLOOKUP($F227,WP!$B$2:$C$23,2,0),VLOOKUP($C227,Series!$A$3:$F$11,6,0)),IFERROR(VLOOKUP($F227,WP!$B$2:$C$23,2,0),VLOOKUP($C227,Series!$A$3:$F$11,6,0))&amp;" - "&amp;(IFERROR(IF(FIND("_",$B227)&gt;0,MID($B227,FIND("_",$B227)+1,LEN($B227)),IF(FIND("-",$B227)&gt;0,MID($B227,FIND("-",$B227)+1,LEN($B227)))),""))),"")),64))</f>
        <v/>
      </c>
      <c r="H227" s="12"/>
      <c r="I227" s="12" t="str">
        <f>IF($D227&lt;&gt;"",COUNTIF($D$7:$D227,"="&amp;$D227),"")</f>
        <v/>
      </c>
      <c r="J227"/>
      <c r="K227" s="8"/>
      <c r="L227"/>
    </row>
    <row r="228" spans="1:12" x14ac:dyDescent="0.3">
      <c r="A228" s="1"/>
      <c r="B228" s="26"/>
      <c r="C228" s="12" t="str">
        <f>_xlfn.IFNA(IFERROR(IF(FIND("_",$B228)&gt;0,INDEX(WP!$A$2:$F$23,MATCH(LEFT($B228,FIND("_",$B228)-1),WP!$E$2:$E$23,0),1),IF(FIND("-",$B228)&gt;0,INDEX(WP!$A$2:$F$23,MATCH(LEFT($B228,FIND("_",$B228)-1),WP!$E$2:$E$23,0),1))),INDEX(WP!$A$2:$F$23,MATCH(Results!$B228,WP!$E$2:$E$23,0),1)),"")</f>
        <v/>
      </c>
      <c r="D228" s="12" t="str">
        <f>IFERROR(IFERROR(IF(RIGHT(INDEX(WP!$A$2:$F$23,MATCH(IF(FIND("_",$B228)&gt;0,LEFT($B228,FIND("_",$B228)-1)),WP!$E$2:$E$23,0),2),6)="Series",LEFT(INDEX(WP!$A$2:$F$23,MATCH(IF(FIND("_",$B228)&gt;0,LEFT($B228,FIND("_",$B228)-1)),WP!$E$2:$E$23,0),2),5),""),IF(RIGHT(INDEX(WP!$A$2:$F$23,MATCH($B228,WP!$E$2:$E$23,0),2),6)="Series",LEFT(INDEX(WP!$A$2:$F$23,MATCH($B228,WP!$E$2:$E$23,0),2),5),"")),"")</f>
        <v/>
      </c>
      <c r="E228" s="17" t="str">
        <f>IFERROR(VLOOKUP(VALUE($D228),Series!$B$3:$F$11,2,0),"")</f>
        <v/>
      </c>
      <c r="F228" s="12" t="str">
        <f>_xlfn.IFNA(IF(IF($D228&lt;&gt;"",COUNTIF($E:$E,"="&amp;$D228),"")="",IF(RIGHT(IFERROR(IF(FIND("_",$B228)&gt;0,INDEX(WP!$A$2:$F$23,MATCH(LEFT($B228,FIND("_",$B228)-1),WP!$E$2:$E$23,0),2),IF(FIND("-",$B228)&gt;0,INDEX(WP!$A$2:$F$23,MATCH(LEFT($B228,FIND("_",$B228)-1),WP!$E$2:$E$23,0),2))),INDEX(WP!$A$2:$F$23,MATCH(Results!$B228,WP!$E$2:$E$23,0),2)),6)="Series",LEFT(IFERROR(IF(FIND("_",$B228)&gt;0,INDEX(WP!$A$2:$F$23,MATCH(LEFT($B228,FIND("_",$B228)-1),WP!$E$2:$E$23,0),2),IF(FIND("-",$B228)&gt;0,INDEX(WP!$A$2:$F$23,MATCH(LEFT($B228,FIND("_",$B228)-1),WP!$E$2:$E$23,0),2))),INDEX(WP!$A$2:$F$23,MATCH(Results!$B228,WP!$E$2:$E$23,0),2)),5),(IFERROR(IF(FIND("_",$B228)&gt;0,INDEX(WP!$A$2:$F$23,MATCH(LEFT($B228,FIND("_",$B228)-1),WP!$E$2:$E$23,0),2),IF(FIND("-",$B228)&gt;0,INDEX(WP!$A$2:$F$23,MATCH(LEFT($B228,FIND("_",$B228)-1),WP!$E$2:$E$23,0),2))),INDEX(WP!$A$2:$F$23,MATCH(Results!$B228,WP!$E$2:$E$23,0),2)))),IF(RIGHT(IFERROR(IF(FIND("_",$B228)&gt;0,INDEX(WP!$A$2:$F$23,MATCH(LEFT($B228,FIND("_",$B228)-1),WP!$E$2:$E$23,0),2),IF(FIND("-",$B228)&gt;0,INDEX(WP!$A$2:$F$23,MATCH(LEFT($B228,FIND("_",$B228)-1),WP!$E$2:$E$23,0),2))),INDEX(WP!$A$2:$F$23,MATCH(Results!$B228,WP!$E$2:$E$23,0),2)),6)="Series",LEFT(IFERROR(IF(FIND("_",$B228)&gt;0,INDEX(WP!$A$2:$F$23,MATCH(LEFT($B228,FIND("_",$B228)-1),WP!$E$2:$E$23,0),2),IF(FIND("-",$B228)&gt;0,INDEX(WP!$A$2:$F$23,MATCH(LEFT($B228,FIND("_",$B228)-1),WP!$E$2:$E$23,0),2))),INDEX(WP!$A$2:$F$23,MATCH(Results!$B228,WP!$E$2:$E$23,0),2)),5),(IFERROR(IF(FIND("_",$B228)&gt;0,INDEX(WP!$A$2:$F$23,MATCH(LEFT($B228,FIND("_",$B228)-1),WP!$E$2:$E$23,0),2),IF(FIND("-",$B228)&gt;0,INDEX(WP!$A$2:$F$23,MATCH(LEFT($B228,FIND("_",$B228)-1),WP!$E$2:$E$23,0),2))),INDEX(WP!$A$2:$F$23,MATCH(Results!$B228,WP!$E$2:$E$23,0),2))))&amp;"-"&amp;$I228),"")</f>
        <v/>
      </c>
      <c r="G228" s="17" t="str">
        <f>IF(LEN(_xlfn.IFNA(IF(IFERROR(IF(FIND("_",$B228)&gt;0,MID($B228,FIND("_",$B228)+1,LEN($B228)),IF(FIND("-",$B228)&gt;0,MID($B228,FIND("-",$B228)+1,LEN($B228)))),"")="",IFERROR(VLOOKUP($F228,WP!$B$2:$C$23,2,0),VLOOKUP($C228,Series!$A$3:$F$11,6,0)),IFERROR(VLOOKUP($F228,WP!$B$2:$C$23,2,0),VLOOKUP($C228,Series!$A$3:$F$11,6,0))&amp;" - "&amp;(IFERROR(IF(FIND("_",$B228)&gt;0,MID($B228,FIND("_",$B228)+1,LEN($B228)),IF(FIND("-",$B228)&gt;0,MID($B228,FIND("-",$B228)+1,LEN($B228)))),""))),""))&lt;64,_xlfn.IFNA(IF(IFERROR(IF(FIND("_",$B228)&gt;0,MID($B228,FIND("_",$B228)+1,LEN($B228)),IF(FIND("-",$B228)&gt;0,MID($B228,FIND("-",$B228)+1,LEN($B228)))),"")="",IFERROR(VLOOKUP($F228,WP!$B$2:$C$23,2,0),VLOOKUP($C228,Series!$A$3:$F$11,6,0)),IFERROR(VLOOKUP($F228,WP!$B$2:$C$23,2,0),VLOOKUP($C228,Series!$A$3:$F$11,6,0))&amp;" - "&amp;(IFERROR(IF(FIND("_",$B228)&gt;0,MID($B228,FIND("_",$B228)+1,LEN($B228)),IF(FIND("-",$B228)&gt;0,MID($B228,FIND("-",$B228)+1,LEN($B228)))),""))),""),LEFT((_xlfn.IFNA(IF(IFERROR(IF(FIND("_",$B228)&gt;0,MID($B228,FIND("_",$B228)+1,LEN($B228)),IF(FIND("-",$B228)&gt;0,MID($B228,FIND("-",$B228)+1,LEN($B228)))),"")="",IFERROR(VLOOKUP($F228,WP!$B$2:$C$23,2,0),VLOOKUP($C228,Series!$A$3:$F$11,6,0)),IFERROR(VLOOKUP($F228,WP!$B$2:$C$23,2,0),VLOOKUP($C228,Series!$A$3:$F$11,6,0))&amp;" - "&amp;(IFERROR(IF(FIND("_",$B228)&gt;0,MID($B228,FIND("_",$B228)+1,LEN($B228)),IF(FIND("-",$B228)&gt;0,MID($B228,FIND("-",$B228)+1,LEN($B228)))),""))),"")),64))</f>
        <v/>
      </c>
      <c r="H228" s="12"/>
      <c r="I228" s="12" t="str">
        <f>IF($D228&lt;&gt;"",COUNTIF($D$7:$D228,"="&amp;$D228),"")</f>
        <v/>
      </c>
      <c r="J228"/>
      <c r="K228" s="8"/>
      <c r="L228"/>
    </row>
    <row r="229" spans="1:12" x14ac:dyDescent="0.3">
      <c r="A229" s="1"/>
      <c r="B229" s="26"/>
      <c r="C229" s="12" t="str">
        <f>_xlfn.IFNA(IFERROR(IF(FIND("_",$B229)&gt;0,INDEX(WP!$A$2:$F$23,MATCH(LEFT($B229,FIND("_",$B229)-1),WP!$E$2:$E$23,0),1),IF(FIND("-",$B229)&gt;0,INDEX(WP!$A$2:$F$23,MATCH(LEFT($B229,FIND("_",$B229)-1),WP!$E$2:$E$23,0),1))),INDEX(WP!$A$2:$F$23,MATCH(Results!$B229,WP!$E$2:$E$23,0),1)),"")</f>
        <v/>
      </c>
      <c r="D229" s="12" t="str">
        <f>IFERROR(IFERROR(IF(RIGHT(INDEX(WP!$A$2:$F$23,MATCH(IF(FIND("_",$B229)&gt;0,LEFT($B229,FIND("_",$B229)-1)),WP!$E$2:$E$23,0),2),6)="Series",LEFT(INDEX(WP!$A$2:$F$23,MATCH(IF(FIND("_",$B229)&gt;0,LEFT($B229,FIND("_",$B229)-1)),WP!$E$2:$E$23,0),2),5),""),IF(RIGHT(INDEX(WP!$A$2:$F$23,MATCH($B229,WP!$E$2:$E$23,0),2),6)="Series",LEFT(INDEX(WP!$A$2:$F$23,MATCH($B229,WP!$E$2:$E$23,0),2),5),"")),"")</f>
        <v/>
      </c>
      <c r="E229" s="17" t="str">
        <f>IFERROR(VLOOKUP(VALUE($D229),Series!$B$3:$F$11,2,0),"")</f>
        <v/>
      </c>
      <c r="F229" s="12" t="str">
        <f>_xlfn.IFNA(IF(IF($D229&lt;&gt;"",COUNTIF($E:$E,"="&amp;$D229),"")="",IF(RIGHT(IFERROR(IF(FIND("_",$B229)&gt;0,INDEX(WP!$A$2:$F$23,MATCH(LEFT($B229,FIND("_",$B229)-1),WP!$E$2:$E$23,0),2),IF(FIND("-",$B229)&gt;0,INDEX(WP!$A$2:$F$23,MATCH(LEFT($B229,FIND("_",$B229)-1),WP!$E$2:$E$23,0),2))),INDEX(WP!$A$2:$F$23,MATCH(Results!$B229,WP!$E$2:$E$23,0),2)),6)="Series",LEFT(IFERROR(IF(FIND("_",$B229)&gt;0,INDEX(WP!$A$2:$F$23,MATCH(LEFT($B229,FIND("_",$B229)-1),WP!$E$2:$E$23,0),2),IF(FIND("-",$B229)&gt;0,INDEX(WP!$A$2:$F$23,MATCH(LEFT($B229,FIND("_",$B229)-1),WP!$E$2:$E$23,0),2))),INDEX(WP!$A$2:$F$23,MATCH(Results!$B229,WP!$E$2:$E$23,0),2)),5),(IFERROR(IF(FIND("_",$B229)&gt;0,INDEX(WP!$A$2:$F$23,MATCH(LEFT($B229,FIND("_",$B229)-1),WP!$E$2:$E$23,0),2),IF(FIND("-",$B229)&gt;0,INDEX(WP!$A$2:$F$23,MATCH(LEFT($B229,FIND("_",$B229)-1),WP!$E$2:$E$23,0),2))),INDEX(WP!$A$2:$F$23,MATCH(Results!$B229,WP!$E$2:$E$23,0),2)))),IF(RIGHT(IFERROR(IF(FIND("_",$B229)&gt;0,INDEX(WP!$A$2:$F$23,MATCH(LEFT($B229,FIND("_",$B229)-1),WP!$E$2:$E$23,0),2),IF(FIND("-",$B229)&gt;0,INDEX(WP!$A$2:$F$23,MATCH(LEFT($B229,FIND("_",$B229)-1),WP!$E$2:$E$23,0),2))),INDEX(WP!$A$2:$F$23,MATCH(Results!$B229,WP!$E$2:$E$23,0),2)),6)="Series",LEFT(IFERROR(IF(FIND("_",$B229)&gt;0,INDEX(WP!$A$2:$F$23,MATCH(LEFT($B229,FIND("_",$B229)-1),WP!$E$2:$E$23,0),2),IF(FIND("-",$B229)&gt;0,INDEX(WP!$A$2:$F$23,MATCH(LEFT($B229,FIND("_",$B229)-1),WP!$E$2:$E$23,0),2))),INDEX(WP!$A$2:$F$23,MATCH(Results!$B229,WP!$E$2:$E$23,0),2)),5),(IFERROR(IF(FIND("_",$B229)&gt;0,INDEX(WP!$A$2:$F$23,MATCH(LEFT($B229,FIND("_",$B229)-1),WP!$E$2:$E$23,0),2),IF(FIND("-",$B229)&gt;0,INDEX(WP!$A$2:$F$23,MATCH(LEFT($B229,FIND("_",$B229)-1),WP!$E$2:$E$23,0),2))),INDEX(WP!$A$2:$F$23,MATCH(Results!$B229,WP!$E$2:$E$23,0),2))))&amp;"-"&amp;$I229),"")</f>
        <v/>
      </c>
      <c r="G229" s="17" t="str">
        <f>IF(LEN(_xlfn.IFNA(IF(IFERROR(IF(FIND("_",$B229)&gt;0,MID($B229,FIND("_",$B229)+1,LEN($B229)),IF(FIND("-",$B229)&gt;0,MID($B229,FIND("-",$B229)+1,LEN($B229)))),"")="",IFERROR(VLOOKUP($F229,WP!$B$2:$C$23,2,0),VLOOKUP($C229,Series!$A$3:$F$11,6,0)),IFERROR(VLOOKUP($F229,WP!$B$2:$C$23,2,0),VLOOKUP($C229,Series!$A$3:$F$11,6,0))&amp;" - "&amp;(IFERROR(IF(FIND("_",$B229)&gt;0,MID($B229,FIND("_",$B229)+1,LEN($B229)),IF(FIND("-",$B229)&gt;0,MID($B229,FIND("-",$B229)+1,LEN($B229)))),""))),""))&lt;64,_xlfn.IFNA(IF(IFERROR(IF(FIND("_",$B229)&gt;0,MID($B229,FIND("_",$B229)+1,LEN($B229)),IF(FIND("-",$B229)&gt;0,MID($B229,FIND("-",$B229)+1,LEN($B229)))),"")="",IFERROR(VLOOKUP($F229,WP!$B$2:$C$23,2,0),VLOOKUP($C229,Series!$A$3:$F$11,6,0)),IFERROR(VLOOKUP($F229,WP!$B$2:$C$23,2,0),VLOOKUP($C229,Series!$A$3:$F$11,6,0))&amp;" - "&amp;(IFERROR(IF(FIND("_",$B229)&gt;0,MID($B229,FIND("_",$B229)+1,LEN($B229)),IF(FIND("-",$B229)&gt;0,MID($B229,FIND("-",$B229)+1,LEN($B229)))),""))),""),LEFT((_xlfn.IFNA(IF(IFERROR(IF(FIND("_",$B229)&gt;0,MID($B229,FIND("_",$B229)+1,LEN($B229)),IF(FIND("-",$B229)&gt;0,MID($B229,FIND("-",$B229)+1,LEN($B229)))),"")="",IFERROR(VLOOKUP($F229,WP!$B$2:$C$23,2,0),VLOOKUP($C229,Series!$A$3:$F$11,6,0)),IFERROR(VLOOKUP($F229,WP!$B$2:$C$23,2,0),VLOOKUP($C229,Series!$A$3:$F$11,6,0))&amp;" - "&amp;(IFERROR(IF(FIND("_",$B229)&gt;0,MID($B229,FIND("_",$B229)+1,LEN($B229)),IF(FIND("-",$B229)&gt;0,MID($B229,FIND("-",$B229)+1,LEN($B229)))),""))),"")),64))</f>
        <v/>
      </c>
      <c r="H229" s="12"/>
      <c r="I229" s="12" t="str">
        <f>IF($D229&lt;&gt;"",COUNTIF($D$7:$D229,"="&amp;$D229),"")</f>
        <v/>
      </c>
      <c r="J229"/>
      <c r="K229" s="8"/>
      <c r="L229"/>
    </row>
    <row r="230" spans="1:12" x14ac:dyDescent="0.3">
      <c r="A230" s="1"/>
      <c r="B230" s="26"/>
      <c r="C230" s="12" t="str">
        <f>_xlfn.IFNA(IFERROR(IF(FIND("_",$B230)&gt;0,INDEX(WP!$A$2:$F$23,MATCH(LEFT($B230,FIND("_",$B230)-1),WP!$E$2:$E$23,0),1),IF(FIND("-",$B230)&gt;0,INDEX(WP!$A$2:$F$23,MATCH(LEFT($B230,FIND("_",$B230)-1),WP!$E$2:$E$23,0),1))),INDEX(WP!$A$2:$F$23,MATCH(Results!$B230,WP!$E$2:$E$23,0),1)),"")</f>
        <v/>
      </c>
      <c r="D230" s="12" t="str">
        <f>IFERROR(IFERROR(IF(RIGHT(INDEX(WP!$A$2:$F$23,MATCH(IF(FIND("_",$B230)&gt;0,LEFT($B230,FIND("_",$B230)-1)),WP!$E$2:$E$23,0),2),6)="Series",LEFT(INDEX(WP!$A$2:$F$23,MATCH(IF(FIND("_",$B230)&gt;0,LEFT($B230,FIND("_",$B230)-1)),WP!$E$2:$E$23,0),2),5),""),IF(RIGHT(INDEX(WP!$A$2:$F$23,MATCH($B230,WP!$E$2:$E$23,0),2),6)="Series",LEFT(INDEX(WP!$A$2:$F$23,MATCH($B230,WP!$E$2:$E$23,0),2),5),"")),"")</f>
        <v/>
      </c>
      <c r="E230" s="17" t="str">
        <f>IFERROR(VLOOKUP(VALUE($D230),Series!$B$3:$F$11,2,0),"")</f>
        <v/>
      </c>
      <c r="F230" s="12" t="str">
        <f>_xlfn.IFNA(IF(IF($D230&lt;&gt;"",COUNTIF($E:$E,"="&amp;$D230),"")="",IF(RIGHT(IFERROR(IF(FIND("_",$B230)&gt;0,INDEX(WP!$A$2:$F$23,MATCH(LEFT($B230,FIND("_",$B230)-1),WP!$E$2:$E$23,0),2),IF(FIND("-",$B230)&gt;0,INDEX(WP!$A$2:$F$23,MATCH(LEFT($B230,FIND("_",$B230)-1),WP!$E$2:$E$23,0),2))),INDEX(WP!$A$2:$F$23,MATCH(Results!$B230,WP!$E$2:$E$23,0),2)),6)="Series",LEFT(IFERROR(IF(FIND("_",$B230)&gt;0,INDEX(WP!$A$2:$F$23,MATCH(LEFT($B230,FIND("_",$B230)-1),WP!$E$2:$E$23,0),2),IF(FIND("-",$B230)&gt;0,INDEX(WP!$A$2:$F$23,MATCH(LEFT($B230,FIND("_",$B230)-1),WP!$E$2:$E$23,0),2))),INDEX(WP!$A$2:$F$23,MATCH(Results!$B230,WP!$E$2:$E$23,0),2)),5),(IFERROR(IF(FIND("_",$B230)&gt;0,INDEX(WP!$A$2:$F$23,MATCH(LEFT($B230,FIND("_",$B230)-1),WP!$E$2:$E$23,0),2),IF(FIND("-",$B230)&gt;0,INDEX(WP!$A$2:$F$23,MATCH(LEFT($B230,FIND("_",$B230)-1),WP!$E$2:$E$23,0),2))),INDEX(WP!$A$2:$F$23,MATCH(Results!$B230,WP!$E$2:$E$23,0),2)))),IF(RIGHT(IFERROR(IF(FIND("_",$B230)&gt;0,INDEX(WP!$A$2:$F$23,MATCH(LEFT($B230,FIND("_",$B230)-1),WP!$E$2:$E$23,0),2),IF(FIND("-",$B230)&gt;0,INDEX(WP!$A$2:$F$23,MATCH(LEFT($B230,FIND("_",$B230)-1),WP!$E$2:$E$23,0),2))),INDEX(WP!$A$2:$F$23,MATCH(Results!$B230,WP!$E$2:$E$23,0),2)),6)="Series",LEFT(IFERROR(IF(FIND("_",$B230)&gt;0,INDEX(WP!$A$2:$F$23,MATCH(LEFT($B230,FIND("_",$B230)-1),WP!$E$2:$E$23,0),2),IF(FIND("-",$B230)&gt;0,INDEX(WP!$A$2:$F$23,MATCH(LEFT($B230,FIND("_",$B230)-1),WP!$E$2:$E$23,0),2))),INDEX(WP!$A$2:$F$23,MATCH(Results!$B230,WP!$E$2:$E$23,0),2)),5),(IFERROR(IF(FIND("_",$B230)&gt;0,INDEX(WP!$A$2:$F$23,MATCH(LEFT($B230,FIND("_",$B230)-1),WP!$E$2:$E$23,0),2),IF(FIND("-",$B230)&gt;0,INDEX(WP!$A$2:$F$23,MATCH(LEFT($B230,FIND("_",$B230)-1),WP!$E$2:$E$23,0),2))),INDEX(WP!$A$2:$F$23,MATCH(Results!$B230,WP!$E$2:$E$23,0),2))))&amp;"-"&amp;$I230),"")</f>
        <v/>
      </c>
      <c r="G230" s="17" t="str">
        <f>IF(LEN(_xlfn.IFNA(IF(IFERROR(IF(FIND("_",$B230)&gt;0,MID($B230,FIND("_",$B230)+1,LEN($B230)),IF(FIND("-",$B230)&gt;0,MID($B230,FIND("-",$B230)+1,LEN($B230)))),"")="",IFERROR(VLOOKUP($F230,WP!$B$2:$C$23,2,0),VLOOKUP($C230,Series!$A$3:$F$11,6,0)),IFERROR(VLOOKUP($F230,WP!$B$2:$C$23,2,0),VLOOKUP($C230,Series!$A$3:$F$11,6,0))&amp;" - "&amp;(IFERROR(IF(FIND("_",$B230)&gt;0,MID($B230,FIND("_",$B230)+1,LEN($B230)),IF(FIND("-",$B230)&gt;0,MID($B230,FIND("-",$B230)+1,LEN($B230)))),""))),""))&lt;64,_xlfn.IFNA(IF(IFERROR(IF(FIND("_",$B230)&gt;0,MID($B230,FIND("_",$B230)+1,LEN($B230)),IF(FIND("-",$B230)&gt;0,MID($B230,FIND("-",$B230)+1,LEN($B230)))),"")="",IFERROR(VLOOKUP($F230,WP!$B$2:$C$23,2,0),VLOOKUP($C230,Series!$A$3:$F$11,6,0)),IFERROR(VLOOKUP($F230,WP!$B$2:$C$23,2,0),VLOOKUP($C230,Series!$A$3:$F$11,6,0))&amp;" - "&amp;(IFERROR(IF(FIND("_",$B230)&gt;0,MID($B230,FIND("_",$B230)+1,LEN($B230)),IF(FIND("-",$B230)&gt;0,MID($B230,FIND("-",$B230)+1,LEN($B230)))),""))),""),LEFT((_xlfn.IFNA(IF(IFERROR(IF(FIND("_",$B230)&gt;0,MID($B230,FIND("_",$B230)+1,LEN($B230)),IF(FIND("-",$B230)&gt;0,MID($B230,FIND("-",$B230)+1,LEN($B230)))),"")="",IFERROR(VLOOKUP($F230,WP!$B$2:$C$23,2,0),VLOOKUP($C230,Series!$A$3:$F$11,6,0)),IFERROR(VLOOKUP($F230,WP!$B$2:$C$23,2,0),VLOOKUP($C230,Series!$A$3:$F$11,6,0))&amp;" - "&amp;(IFERROR(IF(FIND("_",$B230)&gt;0,MID($B230,FIND("_",$B230)+1,LEN($B230)),IF(FIND("-",$B230)&gt;0,MID($B230,FIND("-",$B230)+1,LEN($B230)))),""))),"")),64))</f>
        <v/>
      </c>
      <c r="H230" s="12"/>
      <c r="I230" s="12" t="str">
        <f>IF($D230&lt;&gt;"",COUNTIF($D$7:$D230,"="&amp;$D230),"")</f>
        <v/>
      </c>
      <c r="J230"/>
      <c r="K230" s="8"/>
      <c r="L230"/>
    </row>
    <row r="231" spans="1:12" x14ac:dyDescent="0.3">
      <c r="A231" s="1"/>
      <c r="B231" s="26"/>
      <c r="C231" s="12" t="str">
        <f>_xlfn.IFNA(IFERROR(IF(FIND("_",$B231)&gt;0,INDEX(WP!$A$2:$F$23,MATCH(LEFT($B231,FIND("_",$B231)-1),WP!$E$2:$E$23,0),1),IF(FIND("-",$B231)&gt;0,INDEX(WP!$A$2:$F$23,MATCH(LEFT($B231,FIND("_",$B231)-1),WP!$E$2:$E$23,0),1))),INDEX(WP!$A$2:$F$23,MATCH(Results!$B231,WP!$E$2:$E$23,0),1)),"")</f>
        <v/>
      </c>
      <c r="D231" s="12" t="str">
        <f>IFERROR(IFERROR(IF(RIGHT(INDEX(WP!$A$2:$F$23,MATCH(IF(FIND("_",$B231)&gt;0,LEFT($B231,FIND("_",$B231)-1)),WP!$E$2:$E$23,0),2),6)="Series",LEFT(INDEX(WP!$A$2:$F$23,MATCH(IF(FIND("_",$B231)&gt;0,LEFT($B231,FIND("_",$B231)-1)),WP!$E$2:$E$23,0),2),5),""),IF(RIGHT(INDEX(WP!$A$2:$F$23,MATCH($B231,WP!$E$2:$E$23,0),2),6)="Series",LEFT(INDEX(WP!$A$2:$F$23,MATCH($B231,WP!$E$2:$E$23,0),2),5),"")),"")</f>
        <v/>
      </c>
      <c r="E231" s="17" t="str">
        <f>IFERROR(VLOOKUP(VALUE($D231),Series!$B$3:$F$11,2,0),"")</f>
        <v/>
      </c>
      <c r="F231" s="12" t="str">
        <f>_xlfn.IFNA(IF(IF($D231&lt;&gt;"",COUNTIF($E:$E,"="&amp;$D231),"")="",IF(RIGHT(IFERROR(IF(FIND("_",$B231)&gt;0,INDEX(WP!$A$2:$F$23,MATCH(LEFT($B231,FIND("_",$B231)-1),WP!$E$2:$E$23,0),2),IF(FIND("-",$B231)&gt;0,INDEX(WP!$A$2:$F$23,MATCH(LEFT($B231,FIND("_",$B231)-1),WP!$E$2:$E$23,0),2))),INDEX(WP!$A$2:$F$23,MATCH(Results!$B231,WP!$E$2:$E$23,0),2)),6)="Series",LEFT(IFERROR(IF(FIND("_",$B231)&gt;0,INDEX(WP!$A$2:$F$23,MATCH(LEFT($B231,FIND("_",$B231)-1),WP!$E$2:$E$23,0),2),IF(FIND("-",$B231)&gt;0,INDEX(WP!$A$2:$F$23,MATCH(LEFT($B231,FIND("_",$B231)-1),WP!$E$2:$E$23,0),2))),INDEX(WP!$A$2:$F$23,MATCH(Results!$B231,WP!$E$2:$E$23,0),2)),5),(IFERROR(IF(FIND("_",$B231)&gt;0,INDEX(WP!$A$2:$F$23,MATCH(LEFT($B231,FIND("_",$B231)-1),WP!$E$2:$E$23,0),2),IF(FIND("-",$B231)&gt;0,INDEX(WP!$A$2:$F$23,MATCH(LEFT($B231,FIND("_",$B231)-1),WP!$E$2:$E$23,0),2))),INDEX(WP!$A$2:$F$23,MATCH(Results!$B231,WP!$E$2:$E$23,0),2)))),IF(RIGHT(IFERROR(IF(FIND("_",$B231)&gt;0,INDEX(WP!$A$2:$F$23,MATCH(LEFT($B231,FIND("_",$B231)-1),WP!$E$2:$E$23,0),2),IF(FIND("-",$B231)&gt;0,INDEX(WP!$A$2:$F$23,MATCH(LEFT($B231,FIND("_",$B231)-1),WP!$E$2:$E$23,0),2))),INDEX(WP!$A$2:$F$23,MATCH(Results!$B231,WP!$E$2:$E$23,0),2)),6)="Series",LEFT(IFERROR(IF(FIND("_",$B231)&gt;0,INDEX(WP!$A$2:$F$23,MATCH(LEFT($B231,FIND("_",$B231)-1),WP!$E$2:$E$23,0),2),IF(FIND("-",$B231)&gt;0,INDEX(WP!$A$2:$F$23,MATCH(LEFT($B231,FIND("_",$B231)-1),WP!$E$2:$E$23,0),2))),INDEX(WP!$A$2:$F$23,MATCH(Results!$B231,WP!$E$2:$E$23,0),2)),5),(IFERROR(IF(FIND("_",$B231)&gt;0,INDEX(WP!$A$2:$F$23,MATCH(LEFT($B231,FIND("_",$B231)-1),WP!$E$2:$E$23,0),2),IF(FIND("-",$B231)&gt;0,INDEX(WP!$A$2:$F$23,MATCH(LEFT($B231,FIND("_",$B231)-1),WP!$E$2:$E$23,0),2))),INDEX(WP!$A$2:$F$23,MATCH(Results!$B231,WP!$E$2:$E$23,0),2))))&amp;"-"&amp;$I231),"")</f>
        <v/>
      </c>
      <c r="G231" s="17" t="str">
        <f>IF(LEN(_xlfn.IFNA(IF(IFERROR(IF(FIND("_",$B231)&gt;0,MID($B231,FIND("_",$B231)+1,LEN($B231)),IF(FIND("-",$B231)&gt;0,MID($B231,FIND("-",$B231)+1,LEN($B231)))),"")="",IFERROR(VLOOKUP($F231,WP!$B$2:$C$23,2,0),VLOOKUP($C231,Series!$A$3:$F$11,6,0)),IFERROR(VLOOKUP($F231,WP!$B$2:$C$23,2,0),VLOOKUP($C231,Series!$A$3:$F$11,6,0))&amp;" - "&amp;(IFERROR(IF(FIND("_",$B231)&gt;0,MID($B231,FIND("_",$B231)+1,LEN($B231)),IF(FIND("-",$B231)&gt;0,MID($B231,FIND("-",$B231)+1,LEN($B231)))),""))),""))&lt;64,_xlfn.IFNA(IF(IFERROR(IF(FIND("_",$B231)&gt;0,MID($B231,FIND("_",$B231)+1,LEN($B231)),IF(FIND("-",$B231)&gt;0,MID($B231,FIND("-",$B231)+1,LEN($B231)))),"")="",IFERROR(VLOOKUP($F231,WP!$B$2:$C$23,2,0),VLOOKUP($C231,Series!$A$3:$F$11,6,0)),IFERROR(VLOOKUP($F231,WP!$B$2:$C$23,2,0),VLOOKUP($C231,Series!$A$3:$F$11,6,0))&amp;" - "&amp;(IFERROR(IF(FIND("_",$B231)&gt;0,MID($B231,FIND("_",$B231)+1,LEN($B231)),IF(FIND("-",$B231)&gt;0,MID($B231,FIND("-",$B231)+1,LEN($B231)))),""))),""),LEFT((_xlfn.IFNA(IF(IFERROR(IF(FIND("_",$B231)&gt;0,MID($B231,FIND("_",$B231)+1,LEN($B231)),IF(FIND("-",$B231)&gt;0,MID($B231,FIND("-",$B231)+1,LEN($B231)))),"")="",IFERROR(VLOOKUP($F231,WP!$B$2:$C$23,2,0),VLOOKUP($C231,Series!$A$3:$F$11,6,0)),IFERROR(VLOOKUP($F231,WP!$B$2:$C$23,2,0),VLOOKUP($C231,Series!$A$3:$F$11,6,0))&amp;" - "&amp;(IFERROR(IF(FIND("_",$B231)&gt;0,MID($B231,FIND("_",$B231)+1,LEN($B231)),IF(FIND("-",$B231)&gt;0,MID($B231,FIND("-",$B231)+1,LEN($B231)))),""))),"")),64))</f>
        <v/>
      </c>
      <c r="H231" s="12"/>
      <c r="I231" s="12" t="str">
        <f>IF($D231&lt;&gt;"",COUNTIF($D$7:$D231,"="&amp;$D231),"")</f>
        <v/>
      </c>
      <c r="J231"/>
      <c r="K231" s="8"/>
      <c r="L231"/>
    </row>
    <row r="232" spans="1:12" x14ac:dyDescent="0.3">
      <c r="A232" s="1"/>
      <c r="B232" s="26"/>
      <c r="C232" s="12" t="str">
        <f>_xlfn.IFNA(IFERROR(IF(FIND("_",$B232)&gt;0,INDEX(WP!$A$2:$F$23,MATCH(LEFT($B232,FIND("_",$B232)-1),WP!$E$2:$E$23,0),1),IF(FIND("-",$B232)&gt;0,INDEX(WP!$A$2:$F$23,MATCH(LEFT($B232,FIND("_",$B232)-1),WP!$E$2:$E$23,0),1))),INDEX(WP!$A$2:$F$23,MATCH(Results!$B232,WP!$E$2:$E$23,0),1)),"")</f>
        <v/>
      </c>
      <c r="D232" s="12" t="str">
        <f>IFERROR(IFERROR(IF(RIGHT(INDEX(WP!$A$2:$F$23,MATCH(IF(FIND("_",$B232)&gt;0,LEFT($B232,FIND("_",$B232)-1)),WP!$E$2:$E$23,0),2),6)="Series",LEFT(INDEX(WP!$A$2:$F$23,MATCH(IF(FIND("_",$B232)&gt;0,LEFT($B232,FIND("_",$B232)-1)),WP!$E$2:$E$23,0),2),5),""),IF(RIGHT(INDEX(WP!$A$2:$F$23,MATCH($B232,WP!$E$2:$E$23,0),2),6)="Series",LEFT(INDEX(WP!$A$2:$F$23,MATCH($B232,WP!$E$2:$E$23,0),2),5),"")),"")</f>
        <v/>
      </c>
      <c r="E232" s="17" t="str">
        <f>IFERROR(VLOOKUP(VALUE($D232),Series!$B$3:$F$11,2,0),"")</f>
        <v/>
      </c>
      <c r="F232" s="12" t="str">
        <f>_xlfn.IFNA(IF(IF($D232&lt;&gt;"",COUNTIF($E:$E,"="&amp;$D232),"")="",IF(RIGHT(IFERROR(IF(FIND("_",$B232)&gt;0,INDEX(WP!$A$2:$F$23,MATCH(LEFT($B232,FIND("_",$B232)-1),WP!$E$2:$E$23,0),2),IF(FIND("-",$B232)&gt;0,INDEX(WP!$A$2:$F$23,MATCH(LEFT($B232,FIND("_",$B232)-1),WP!$E$2:$E$23,0),2))),INDEX(WP!$A$2:$F$23,MATCH(Results!$B232,WP!$E$2:$E$23,0),2)),6)="Series",LEFT(IFERROR(IF(FIND("_",$B232)&gt;0,INDEX(WP!$A$2:$F$23,MATCH(LEFT($B232,FIND("_",$B232)-1),WP!$E$2:$E$23,0),2),IF(FIND("-",$B232)&gt;0,INDEX(WP!$A$2:$F$23,MATCH(LEFT($B232,FIND("_",$B232)-1),WP!$E$2:$E$23,0),2))),INDEX(WP!$A$2:$F$23,MATCH(Results!$B232,WP!$E$2:$E$23,0),2)),5),(IFERROR(IF(FIND("_",$B232)&gt;0,INDEX(WP!$A$2:$F$23,MATCH(LEFT($B232,FIND("_",$B232)-1),WP!$E$2:$E$23,0),2),IF(FIND("-",$B232)&gt;0,INDEX(WP!$A$2:$F$23,MATCH(LEFT($B232,FIND("_",$B232)-1),WP!$E$2:$E$23,0),2))),INDEX(WP!$A$2:$F$23,MATCH(Results!$B232,WP!$E$2:$E$23,0),2)))),IF(RIGHT(IFERROR(IF(FIND("_",$B232)&gt;0,INDEX(WP!$A$2:$F$23,MATCH(LEFT($B232,FIND("_",$B232)-1),WP!$E$2:$E$23,0),2),IF(FIND("-",$B232)&gt;0,INDEX(WP!$A$2:$F$23,MATCH(LEFT($B232,FIND("_",$B232)-1),WP!$E$2:$E$23,0),2))),INDEX(WP!$A$2:$F$23,MATCH(Results!$B232,WP!$E$2:$E$23,0),2)),6)="Series",LEFT(IFERROR(IF(FIND("_",$B232)&gt;0,INDEX(WP!$A$2:$F$23,MATCH(LEFT($B232,FIND("_",$B232)-1),WP!$E$2:$E$23,0),2),IF(FIND("-",$B232)&gt;0,INDEX(WP!$A$2:$F$23,MATCH(LEFT($B232,FIND("_",$B232)-1),WP!$E$2:$E$23,0),2))),INDEX(WP!$A$2:$F$23,MATCH(Results!$B232,WP!$E$2:$E$23,0),2)),5),(IFERROR(IF(FIND("_",$B232)&gt;0,INDEX(WP!$A$2:$F$23,MATCH(LEFT($B232,FIND("_",$B232)-1),WP!$E$2:$E$23,0),2),IF(FIND("-",$B232)&gt;0,INDEX(WP!$A$2:$F$23,MATCH(LEFT($B232,FIND("_",$B232)-1),WP!$E$2:$E$23,0),2))),INDEX(WP!$A$2:$F$23,MATCH(Results!$B232,WP!$E$2:$E$23,0),2))))&amp;"-"&amp;$I232),"")</f>
        <v/>
      </c>
      <c r="G232" s="17" t="str">
        <f>IF(LEN(_xlfn.IFNA(IF(IFERROR(IF(FIND("_",$B232)&gt;0,MID($B232,FIND("_",$B232)+1,LEN($B232)),IF(FIND("-",$B232)&gt;0,MID($B232,FIND("-",$B232)+1,LEN($B232)))),"")="",IFERROR(VLOOKUP($F232,WP!$B$2:$C$23,2,0),VLOOKUP($C232,Series!$A$3:$F$11,6,0)),IFERROR(VLOOKUP($F232,WP!$B$2:$C$23,2,0),VLOOKUP($C232,Series!$A$3:$F$11,6,0))&amp;" - "&amp;(IFERROR(IF(FIND("_",$B232)&gt;0,MID($B232,FIND("_",$B232)+1,LEN($B232)),IF(FIND("-",$B232)&gt;0,MID($B232,FIND("-",$B232)+1,LEN($B232)))),""))),""))&lt;64,_xlfn.IFNA(IF(IFERROR(IF(FIND("_",$B232)&gt;0,MID($B232,FIND("_",$B232)+1,LEN($B232)),IF(FIND("-",$B232)&gt;0,MID($B232,FIND("-",$B232)+1,LEN($B232)))),"")="",IFERROR(VLOOKUP($F232,WP!$B$2:$C$23,2,0),VLOOKUP($C232,Series!$A$3:$F$11,6,0)),IFERROR(VLOOKUP($F232,WP!$B$2:$C$23,2,0),VLOOKUP($C232,Series!$A$3:$F$11,6,0))&amp;" - "&amp;(IFERROR(IF(FIND("_",$B232)&gt;0,MID($B232,FIND("_",$B232)+1,LEN($B232)),IF(FIND("-",$B232)&gt;0,MID($B232,FIND("-",$B232)+1,LEN($B232)))),""))),""),LEFT((_xlfn.IFNA(IF(IFERROR(IF(FIND("_",$B232)&gt;0,MID($B232,FIND("_",$B232)+1,LEN($B232)),IF(FIND("-",$B232)&gt;0,MID($B232,FIND("-",$B232)+1,LEN($B232)))),"")="",IFERROR(VLOOKUP($F232,WP!$B$2:$C$23,2,0),VLOOKUP($C232,Series!$A$3:$F$11,6,0)),IFERROR(VLOOKUP($F232,WP!$B$2:$C$23,2,0),VLOOKUP($C232,Series!$A$3:$F$11,6,0))&amp;" - "&amp;(IFERROR(IF(FIND("_",$B232)&gt;0,MID($B232,FIND("_",$B232)+1,LEN($B232)),IF(FIND("-",$B232)&gt;0,MID($B232,FIND("-",$B232)+1,LEN($B232)))),""))),"")),64))</f>
        <v/>
      </c>
      <c r="H232" s="12"/>
      <c r="I232" s="12" t="str">
        <f>IF($D232&lt;&gt;"",COUNTIF($D$7:$D232,"="&amp;$D232),"")</f>
        <v/>
      </c>
      <c r="J232"/>
      <c r="K232" s="8"/>
      <c r="L232"/>
    </row>
    <row r="233" spans="1:12" x14ac:dyDescent="0.3">
      <c r="A233" s="1"/>
      <c r="B233" s="26"/>
      <c r="C233" s="12" t="str">
        <f>_xlfn.IFNA(IFERROR(IF(FIND("_",$B233)&gt;0,INDEX(WP!$A$2:$F$23,MATCH(LEFT($B233,FIND("_",$B233)-1),WP!$E$2:$E$23,0),1),IF(FIND("-",$B233)&gt;0,INDEX(WP!$A$2:$F$23,MATCH(LEFT($B233,FIND("_",$B233)-1),WP!$E$2:$E$23,0),1))),INDEX(WP!$A$2:$F$23,MATCH(Results!$B233,WP!$E$2:$E$23,0),1)),"")</f>
        <v/>
      </c>
      <c r="D233" s="12" t="str">
        <f>IFERROR(IFERROR(IF(RIGHT(INDEX(WP!$A$2:$F$23,MATCH(IF(FIND("_",$B233)&gt;0,LEFT($B233,FIND("_",$B233)-1)),WP!$E$2:$E$23,0),2),6)="Series",LEFT(INDEX(WP!$A$2:$F$23,MATCH(IF(FIND("_",$B233)&gt;0,LEFT($B233,FIND("_",$B233)-1)),WP!$E$2:$E$23,0),2),5),""),IF(RIGHT(INDEX(WP!$A$2:$F$23,MATCH($B233,WP!$E$2:$E$23,0),2),6)="Series",LEFT(INDEX(WP!$A$2:$F$23,MATCH($B233,WP!$E$2:$E$23,0),2),5),"")),"")</f>
        <v/>
      </c>
      <c r="E233" s="17" t="str">
        <f>IFERROR(VLOOKUP(VALUE($D233),Series!$B$3:$F$11,2,0),"")</f>
        <v/>
      </c>
      <c r="F233" s="12" t="str">
        <f>_xlfn.IFNA(IF(IF($D233&lt;&gt;"",COUNTIF($E:$E,"="&amp;$D233),"")="",IF(RIGHT(IFERROR(IF(FIND("_",$B233)&gt;0,INDEX(WP!$A$2:$F$23,MATCH(LEFT($B233,FIND("_",$B233)-1),WP!$E$2:$E$23,0),2),IF(FIND("-",$B233)&gt;0,INDEX(WP!$A$2:$F$23,MATCH(LEFT($B233,FIND("_",$B233)-1),WP!$E$2:$E$23,0),2))),INDEX(WP!$A$2:$F$23,MATCH(Results!$B233,WP!$E$2:$E$23,0),2)),6)="Series",LEFT(IFERROR(IF(FIND("_",$B233)&gt;0,INDEX(WP!$A$2:$F$23,MATCH(LEFT($B233,FIND("_",$B233)-1),WP!$E$2:$E$23,0),2),IF(FIND("-",$B233)&gt;0,INDEX(WP!$A$2:$F$23,MATCH(LEFT($B233,FIND("_",$B233)-1),WP!$E$2:$E$23,0),2))),INDEX(WP!$A$2:$F$23,MATCH(Results!$B233,WP!$E$2:$E$23,0),2)),5),(IFERROR(IF(FIND("_",$B233)&gt;0,INDEX(WP!$A$2:$F$23,MATCH(LEFT($B233,FIND("_",$B233)-1),WP!$E$2:$E$23,0),2),IF(FIND("-",$B233)&gt;0,INDEX(WP!$A$2:$F$23,MATCH(LEFT($B233,FIND("_",$B233)-1),WP!$E$2:$E$23,0),2))),INDEX(WP!$A$2:$F$23,MATCH(Results!$B233,WP!$E$2:$E$23,0),2)))),IF(RIGHT(IFERROR(IF(FIND("_",$B233)&gt;0,INDEX(WP!$A$2:$F$23,MATCH(LEFT($B233,FIND("_",$B233)-1),WP!$E$2:$E$23,0),2),IF(FIND("-",$B233)&gt;0,INDEX(WP!$A$2:$F$23,MATCH(LEFT($B233,FIND("_",$B233)-1),WP!$E$2:$E$23,0),2))),INDEX(WP!$A$2:$F$23,MATCH(Results!$B233,WP!$E$2:$E$23,0),2)),6)="Series",LEFT(IFERROR(IF(FIND("_",$B233)&gt;0,INDEX(WP!$A$2:$F$23,MATCH(LEFT($B233,FIND("_",$B233)-1),WP!$E$2:$E$23,0),2),IF(FIND("-",$B233)&gt;0,INDEX(WP!$A$2:$F$23,MATCH(LEFT($B233,FIND("_",$B233)-1),WP!$E$2:$E$23,0),2))),INDEX(WP!$A$2:$F$23,MATCH(Results!$B233,WP!$E$2:$E$23,0),2)),5),(IFERROR(IF(FIND("_",$B233)&gt;0,INDEX(WP!$A$2:$F$23,MATCH(LEFT($B233,FIND("_",$B233)-1),WP!$E$2:$E$23,0),2),IF(FIND("-",$B233)&gt;0,INDEX(WP!$A$2:$F$23,MATCH(LEFT($B233,FIND("_",$B233)-1),WP!$E$2:$E$23,0),2))),INDEX(WP!$A$2:$F$23,MATCH(Results!$B233,WP!$E$2:$E$23,0),2))))&amp;"-"&amp;$I233),"")</f>
        <v/>
      </c>
      <c r="G233" s="17" t="str">
        <f>IF(LEN(_xlfn.IFNA(IF(IFERROR(IF(FIND("_",$B233)&gt;0,MID($B233,FIND("_",$B233)+1,LEN($B233)),IF(FIND("-",$B233)&gt;0,MID($B233,FIND("-",$B233)+1,LEN($B233)))),"")="",IFERROR(VLOOKUP($F233,WP!$B$2:$C$23,2,0),VLOOKUP($C233,Series!$A$3:$F$11,6,0)),IFERROR(VLOOKUP($F233,WP!$B$2:$C$23,2,0),VLOOKUP($C233,Series!$A$3:$F$11,6,0))&amp;" - "&amp;(IFERROR(IF(FIND("_",$B233)&gt;0,MID($B233,FIND("_",$B233)+1,LEN($B233)),IF(FIND("-",$B233)&gt;0,MID($B233,FIND("-",$B233)+1,LEN($B233)))),""))),""))&lt;64,_xlfn.IFNA(IF(IFERROR(IF(FIND("_",$B233)&gt;0,MID($B233,FIND("_",$B233)+1,LEN($B233)),IF(FIND("-",$B233)&gt;0,MID($B233,FIND("-",$B233)+1,LEN($B233)))),"")="",IFERROR(VLOOKUP($F233,WP!$B$2:$C$23,2,0),VLOOKUP($C233,Series!$A$3:$F$11,6,0)),IFERROR(VLOOKUP($F233,WP!$B$2:$C$23,2,0),VLOOKUP($C233,Series!$A$3:$F$11,6,0))&amp;" - "&amp;(IFERROR(IF(FIND("_",$B233)&gt;0,MID($B233,FIND("_",$B233)+1,LEN($B233)),IF(FIND("-",$B233)&gt;0,MID($B233,FIND("-",$B233)+1,LEN($B233)))),""))),""),LEFT((_xlfn.IFNA(IF(IFERROR(IF(FIND("_",$B233)&gt;0,MID($B233,FIND("_",$B233)+1,LEN($B233)),IF(FIND("-",$B233)&gt;0,MID($B233,FIND("-",$B233)+1,LEN($B233)))),"")="",IFERROR(VLOOKUP($F233,WP!$B$2:$C$23,2,0),VLOOKUP($C233,Series!$A$3:$F$11,6,0)),IFERROR(VLOOKUP($F233,WP!$B$2:$C$23,2,0),VLOOKUP($C233,Series!$A$3:$F$11,6,0))&amp;" - "&amp;(IFERROR(IF(FIND("_",$B233)&gt;0,MID($B233,FIND("_",$B233)+1,LEN($B233)),IF(FIND("-",$B233)&gt;0,MID($B233,FIND("-",$B233)+1,LEN($B233)))),""))),"")),64))</f>
        <v/>
      </c>
      <c r="H233" s="12"/>
      <c r="I233" s="12" t="str">
        <f>IF($D233&lt;&gt;"",COUNTIF($D$7:$D233,"="&amp;$D233),"")</f>
        <v/>
      </c>
      <c r="J233"/>
      <c r="K233" s="8"/>
      <c r="L233"/>
    </row>
    <row r="234" spans="1:12" x14ac:dyDescent="0.3">
      <c r="A234" s="1"/>
      <c r="B234" s="26"/>
      <c r="C234" s="12" t="str">
        <f>_xlfn.IFNA(IFERROR(IF(FIND("_",$B234)&gt;0,INDEX(WP!$A$2:$F$23,MATCH(LEFT($B234,FIND("_",$B234)-1),WP!$E$2:$E$23,0),1),IF(FIND("-",$B234)&gt;0,INDEX(WP!$A$2:$F$23,MATCH(LEFT($B234,FIND("_",$B234)-1),WP!$E$2:$E$23,0),1))),INDEX(WP!$A$2:$F$23,MATCH(Results!$B234,WP!$E$2:$E$23,0),1)),"")</f>
        <v/>
      </c>
      <c r="D234" s="12" t="str">
        <f>IFERROR(IFERROR(IF(RIGHT(INDEX(WP!$A$2:$F$23,MATCH(IF(FIND("_",$B234)&gt;0,LEFT($B234,FIND("_",$B234)-1)),WP!$E$2:$E$23,0),2),6)="Series",LEFT(INDEX(WP!$A$2:$F$23,MATCH(IF(FIND("_",$B234)&gt;0,LEFT($B234,FIND("_",$B234)-1)),WP!$E$2:$E$23,0),2),5),""),IF(RIGHT(INDEX(WP!$A$2:$F$23,MATCH($B234,WP!$E$2:$E$23,0),2),6)="Series",LEFT(INDEX(WP!$A$2:$F$23,MATCH($B234,WP!$E$2:$E$23,0),2),5),"")),"")</f>
        <v/>
      </c>
      <c r="E234" s="17" t="str">
        <f>IFERROR(VLOOKUP(VALUE($D234),Series!$B$3:$F$11,2,0),"")</f>
        <v/>
      </c>
      <c r="F234" s="12" t="str">
        <f>_xlfn.IFNA(IF(IF($D234&lt;&gt;"",COUNTIF($E:$E,"="&amp;$D234),"")="",IF(RIGHT(IFERROR(IF(FIND("_",$B234)&gt;0,INDEX(WP!$A$2:$F$23,MATCH(LEFT($B234,FIND("_",$B234)-1),WP!$E$2:$E$23,0),2),IF(FIND("-",$B234)&gt;0,INDEX(WP!$A$2:$F$23,MATCH(LEFT($B234,FIND("_",$B234)-1),WP!$E$2:$E$23,0),2))),INDEX(WP!$A$2:$F$23,MATCH(Results!$B234,WP!$E$2:$E$23,0),2)),6)="Series",LEFT(IFERROR(IF(FIND("_",$B234)&gt;0,INDEX(WP!$A$2:$F$23,MATCH(LEFT($B234,FIND("_",$B234)-1),WP!$E$2:$E$23,0),2),IF(FIND("-",$B234)&gt;0,INDEX(WP!$A$2:$F$23,MATCH(LEFT($B234,FIND("_",$B234)-1),WP!$E$2:$E$23,0),2))),INDEX(WP!$A$2:$F$23,MATCH(Results!$B234,WP!$E$2:$E$23,0),2)),5),(IFERROR(IF(FIND("_",$B234)&gt;0,INDEX(WP!$A$2:$F$23,MATCH(LEFT($B234,FIND("_",$B234)-1),WP!$E$2:$E$23,0),2),IF(FIND("-",$B234)&gt;0,INDEX(WP!$A$2:$F$23,MATCH(LEFT($B234,FIND("_",$B234)-1),WP!$E$2:$E$23,0),2))),INDEX(WP!$A$2:$F$23,MATCH(Results!$B234,WP!$E$2:$E$23,0),2)))),IF(RIGHT(IFERROR(IF(FIND("_",$B234)&gt;0,INDEX(WP!$A$2:$F$23,MATCH(LEFT($B234,FIND("_",$B234)-1),WP!$E$2:$E$23,0),2),IF(FIND("-",$B234)&gt;0,INDEX(WP!$A$2:$F$23,MATCH(LEFT($B234,FIND("_",$B234)-1),WP!$E$2:$E$23,0),2))),INDEX(WP!$A$2:$F$23,MATCH(Results!$B234,WP!$E$2:$E$23,0),2)),6)="Series",LEFT(IFERROR(IF(FIND("_",$B234)&gt;0,INDEX(WP!$A$2:$F$23,MATCH(LEFT($B234,FIND("_",$B234)-1),WP!$E$2:$E$23,0),2),IF(FIND("-",$B234)&gt;0,INDEX(WP!$A$2:$F$23,MATCH(LEFT($B234,FIND("_",$B234)-1),WP!$E$2:$E$23,0),2))),INDEX(WP!$A$2:$F$23,MATCH(Results!$B234,WP!$E$2:$E$23,0),2)),5),(IFERROR(IF(FIND("_",$B234)&gt;0,INDEX(WP!$A$2:$F$23,MATCH(LEFT($B234,FIND("_",$B234)-1),WP!$E$2:$E$23,0),2),IF(FIND("-",$B234)&gt;0,INDEX(WP!$A$2:$F$23,MATCH(LEFT($B234,FIND("_",$B234)-1),WP!$E$2:$E$23,0),2))),INDEX(WP!$A$2:$F$23,MATCH(Results!$B234,WP!$E$2:$E$23,0),2))))&amp;"-"&amp;$I234),"")</f>
        <v/>
      </c>
      <c r="G234" s="17" t="str">
        <f>IF(LEN(_xlfn.IFNA(IF(IFERROR(IF(FIND("_",$B234)&gt;0,MID($B234,FIND("_",$B234)+1,LEN($B234)),IF(FIND("-",$B234)&gt;0,MID($B234,FIND("-",$B234)+1,LEN($B234)))),"")="",IFERROR(VLOOKUP($F234,WP!$B$2:$C$23,2,0),VLOOKUP($C234,Series!$A$3:$F$11,6,0)),IFERROR(VLOOKUP($F234,WP!$B$2:$C$23,2,0),VLOOKUP($C234,Series!$A$3:$F$11,6,0))&amp;" - "&amp;(IFERROR(IF(FIND("_",$B234)&gt;0,MID($B234,FIND("_",$B234)+1,LEN($B234)),IF(FIND("-",$B234)&gt;0,MID($B234,FIND("-",$B234)+1,LEN($B234)))),""))),""))&lt;64,_xlfn.IFNA(IF(IFERROR(IF(FIND("_",$B234)&gt;0,MID($B234,FIND("_",$B234)+1,LEN($B234)),IF(FIND("-",$B234)&gt;0,MID($B234,FIND("-",$B234)+1,LEN($B234)))),"")="",IFERROR(VLOOKUP($F234,WP!$B$2:$C$23,2,0),VLOOKUP($C234,Series!$A$3:$F$11,6,0)),IFERROR(VLOOKUP($F234,WP!$B$2:$C$23,2,0),VLOOKUP($C234,Series!$A$3:$F$11,6,0))&amp;" - "&amp;(IFERROR(IF(FIND("_",$B234)&gt;0,MID($B234,FIND("_",$B234)+1,LEN($B234)),IF(FIND("-",$B234)&gt;0,MID($B234,FIND("-",$B234)+1,LEN($B234)))),""))),""),LEFT((_xlfn.IFNA(IF(IFERROR(IF(FIND("_",$B234)&gt;0,MID($B234,FIND("_",$B234)+1,LEN($B234)),IF(FIND("-",$B234)&gt;0,MID($B234,FIND("-",$B234)+1,LEN($B234)))),"")="",IFERROR(VLOOKUP($F234,WP!$B$2:$C$23,2,0),VLOOKUP($C234,Series!$A$3:$F$11,6,0)),IFERROR(VLOOKUP($F234,WP!$B$2:$C$23,2,0),VLOOKUP($C234,Series!$A$3:$F$11,6,0))&amp;" - "&amp;(IFERROR(IF(FIND("_",$B234)&gt;0,MID($B234,FIND("_",$B234)+1,LEN($B234)),IF(FIND("-",$B234)&gt;0,MID($B234,FIND("-",$B234)+1,LEN($B234)))),""))),"")),64))</f>
        <v/>
      </c>
      <c r="H234" s="12"/>
      <c r="I234" s="12" t="str">
        <f>IF($D234&lt;&gt;"",COUNTIF($D$7:$D234,"="&amp;$D234),"")</f>
        <v/>
      </c>
      <c r="J234"/>
      <c r="K234" s="8"/>
      <c r="L234"/>
    </row>
    <row r="235" spans="1:12" x14ac:dyDescent="0.3">
      <c r="A235" s="1"/>
      <c r="B235" s="26"/>
      <c r="C235" s="12" t="str">
        <f>_xlfn.IFNA(IFERROR(IF(FIND("_",$B235)&gt;0,INDEX(WP!$A$2:$F$23,MATCH(LEFT($B235,FIND("_",$B235)-1),WP!$E$2:$E$23,0),1),IF(FIND("-",$B235)&gt;0,INDEX(WP!$A$2:$F$23,MATCH(LEFT($B235,FIND("_",$B235)-1),WP!$E$2:$E$23,0),1))),INDEX(WP!$A$2:$F$23,MATCH(Results!$B235,WP!$E$2:$E$23,0),1)),"")</f>
        <v/>
      </c>
      <c r="D235" s="12" t="str">
        <f>IFERROR(IFERROR(IF(RIGHT(INDEX(WP!$A$2:$F$23,MATCH(IF(FIND("_",$B235)&gt;0,LEFT($B235,FIND("_",$B235)-1)),WP!$E$2:$E$23,0),2),6)="Series",LEFT(INDEX(WP!$A$2:$F$23,MATCH(IF(FIND("_",$B235)&gt;0,LEFT($B235,FIND("_",$B235)-1)),WP!$E$2:$E$23,0),2),5),""),IF(RIGHT(INDEX(WP!$A$2:$F$23,MATCH($B235,WP!$E$2:$E$23,0),2),6)="Series",LEFT(INDEX(WP!$A$2:$F$23,MATCH($B235,WP!$E$2:$E$23,0),2),5),"")),"")</f>
        <v/>
      </c>
      <c r="E235" s="17" t="str">
        <f>IFERROR(VLOOKUP(VALUE($D235),Series!$B$3:$F$11,2,0),"")</f>
        <v/>
      </c>
      <c r="F235" s="12" t="str">
        <f>_xlfn.IFNA(IF(IF($D235&lt;&gt;"",COUNTIF($E:$E,"="&amp;$D235),"")="",IF(RIGHT(IFERROR(IF(FIND("_",$B235)&gt;0,INDEX(WP!$A$2:$F$23,MATCH(LEFT($B235,FIND("_",$B235)-1),WP!$E$2:$E$23,0),2),IF(FIND("-",$B235)&gt;0,INDEX(WP!$A$2:$F$23,MATCH(LEFT($B235,FIND("_",$B235)-1),WP!$E$2:$E$23,0),2))),INDEX(WP!$A$2:$F$23,MATCH(Results!$B235,WP!$E$2:$E$23,0),2)),6)="Series",LEFT(IFERROR(IF(FIND("_",$B235)&gt;0,INDEX(WP!$A$2:$F$23,MATCH(LEFT($B235,FIND("_",$B235)-1),WP!$E$2:$E$23,0),2),IF(FIND("-",$B235)&gt;0,INDEX(WP!$A$2:$F$23,MATCH(LEFT($B235,FIND("_",$B235)-1),WP!$E$2:$E$23,0),2))),INDEX(WP!$A$2:$F$23,MATCH(Results!$B235,WP!$E$2:$E$23,0),2)),5),(IFERROR(IF(FIND("_",$B235)&gt;0,INDEX(WP!$A$2:$F$23,MATCH(LEFT($B235,FIND("_",$B235)-1),WP!$E$2:$E$23,0),2),IF(FIND("-",$B235)&gt;0,INDEX(WP!$A$2:$F$23,MATCH(LEFT($B235,FIND("_",$B235)-1),WP!$E$2:$E$23,0),2))),INDEX(WP!$A$2:$F$23,MATCH(Results!$B235,WP!$E$2:$E$23,0),2)))),IF(RIGHT(IFERROR(IF(FIND("_",$B235)&gt;0,INDEX(WP!$A$2:$F$23,MATCH(LEFT($B235,FIND("_",$B235)-1),WP!$E$2:$E$23,0),2),IF(FIND("-",$B235)&gt;0,INDEX(WP!$A$2:$F$23,MATCH(LEFT($B235,FIND("_",$B235)-1),WP!$E$2:$E$23,0),2))),INDEX(WP!$A$2:$F$23,MATCH(Results!$B235,WP!$E$2:$E$23,0),2)),6)="Series",LEFT(IFERROR(IF(FIND("_",$B235)&gt;0,INDEX(WP!$A$2:$F$23,MATCH(LEFT($B235,FIND("_",$B235)-1),WP!$E$2:$E$23,0),2),IF(FIND("-",$B235)&gt;0,INDEX(WP!$A$2:$F$23,MATCH(LEFT($B235,FIND("_",$B235)-1),WP!$E$2:$E$23,0),2))),INDEX(WP!$A$2:$F$23,MATCH(Results!$B235,WP!$E$2:$E$23,0),2)),5),(IFERROR(IF(FIND("_",$B235)&gt;0,INDEX(WP!$A$2:$F$23,MATCH(LEFT($B235,FIND("_",$B235)-1),WP!$E$2:$E$23,0),2),IF(FIND("-",$B235)&gt;0,INDEX(WP!$A$2:$F$23,MATCH(LEFT($B235,FIND("_",$B235)-1),WP!$E$2:$E$23,0),2))),INDEX(WP!$A$2:$F$23,MATCH(Results!$B235,WP!$E$2:$E$23,0),2))))&amp;"-"&amp;$I235),"")</f>
        <v/>
      </c>
      <c r="G235" s="17" t="str">
        <f>IF(LEN(_xlfn.IFNA(IF(IFERROR(IF(FIND("_",$B235)&gt;0,MID($B235,FIND("_",$B235)+1,LEN($B235)),IF(FIND("-",$B235)&gt;0,MID($B235,FIND("-",$B235)+1,LEN($B235)))),"")="",IFERROR(VLOOKUP($F235,WP!$B$2:$C$23,2,0),VLOOKUP($C235,Series!$A$3:$F$11,6,0)),IFERROR(VLOOKUP($F235,WP!$B$2:$C$23,2,0),VLOOKUP($C235,Series!$A$3:$F$11,6,0))&amp;" - "&amp;(IFERROR(IF(FIND("_",$B235)&gt;0,MID($B235,FIND("_",$B235)+1,LEN($B235)),IF(FIND("-",$B235)&gt;0,MID($B235,FIND("-",$B235)+1,LEN($B235)))),""))),""))&lt;64,_xlfn.IFNA(IF(IFERROR(IF(FIND("_",$B235)&gt;0,MID($B235,FIND("_",$B235)+1,LEN($B235)),IF(FIND("-",$B235)&gt;0,MID($B235,FIND("-",$B235)+1,LEN($B235)))),"")="",IFERROR(VLOOKUP($F235,WP!$B$2:$C$23,2,0),VLOOKUP($C235,Series!$A$3:$F$11,6,0)),IFERROR(VLOOKUP($F235,WP!$B$2:$C$23,2,0),VLOOKUP($C235,Series!$A$3:$F$11,6,0))&amp;" - "&amp;(IFERROR(IF(FIND("_",$B235)&gt;0,MID($B235,FIND("_",$B235)+1,LEN($B235)),IF(FIND("-",$B235)&gt;0,MID($B235,FIND("-",$B235)+1,LEN($B235)))),""))),""),LEFT((_xlfn.IFNA(IF(IFERROR(IF(FIND("_",$B235)&gt;0,MID($B235,FIND("_",$B235)+1,LEN($B235)),IF(FIND("-",$B235)&gt;0,MID($B235,FIND("-",$B235)+1,LEN($B235)))),"")="",IFERROR(VLOOKUP($F235,WP!$B$2:$C$23,2,0),VLOOKUP($C235,Series!$A$3:$F$11,6,0)),IFERROR(VLOOKUP($F235,WP!$B$2:$C$23,2,0),VLOOKUP($C235,Series!$A$3:$F$11,6,0))&amp;" - "&amp;(IFERROR(IF(FIND("_",$B235)&gt;0,MID($B235,FIND("_",$B235)+1,LEN($B235)),IF(FIND("-",$B235)&gt;0,MID($B235,FIND("-",$B235)+1,LEN($B235)))),""))),"")),64))</f>
        <v/>
      </c>
      <c r="H235" s="12"/>
      <c r="I235" s="12" t="str">
        <f>IF($D235&lt;&gt;"",COUNTIF($D$7:$D235,"="&amp;$D235),"")</f>
        <v/>
      </c>
      <c r="J235"/>
      <c r="K235" s="8"/>
      <c r="L235"/>
    </row>
    <row r="236" spans="1:12" x14ac:dyDescent="0.3">
      <c r="A236" s="1"/>
      <c r="B236" s="26"/>
      <c r="C236" s="12" t="str">
        <f>_xlfn.IFNA(IFERROR(IF(FIND("_",$B236)&gt;0,INDEX(WP!$A$2:$F$23,MATCH(LEFT($B236,FIND("_",$B236)-1),WP!$E$2:$E$23,0),1),IF(FIND("-",$B236)&gt;0,INDEX(WP!$A$2:$F$23,MATCH(LEFT($B236,FIND("_",$B236)-1),WP!$E$2:$E$23,0),1))),INDEX(WP!$A$2:$F$23,MATCH(Results!$B236,WP!$E$2:$E$23,0),1)),"")</f>
        <v/>
      </c>
      <c r="D236" s="12" t="str">
        <f>IFERROR(IFERROR(IF(RIGHT(INDEX(WP!$A$2:$F$23,MATCH(IF(FIND("_",$B236)&gt;0,LEFT($B236,FIND("_",$B236)-1)),WP!$E$2:$E$23,0),2),6)="Series",LEFT(INDEX(WP!$A$2:$F$23,MATCH(IF(FIND("_",$B236)&gt;0,LEFT($B236,FIND("_",$B236)-1)),WP!$E$2:$E$23,0),2),5),""),IF(RIGHT(INDEX(WP!$A$2:$F$23,MATCH($B236,WP!$E$2:$E$23,0),2),6)="Series",LEFT(INDEX(WP!$A$2:$F$23,MATCH($B236,WP!$E$2:$E$23,0),2),5),"")),"")</f>
        <v/>
      </c>
      <c r="E236" s="17" t="str">
        <f>IFERROR(VLOOKUP(VALUE($D236),Series!$B$3:$F$11,2,0),"")</f>
        <v/>
      </c>
      <c r="F236" s="12" t="str">
        <f>_xlfn.IFNA(IF(IF($D236&lt;&gt;"",COUNTIF($E:$E,"="&amp;$D236),"")="",IF(RIGHT(IFERROR(IF(FIND("_",$B236)&gt;0,INDEX(WP!$A$2:$F$23,MATCH(LEFT($B236,FIND("_",$B236)-1),WP!$E$2:$E$23,0),2),IF(FIND("-",$B236)&gt;0,INDEX(WP!$A$2:$F$23,MATCH(LEFT($B236,FIND("_",$B236)-1),WP!$E$2:$E$23,0),2))),INDEX(WP!$A$2:$F$23,MATCH(Results!$B236,WP!$E$2:$E$23,0),2)),6)="Series",LEFT(IFERROR(IF(FIND("_",$B236)&gt;0,INDEX(WP!$A$2:$F$23,MATCH(LEFT($B236,FIND("_",$B236)-1),WP!$E$2:$E$23,0),2),IF(FIND("-",$B236)&gt;0,INDEX(WP!$A$2:$F$23,MATCH(LEFT($B236,FIND("_",$B236)-1),WP!$E$2:$E$23,0),2))),INDEX(WP!$A$2:$F$23,MATCH(Results!$B236,WP!$E$2:$E$23,0),2)),5),(IFERROR(IF(FIND("_",$B236)&gt;0,INDEX(WP!$A$2:$F$23,MATCH(LEFT($B236,FIND("_",$B236)-1),WP!$E$2:$E$23,0),2),IF(FIND("-",$B236)&gt;0,INDEX(WP!$A$2:$F$23,MATCH(LEFT($B236,FIND("_",$B236)-1),WP!$E$2:$E$23,0),2))),INDEX(WP!$A$2:$F$23,MATCH(Results!$B236,WP!$E$2:$E$23,0),2)))),IF(RIGHT(IFERROR(IF(FIND("_",$B236)&gt;0,INDEX(WP!$A$2:$F$23,MATCH(LEFT($B236,FIND("_",$B236)-1),WP!$E$2:$E$23,0),2),IF(FIND("-",$B236)&gt;0,INDEX(WP!$A$2:$F$23,MATCH(LEFT($B236,FIND("_",$B236)-1),WP!$E$2:$E$23,0),2))),INDEX(WP!$A$2:$F$23,MATCH(Results!$B236,WP!$E$2:$E$23,0),2)),6)="Series",LEFT(IFERROR(IF(FIND("_",$B236)&gt;0,INDEX(WP!$A$2:$F$23,MATCH(LEFT($B236,FIND("_",$B236)-1),WP!$E$2:$E$23,0),2),IF(FIND("-",$B236)&gt;0,INDEX(WP!$A$2:$F$23,MATCH(LEFT($B236,FIND("_",$B236)-1),WP!$E$2:$E$23,0),2))),INDEX(WP!$A$2:$F$23,MATCH(Results!$B236,WP!$E$2:$E$23,0),2)),5),(IFERROR(IF(FIND("_",$B236)&gt;0,INDEX(WP!$A$2:$F$23,MATCH(LEFT($B236,FIND("_",$B236)-1),WP!$E$2:$E$23,0),2),IF(FIND("-",$B236)&gt;0,INDEX(WP!$A$2:$F$23,MATCH(LEFT($B236,FIND("_",$B236)-1),WP!$E$2:$E$23,0),2))),INDEX(WP!$A$2:$F$23,MATCH(Results!$B236,WP!$E$2:$E$23,0),2))))&amp;"-"&amp;$I236),"")</f>
        <v/>
      </c>
      <c r="G236" s="17" t="str">
        <f>IF(LEN(_xlfn.IFNA(IF(IFERROR(IF(FIND("_",$B236)&gt;0,MID($B236,FIND("_",$B236)+1,LEN($B236)),IF(FIND("-",$B236)&gt;0,MID($B236,FIND("-",$B236)+1,LEN($B236)))),"")="",IFERROR(VLOOKUP($F236,WP!$B$2:$C$23,2,0),VLOOKUP($C236,Series!$A$3:$F$11,6,0)),IFERROR(VLOOKUP($F236,WP!$B$2:$C$23,2,0),VLOOKUP($C236,Series!$A$3:$F$11,6,0))&amp;" - "&amp;(IFERROR(IF(FIND("_",$B236)&gt;0,MID($B236,FIND("_",$B236)+1,LEN($B236)),IF(FIND("-",$B236)&gt;0,MID($B236,FIND("-",$B236)+1,LEN($B236)))),""))),""))&lt;64,_xlfn.IFNA(IF(IFERROR(IF(FIND("_",$B236)&gt;0,MID($B236,FIND("_",$B236)+1,LEN($B236)),IF(FIND("-",$B236)&gt;0,MID($B236,FIND("-",$B236)+1,LEN($B236)))),"")="",IFERROR(VLOOKUP($F236,WP!$B$2:$C$23,2,0),VLOOKUP($C236,Series!$A$3:$F$11,6,0)),IFERROR(VLOOKUP($F236,WP!$B$2:$C$23,2,0),VLOOKUP($C236,Series!$A$3:$F$11,6,0))&amp;" - "&amp;(IFERROR(IF(FIND("_",$B236)&gt;0,MID($B236,FIND("_",$B236)+1,LEN($B236)),IF(FIND("-",$B236)&gt;0,MID($B236,FIND("-",$B236)+1,LEN($B236)))),""))),""),LEFT((_xlfn.IFNA(IF(IFERROR(IF(FIND("_",$B236)&gt;0,MID($B236,FIND("_",$B236)+1,LEN($B236)),IF(FIND("-",$B236)&gt;0,MID($B236,FIND("-",$B236)+1,LEN($B236)))),"")="",IFERROR(VLOOKUP($F236,WP!$B$2:$C$23,2,0),VLOOKUP($C236,Series!$A$3:$F$11,6,0)),IFERROR(VLOOKUP($F236,WP!$B$2:$C$23,2,0),VLOOKUP($C236,Series!$A$3:$F$11,6,0))&amp;" - "&amp;(IFERROR(IF(FIND("_",$B236)&gt;0,MID($B236,FIND("_",$B236)+1,LEN($B236)),IF(FIND("-",$B236)&gt;0,MID($B236,FIND("-",$B236)+1,LEN($B236)))),""))),"")),64))</f>
        <v/>
      </c>
      <c r="H236" s="12"/>
      <c r="I236" s="12" t="str">
        <f>IF($D236&lt;&gt;"",COUNTIF($D$7:$D236,"="&amp;$D236),"")</f>
        <v/>
      </c>
      <c r="J236"/>
      <c r="K236" s="8"/>
      <c r="L236"/>
    </row>
    <row r="237" spans="1:12" x14ac:dyDescent="0.3">
      <c r="A237" s="1"/>
      <c r="B237" s="26"/>
      <c r="C237" s="12" t="str">
        <f>_xlfn.IFNA(IFERROR(IF(FIND("_",$B237)&gt;0,INDEX(WP!$A$2:$F$23,MATCH(LEFT($B237,FIND("_",$B237)-1),WP!$E$2:$E$23,0),1),IF(FIND("-",$B237)&gt;0,INDEX(WP!$A$2:$F$23,MATCH(LEFT($B237,FIND("_",$B237)-1),WP!$E$2:$E$23,0),1))),INDEX(WP!$A$2:$F$23,MATCH(Results!$B237,WP!$E$2:$E$23,0),1)),"")</f>
        <v/>
      </c>
      <c r="D237" s="12" t="str">
        <f>IFERROR(IFERROR(IF(RIGHT(INDEX(WP!$A$2:$F$23,MATCH(IF(FIND("_",$B237)&gt;0,LEFT($B237,FIND("_",$B237)-1)),WP!$E$2:$E$23,0),2),6)="Series",LEFT(INDEX(WP!$A$2:$F$23,MATCH(IF(FIND("_",$B237)&gt;0,LEFT($B237,FIND("_",$B237)-1)),WP!$E$2:$E$23,0),2),5),""),IF(RIGHT(INDEX(WP!$A$2:$F$23,MATCH($B237,WP!$E$2:$E$23,0),2),6)="Series",LEFT(INDEX(WP!$A$2:$F$23,MATCH($B237,WP!$E$2:$E$23,0),2),5),"")),"")</f>
        <v/>
      </c>
      <c r="E237" s="17" t="str">
        <f>IFERROR(VLOOKUP(VALUE($D237),Series!$B$3:$F$11,2,0),"")</f>
        <v/>
      </c>
      <c r="F237" s="12" t="str">
        <f>_xlfn.IFNA(IF(IF($D237&lt;&gt;"",COUNTIF($E:$E,"="&amp;$D237),"")="",IF(RIGHT(IFERROR(IF(FIND("_",$B237)&gt;0,INDEX(WP!$A$2:$F$23,MATCH(LEFT($B237,FIND("_",$B237)-1),WP!$E$2:$E$23,0),2),IF(FIND("-",$B237)&gt;0,INDEX(WP!$A$2:$F$23,MATCH(LEFT($B237,FIND("_",$B237)-1),WP!$E$2:$E$23,0),2))),INDEX(WP!$A$2:$F$23,MATCH(Results!$B237,WP!$E$2:$E$23,0),2)),6)="Series",LEFT(IFERROR(IF(FIND("_",$B237)&gt;0,INDEX(WP!$A$2:$F$23,MATCH(LEFT($B237,FIND("_",$B237)-1),WP!$E$2:$E$23,0),2),IF(FIND("-",$B237)&gt;0,INDEX(WP!$A$2:$F$23,MATCH(LEFT($B237,FIND("_",$B237)-1),WP!$E$2:$E$23,0),2))),INDEX(WP!$A$2:$F$23,MATCH(Results!$B237,WP!$E$2:$E$23,0),2)),5),(IFERROR(IF(FIND("_",$B237)&gt;0,INDEX(WP!$A$2:$F$23,MATCH(LEFT($B237,FIND("_",$B237)-1),WP!$E$2:$E$23,0),2),IF(FIND("-",$B237)&gt;0,INDEX(WP!$A$2:$F$23,MATCH(LEFT($B237,FIND("_",$B237)-1),WP!$E$2:$E$23,0),2))),INDEX(WP!$A$2:$F$23,MATCH(Results!$B237,WP!$E$2:$E$23,0),2)))),IF(RIGHT(IFERROR(IF(FIND("_",$B237)&gt;0,INDEX(WP!$A$2:$F$23,MATCH(LEFT($B237,FIND("_",$B237)-1),WP!$E$2:$E$23,0),2),IF(FIND("-",$B237)&gt;0,INDEX(WP!$A$2:$F$23,MATCH(LEFT($B237,FIND("_",$B237)-1),WP!$E$2:$E$23,0),2))),INDEX(WP!$A$2:$F$23,MATCH(Results!$B237,WP!$E$2:$E$23,0),2)),6)="Series",LEFT(IFERROR(IF(FIND("_",$B237)&gt;0,INDEX(WP!$A$2:$F$23,MATCH(LEFT($B237,FIND("_",$B237)-1),WP!$E$2:$E$23,0),2),IF(FIND("-",$B237)&gt;0,INDEX(WP!$A$2:$F$23,MATCH(LEFT($B237,FIND("_",$B237)-1),WP!$E$2:$E$23,0),2))),INDEX(WP!$A$2:$F$23,MATCH(Results!$B237,WP!$E$2:$E$23,0),2)),5),(IFERROR(IF(FIND("_",$B237)&gt;0,INDEX(WP!$A$2:$F$23,MATCH(LEFT($B237,FIND("_",$B237)-1),WP!$E$2:$E$23,0),2),IF(FIND("-",$B237)&gt;0,INDEX(WP!$A$2:$F$23,MATCH(LEFT($B237,FIND("_",$B237)-1),WP!$E$2:$E$23,0),2))),INDEX(WP!$A$2:$F$23,MATCH(Results!$B237,WP!$E$2:$E$23,0),2))))&amp;"-"&amp;$I237),"")</f>
        <v/>
      </c>
      <c r="G237" s="17" t="str">
        <f>IF(LEN(_xlfn.IFNA(IF(IFERROR(IF(FIND("_",$B237)&gt;0,MID($B237,FIND("_",$B237)+1,LEN($B237)),IF(FIND("-",$B237)&gt;0,MID($B237,FIND("-",$B237)+1,LEN($B237)))),"")="",IFERROR(VLOOKUP($F237,WP!$B$2:$C$23,2,0),VLOOKUP($C237,Series!$A$3:$F$11,6,0)),IFERROR(VLOOKUP($F237,WP!$B$2:$C$23,2,0),VLOOKUP($C237,Series!$A$3:$F$11,6,0))&amp;" - "&amp;(IFERROR(IF(FIND("_",$B237)&gt;0,MID($B237,FIND("_",$B237)+1,LEN($B237)),IF(FIND("-",$B237)&gt;0,MID($B237,FIND("-",$B237)+1,LEN($B237)))),""))),""))&lt;64,_xlfn.IFNA(IF(IFERROR(IF(FIND("_",$B237)&gt;0,MID($B237,FIND("_",$B237)+1,LEN($B237)),IF(FIND("-",$B237)&gt;0,MID($B237,FIND("-",$B237)+1,LEN($B237)))),"")="",IFERROR(VLOOKUP($F237,WP!$B$2:$C$23,2,0),VLOOKUP($C237,Series!$A$3:$F$11,6,0)),IFERROR(VLOOKUP($F237,WP!$B$2:$C$23,2,0),VLOOKUP($C237,Series!$A$3:$F$11,6,0))&amp;" - "&amp;(IFERROR(IF(FIND("_",$B237)&gt;0,MID($B237,FIND("_",$B237)+1,LEN($B237)),IF(FIND("-",$B237)&gt;0,MID($B237,FIND("-",$B237)+1,LEN($B237)))),""))),""),LEFT((_xlfn.IFNA(IF(IFERROR(IF(FIND("_",$B237)&gt;0,MID($B237,FIND("_",$B237)+1,LEN($B237)),IF(FIND("-",$B237)&gt;0,MID($B237,FIND("-",$B237)+1,LEN($B237)))),"")="",IFERROR(VLOOKUP($F237,WP!$B$2:$C$23,2,0),VLOOKUP($C237,Series!$A$3:$F$11,6,0)),IFERROR(VLOOKUP($F237,WP!$B$2:$C$23,2,0),VLOOKUP($C237,Series!$A$3:$F$11,6,0))&amp;" - "&amp;(IFERROR(IF(FIND("_",$B237)&gt;0,MID($B237,FIND("_",$B237)+1,LEN($B237)),IF(FIND("-",$B237)&gt;0,MID($B237,FIND("-",$B237)+1,LEN($B237)))),""))),"")),64))</f>
        <v/>
      </c>
      <c r="H237" s="12"/>
      <c r="I237" s="12" t="str">
        <f>IF($D237&lt;&gt;"",COUNTIF($D$7:$D237,"="&amp;$D237),"")</f>
        <v/>
      </c>
      <c r="J237"/>
      <c r="K237" s="8"/>
      <c r="L237"/>
    </row>
    <row r="238" spans="1:12" x14ac:dyDescent="0.3">
      <c r="A238" s="1"/>
      <c r="B238" s="26"/>
      <c r="C238" s="12" t="str">
        <f>_xlfn.IFNA(IFERROR(IF(FIND("_",$B238)&gt;0,INDEX(WP!$A$2:$F$23,MATCH(LEFT($B238,FIND("_",$B238)-1),WP!$E$2:$E$23,0),1),IF(FIND("-",$B238)&gt;0,INDEX(WP!$A$2:$F$23,MATCH(LEFT($B238,FIND("_",$B238)-1),WP!$E$2:$E$23,0),1))),INDEX(WP!$A$2:$F$23,MATCH(Results!$B238,WP!$E$2:$E$23,0),1)),"")</f>
        <v/>
      </c>
      <c r="D238" s="12" t="str">
        <f>IFERROR(IFERROR(IF(RIGHT(INDEX(WP!$A$2:$F$23,MATCH(IF(FIND("_",$B238)&gt;0,LEFT($B238,FIND("_",$B238)-1)),WP!$E$2:$E$23,0),2),6)="Series",LEFT(INDEX(WP!$A$2:$F$23,MATCH(IF(FIND("_",$B238)&gt;0,LEFT($B238,FIND("_",$B238)-1)),WP!$E$2:$E$23,0),2),5),""),IF(RIGHT(INDEX(WP!$A$2:$F$23,MATCH($B238,WP!$E$2:$E$23,0),2),6)="Series",LEFT(INDEX(WP!$A$2:$F$23,MATCH($B238,WP!$E$2:$E$23,0),2),5),"")),"")</f>
        <v/>
      </c>
      <c r="E238" s="17" t="str">
        <f>IFERROR(VLOOKUP(VALUE($D238),Series!$B$3:$F$11,2,0),"")</f>
        <v/>
      </c>
      <c r="F238" s="12" t="str">
        <f>_xlfn.IFNA(IF(IF($D238&lt;&gt;"",COUNTIF($E:$E,"="&amp;$D238),"")="",IF(RIGHT(IFERROR(IF(FIND("_",$B238)&gt;0,INDEX(WP!$A$2:$F$23,MATCH(LEFT($B238,FIND("_",$B238)-1),WP!$E$2:$E$23,0),2),IF(FIND("-",$B238)&gt;0,INDEX(WP!$A$2:$F$23,MATCH(LEFT($B238,FIND("_",$B238)-1),WP!$E$2:$E$23,0),2))),INDEX(WP!$A$2:$F$23,MATCH(Results!$B238,WP!$E$2:$E$23,0),2)),6)="Series",LEFT(IFERROR(IF(FIND("_",$B238)&gt;0,INDEX(WP!$A$2:$F$23,MATCH(LEFT($B238,FIND("_",$B238)-1),WP!$E$2:$E$23,0),2),IF(FIND("-",$B238)&gt;0,INDEX(WP!$A$2:$F$23,MATCH(LEFT($B238,FIND("_",$B238)-1),WP!$E$2:$E$23,0),2))),INDEX(WP!$A$2:$F$23,MATCH(Results!$B238,WP!$E$2:$E$23,0),2)),5),(IFERROR(IF(FIND("_",$B238)&gt;0,INDEX(WP!$A$2:$F$23,MATCH(LEFT($B238,FIND("_",$B238)-1),WP!$E$2:$E$23,0),2),IF(FIND("-",$B238)&gt;0,INDEX(WP!$A$2:$F$23,MATCH(LEFT($B238,FIND("_",$B238)-1),WP!$E$2:$E$23,0),2))),INDEX(WP!$A$2:$F$23,MATCH(Results!$B238,WP!$E$2:$E$23,0),2)))),IF(RIGHT(IFERROR(IF(FIND("_",$B238)&gt;0,INDEX(WP!$A$2:$F$23,MATCH(LEFT($B238,FIND("_",$B238)-1),WP!$E$2:$E$23,0),2),IF(FIND("-",$B238)&gt;0,INDEX(WP!$A$2:$F$23,MATCH(LEFT($B238,FIND("_",$B238)-1),WP!$E$2:$E$23,0),2))),INDEX(WP!$A$2:$F$23,MATCH(Results!$B238,WP!$E$2:$E$23,0),2)),6)="Series",LEFT(IFERROR(IF(FIND("_",$B238)&gt;0,INDEX(WP!$A$2:$F$23,MATCH(LEFT($B238,FIND("_",$B238)-1),WP!$E$2:$E$23,0),2),IF(FIND("-",$B238)&gt;0,INDEX(WP!$A$2:$F$23,MATCH(LEFT($B238,FIND("_",$B238)-1),WP!$E$2:$E$23,0),2))),INDEX(WP!$A$2:$F$23,MATCH(Results!$B238,WP!$E$2:$E$23,0),2)),5),(IFERROR(IF(FIND("_",$B238)&gt;0,INDEX(WP!$A$2:$F$23,MATCH(LEFT($B238,FIND("_",$B238)-1),WP!$E$2:$E$23,0),2),IF(FIND("-",$B238)&gt;0,INDEX(WP!$A$2:$F$23,MATCH(LEFT($B238,FIND("_",$B238)-1),WP!$E$2:$E$23,0),2))),INDEX(WP!$A$2:$F$23,MATCH(Results!$B238,WP!$E$2:$E$23,0),2))))&amp;"-"&amp;$I238),"")</f>
        <v/>
      </c>
      <c r="G238" s="17" t="str">
        <f>IF(LEN(_xlfn.IFNA(IF(IFERROR(IF(FIND("_",$B238)&gt;0,MID($B238,FIND("_",$B238)+1,LEN($B238)),IF(FIND("-",$B238)&gt;0,MID($B238,FIND("-",$B238)+1,LEN($B238)))),"")="",IFERROR(VLOOKUP($F238,WP!$B$2:$C$23,2,0),VLOOKUP($C238,Series!$A$3:$F$11,6,0)),IFERROR(VLOOKUP($F238,WP!$B$2:$C$23,2,0),VLOOKUP($C238,Series!$A$3:$F$11,6,0))&amp;" - "&amp;(IFERROR(IF(FIND("_",$B238)&gt;0,MID($B238,FIND("_",$B238)+1,LEN($B238)),IF(FIND("-",$B238)&gt;0,MID($B238,FIND("-",$B238)+1,LEN($B238)))),""))),""))&lt;64,_xlfn.IFNA(IF(IFERROR(IF(FIND("_",$B238)&gt;0,MID($B238,FIND("_",$B238)+1,LEN($B238)),IF(FIND("-",$B238)&gt;0,MID($B238,FIND("-",$B238)+1,LEN($B238)))),"")="",IFERROR(VLOOKUP($F238,WP!$B$2:$C$23,2,0),VLOOKUP($C238,Series!$A$3:$F$11,6,0)),IFERROR(VLOOKUP($F238,WP!$B$2:$C$23,2,0),VLOOKUP($C238,Series!$A$3:$F$11,6,0))&amp;" - "&amp;(IFERROR(IF(FIND("_",$B238)&gt;0,MID($B238,FIND("_",$B238)+1,LEN($B238)),IF(FIND("-",$B238)&gt;0,MID($B238,FIND("-",$B238)+1,LEN($B238)))),""))),""),LEFT((_xlfn.IFNA(IF(IFERROR(IF(FIND("_",$B238)&gt;0,MID($B238,FIND("_",$B238)+1,LEN($B238)),IF(FIND("-",$B238)&gt;0,MID($B238,FIND("-",$B238)+1,LEN($B238)))),"")="",IFERROR(VLOOKUP($F238,WP!$B$2:$C$23,2,0),VLOOKUP($C238,Series!$A$3:$F$11,6,0)),IFERROR(VLOOKUP($F238,WP!$B$2:$C$23,2,0),VLOOKUP($C238,Series!$A$3:$F$11,6,0))&amp;" - "&amp;(IFERROR(IF(FIND("_",$B238)&gt;0,MID($B238,FIND("_",$B238)+1,LEN($B238)),IF(FIND("-",$B238)&gt;0,MID($B238,FIND("-",$B238)+1,LEN($B238)))),""))),"")),64))</f>
        <v/>
      </c>
      <c r="H238" s="12"/>
      <c r="I238" s="12" t="str">
        <f>IF($D238&lt;&gt;"",COUNTIF($D$7:$D238,"="&amp;$D238),"")</f>
        <v/>
      </c>
      <c r="J238"/>
      <c r="K238" s="8"/>
      <c r="L238"/>
    </row>
    <row r="239" spans="1:12" x14ac:dyDescent="0.3">
      <c r="A239" s="1"/>
      <c r="B239" s="26"/>
      <c r="C239" s="12" t="str">
        <f>_xlfn.IFNA(IFERROR(IF(FIND("_",$B239)&gt;0,INDEX(WP!$A$2:$F$23,MATCH(LEFT($B239,FIND("_",$B239)-1),WP!$E$2:$E$23,0),1),IF(FIND("-",$B239)&gt;0,INDEX(WP!$A$2:$F$23,MATCH(LEFT($B239,FIND("_",$B239)-1),WP!$E$2:$E$23,0),1))),INDEX(WP!$A$2:$F$23,MATCH(Results!$B239,WP!$E$2:$E$23,0),1)),"")</f>
        <v/>
      </c>
      <c r="D239" s="12" t="str">
        <f>IFERROR(IFERROR(IF(RIGHT(INDEX(WP!$A$2:$F$23,MATCH(IF(FIND("_",$B239)&gt;0,LEFT($B239,FIND("_",$B239)-1)),WP!$E$2:$E$23,0),2),6)="Series",LEFT(INDEX(WP!$A$2:$F$23,MATCH(IF(FIND("_",$B239)&gt;0,LEFT($B239,FIND("_",$B239)-1)),WP!$E$2:$E$23,0),2),5),""),IF(RIGHT(INDEX(WP!$A$2:$F$23,MATCH($B239,WP!$E$2:$E$23,0),2),6)="Series",LEFT(INDEX(WP!$A$2:$F$23,MATCH($B239,WP!$E$2:$E$23,0),2),5),"")),"")</f>
        <v/>
      </c>
      <c r="E239" s="17" t="str">
        <f>IFERROR(VLOOKUP(VALUE($D239),Series!$B$3:$F$11,2,0),"")</f>
        <v/>
      </c>
      <c r="F239" s="12" t="str">
        <f>_xlfn.IFNA(IF(IF($D239&lt;&gt;"",COUNTIF($E:$E,"="&amp;$D239),"")="",IF(RIGHT(IFERROR(IF(FIND("_",$B239)&gt;0,INDEX(WP!$A$2:$F$23,MATCH(LEFT($B239,FIND("_",$B239)-1),WP!$E$2:$E$23,0),2),IF(FIND("-",$B239)&gt;0,INDEX(WP!$A$2:$F$23,MATCH(LEFT($B239,FIND("_",$B239)-1),WP!$E$2:$E$23,0),2))),INDEX(WP!$A$2:$F$23,MATCH(Results!$B239,WP!$E$2:$E$23,0),2)),6)="Series",LEFT(IFERROR(IF(FIND("_",$B239)&gt;0,INDEX(WP!$A$2:$F$23,MATCH(LEFT($B239,FIND("_",$B239)-1),WP!$E$2:$E$23,0),2),IF(FIND("-",$B239)&gt;0,INDEX(WP!$A$2:$F$23,MATCH(LEFT($B239,FIND("_",$B239)-1),WP!$E$2:$E$23,0),2))),INDEX(WP!$A$2:$F$23,MATCH(Results!$B239,WP!$E$2:$E$23,0),2)),5),(IFERROR(IF(FIND("_",$B239)&gt;0,INDEX(WP!$A$2:$F$23,MATCH(LEFT($B239,FIND("_",$B239)-1),WP!$E$2:$E$23,0),2),IF(FIND("-",$B239)&gt;0,INDEX(WP!$A$2:$F$23,MATCH(LEFT($B239,FIND("_",$B239)-1),WP!$E$2:$E$23,0),2))),INDEX(WP!$A$2:$F$23,MATCH(Results!$B239,WP!$E$2:$E$23,0),2)))),IF(RIGHT(IFERROR(IF(FIND("_",$B239)&gt;0,INDEX(WP!$A$2:$F$23,MATCH(LEFT($B239,FIND("_",$B239)-1),WP!$E$2:$E$23,0),2),IF(FIND("-",$B239)&gt;0,INDEX(WP!$A$2:$F$23,MATCH(LEFT($B239,FIND("_",$B239)-1),WP!$E$2:$E$23,0),2))),INDEX(WP!$A$2:$F$23,MATCH(Results!$B239,WP!$E$2:$E$23,0),2)),6)="Series",LEFT(IFERROR(IF(FIND("_",$B239)&gt;0,INDEX(WP!$A$2:$F$23,MATCH(LEFT($B239,FIND("_",$B239)-1),WP!$E$2:$E$23,0),2),IF(FIND("-",$B239)&gt;0,INDEX(WP!$A$2:$F$23,MATCH(LEFT($B239,FIND("_",$B239)-1),WP!$E$2:$E$23,0),2))),INDEX(WP!$A$2:$F$23,MATCH(Results!$B239,WP!$E$2:$E$23,0),2)),5),(IFERROR(IF(FIND("_",$B239)&gt;0,INDEX(WP!$A$2:$F$23,MATCH(LEFT($B239,FIND("_",$B239)-1),WP!$E$2:$E$23,0),2),IF(FIND("-",$B239)&gt;0,INDEX(WP!$A$2:$F$23,MATCH(LEFT($B239,FIND("_",$B239)-1),WP!$E$2:$E$23,0),2))),INDEX(WP!$A$2:$F$23,MATCH(Results!$B239,WP!$E$2:$E$23,0),2))))&amp;"-"&amp;$I239),"")</f>
        <v/>
      </c>
      <c r="G239" s="17" t="str">
        <f>IF(LEN(_xlfn.IFNA(IF(IFERROR(IF(FIND("_",$B239)&gt;0,MID($B239,FIND("_",$B239)+1,LEN($B239)),IF(FIND("-",$B239)&gt;0,MID($B239,FIND("-",$B239)+1,LEN($B239)))),"")="",IFERROR(VLOOKUP($F239,WP!$B$2:$C$23,2,0),VLOOKUP($C239,Series!$A$3:$F$11,6,0)),IFERROR(VLOOKUP($F239,WP!$B$2:$C$23,2,0),VLOOKUP($C239,Series!$A$3:$F$11,6,0))&amp;" - "&amp;(IFERROR(IF(FIND("_",$B239)&gt;0,MID($B239,FIND("_",$B239)+1,LEN($B239)),IF(FIND("-",$B239)&gt;0,MID($B239,FIND("-",$B239)+1,LEN($B239)))),""))),""))&lt;64,_xlfn.IFNA(IF(IFERROR(IF(FIND("_",$B239)&gt;0,MID($B239,FIND("_",$B239)+1,LEN($B239)),IF(FIND("-",$B239)&gt;0,MID($B239,FIND("-",$B239)+1,LEN($B239)))),"")="",IFERROR(VLOOKUP($F239,WP!$B$2:$C$23,2,0),VLOOKUP($C239,Series!$A$3:$F$11,6,0)),IFERROR(VLOOKUP($F239,WP!$B$2:$C$23,2,0),VLOOKUP($C239,Series!$A$3:$F$11,6,0))&amp;" - "&amp;(IFERROR(IF(FIND("_",$B239)&gt;0,MID($B239,FIND("_",$B239)+1,LEN($B239)),IF(FIND("-",$B239)&gt;0,MID($B239,FIND("-",$B239)+1,LEN($B239)))),""))),""),LEFT((_xlfn.IFNA(IF(IFERROR(IF(FIND("_",$B239)&gt;0,MID($B239,FIND("_",$B239)+1,LEN($B239)),IF(FIND("-",$B239)&gt;0,MID($B239,FIND("-",$B239)+1,LEN($B239)))),"")="",IFERROR(VLOOKUP($F239,WP!$B$2:$C$23,2,0),VLOOKUP($C239,Series!$A$3:$F$11,6,0)),IFERROR(VLOOKUP($F239,WP!$B$2:$C$23,2,0),VLOOKUP($C239,Series!$A$3:$F$11,6,0))&amp;" - "&amp;(IFERROR(IF(FIND("_",$B239)&gt;0,MID($B239,FIND("_",$B239)+1,LEN($B239)),IF(FIND("-",$B239)&gt;0,MID($B239,FIND("-",$B239)+1,LEN($B239)))),""))),"")),64))</f>
        <v/>
      </c>
      <c r="H239" s="12"/>
      <c r="I239" s="12" t="str">
        <f>IF($D239&lt;&gt;"",COUNTIF($D$7:$D239,"="&amp;$D239),"")</f>
        <v/>
      </c>
      <c r="J239"/>
      <c r="K239" s="8"/>
      <c r="L239"/>
    </row>
    <row r="240" spans="1:12" x14ac:dyDescent="0.3">
      <c r="A240" s="1"/>
      <c r="B240" s="26"/>
      <c r="C240" s="12" t="str">
        <f>_xlfn.IFNA(IFERROR(IF(FIND("_",$B240)&gt;0,INDEX(WP!$A$2:$F$23,MATCH(LEFT($B240,FIND("_",$B240)-1),WP!$E$2:$E$23,0),1),IF(FIND("-",$B240)&gt;0,INDEX(WP!$A$2:$F$23,MATCH(LEFT($B240,FIND("_",$B240)-1),WP!$E$2:$E$23,0),1))),INDEX(WP!$A$2:$F$23,MATCH(Results!$B240,WP!$E$2:$E$23,0),1)),"")</f>
        <v/>
      </c>
      <c r="D240" s="12" t="str">
        <f>IFERROR(IFERROR(IF(RIGHT(INDEX(WP!$A$2:$F$23,MATCH(IF(FIND("_",$B240)&gt;0,LEFT($B240,FIND("_",$B240)-1)),WP!$E$2:$E$23,0),2),6)="Series",LEFT(INDEX(WP!$A$2:$F$23,MATCH(IF(FIND("_",$B240)&gt;0,LEFT($B240,FIND("_",$B240)-1)),WP!$E$2:$E$23,0),2),5),""),IF(RIGHT(INDEX(WP!$A$2:$F$23,MATCH($B240,WP!$E$2:$E$23,0),2),6)="Series",LEFT(INDEX(WP!$A$2:$F$23,MATCH($B240,WP!$E$2:$E$23,0),2),5),"")),"")</f>
        <v/>
      </c>
      <c r="E240" s="17" t="str">
        <f>IFERROR(VLOOKUP(VALUE($D240),Series!$B$3:$F$11,2,0),"")</f>
        <v/>
      </c>
      <c r="F240" s="12" t="str">
        <f>_xlfn.IFNA(IF(IF($D240&lt;&gt;"",COUNTIF($E:$E,"="&amp;$D240),"")="",IF(RIGHT(IFERROR(IF(FIND("_",$B240)&gt;0,INDEX(WP!$A$2:$F$23,MATCH(LEFT($B240,FIND("_",$B240)-1),WP!$E$2:$E$23,0),2),IF(FIND("-",$B240)&gt;0,INDEX(WP!$A$2:$F$23,MATCH(LEFT($B240,FIND("_",$B240)-1),WP!$E$2:$E$23,0),2))),INDEX(WP!$A$2:$F$23,MATCH(Results!$B240,WP!$E$2:$E$23,0),2)),6)="Series",LEFT(IFERROR(IF(FIND("_",$B240)&gt;0,INDEX(WP!$A$2:$F$23,MATCH(LEFT($B240,FIND("_",$B240)-1),WP!$E$2:$E$23,0),2),IF(FIND("-",$B240)&gt;0,INDEX(WP!$A$2:$F$23,MATCH(LEFT($B240,FIND("_",$B240)-1),WP!$E$2:$E$23,0),2))),INDEX(WP!$A$2:$F$23,MATCH(Results!$B240,WP!$E$2:$E$23,0),2)),5),(IFERROR(IF(FIND("_",$B240)&gt;0,INDEX(WP!$A$2:$F$23,MATCH(LEFT($B240,FIND("_",$B240)-1),WP!$E$2:$E$23,0),2),IF(FIND("-",$B240)&gt;0,INDEX(WP!$A$2:$F$23,MATCH(LEFT($B240,FIND("_",$B240)-1),WP!$E$2:$E$23,0),2))),INDEX(WP!$A$2:$F$23,MATCH(Results!$B240,WP!$E$2:$E$23,0),2)))),IF(RIGHT(IFERROR(IF(FIND("_",$B240)&gt;0,INDEX(WP!$A$2:$F$23,MATCH(LEFT($B240,FIND("_",$B240)-1),WP!$E$2:$E$23,0),2),IF(FIND("-",$B240)&gt;0,INDEX(WP!$A$2:$F$23,MATCH(LEFT($B240,FIND("_",$B240)-1),WP!$E$2:$E$23,0),2))),INDEX(WP!$A$2:$F$23,MATCH(Results!$B240,WP!$E$2:$E$23,0),2)),6)="Series",LEFT(IFERROR(IF(FIND("_",$B240)&gt;0,INDEX(WP!$A$2:$F$23,MATCH(LEFT($B240,FIND("_",$B240)-1),WP!$E$2:$E$23,0),2),IF(FIND("-",$B240)&gt;0,INDEX(WP!$A$2:$F$23,MATCH(LEFT($B240,FIND("_",$B240)-1),WP!$E$2:$E$23,0),2))),INDEX(WP!$A$2:$F$23,MATCH(Results!$B240,WP!$E$2:$E$23,0),2)),5),(IFERROR(IF(FIND("_",$B240)&gt;0,INDEX(WP!$A$2:$F$23,MATCH(LEFT($B240,FIND("_",$B240)-1),WP!$E$2:$E$23,0),2),IF(FIND("-",$B240)&gt;0,INDEX(WP!$A$2:$F$23,MATCH(LEFT($B240,FIND("_",$B240)-1),WP!$E$2:$E$23,0),2))),INDEX(WP!$A$2:$F$23,MATCH(Results!$B240,WP!$E$2:$E$23,0),2))))&amp;"-"&amp;$I240),"")</f>
        <v/>
      </c>
      <c r="G240" s="17" t="str">
        <f>IF(LEN(_xlfn.IFNA(IF(IFERROR(IF(FIND("_",$B240)&gt;0,MID($B240,FIND("_",$B240)+1,LEN($B240)),IF(FIND("-",$B240)&gt;0,MID($B240,FIND("-",$B240)+1,LEN($B240)))),"")="",IFERROR(VLOOKUP($F240,WP!$B$2:$C$23,2,0),VLOOKUP($C240,Series!$A$3:$F$11,6,0)),IFERROR(VLOOKUP($F240,WP!$B$2:$C$23,2,0),VLOOKUP($C240,Series!$A$3:$F$11,6,0))&amp;" - "&amp;(IFERROR(IF(FIND("_",$B240)&gt;0,MID($B240,FIND("_",$B240)+1,LEN($B240)),IF(FIND("-",$B240)&gt;0,MID($B240,FIND("-",$B240)+1,LEN($B240)))),""))),""))&lt;64,_xlfn.IFNA(IF(IFERROR(IF(FIND("_",$B240)&gt;0,MID($B240,FIND("_",$B240)+1,LEN($B240)),IF(FIND("-",$B240)&gt;0,MID($B240,FIND("-",$B240)+1,LEN($B240)))),"")="",IFERROR(VLOOKUP($F240,WP!$B$2:$C$23,2,0),VLOOKUP($C240,Series!$A$3:$F$11,6,0)),IFERROR(VLOOKUP($F240,WP!$B$2:$C$23,2,0),VLOOKUP($C240,Series!$A$3:$F$11,6,0))&amp;" - "&amp;(IFERROR(IF(FIND("_",$B240)&gt;0,MID($B240,FIND("_",$B240)+1,LEN($B240)),IF(FIND("-",$B240)&gt;0,MID($B240,FIND("-",$B240)+1,LEN($B240)))),""))),""),LEFT((_xlfn.IFNA(IF(IFERROR(IF(FIND("_",$B240)&gt;0,MID($B240,FIND("_",$B240)+1,LEN($B240)),IF(FIND("-",$B240)&gt;0,MID($B240,FIND("-",$B240)+1,LEN($B240)))),"")="",IFERROR(VLOOKUP($F240,WP!$B$2:$C$23,2,0),VLOOKUP($C240,Series!$A$3:$F$11,6,0)),IFERROR(VLOOKUP($F240,WP!$B$2:$C$23,2,0),VLOOKUP($C240,Series!$A$3:$F$11,6,0))&amp;" - "&amp;(IFERROR(IF(FIND("_",$B240)&gt;0,MID($B240,FIND("_",$B240)+1,LEN($B240)),IF(FIND("-",$B240)&gt;0,MID($B240,FIND("-",$B240)+1,LEN($B240)))),""))),"")),64))</f>
        <v/>
      </c>
      <c r="H240" s="12"/>
      <c r="I240" s="12" t="str">
        <f>IF($D240&lt;&gt;"",COUNTIF($D$7:$D240,"="&amp;$D240),"")</f>
        <v/>
      </c>
      <c r="J240"/>
      <c r="K240" s="8"/>
      <c r="L240"/>
    </row>
    <row r="241" spans="1:12" x14ac:dyDescent="0.3">
      <c r="A241" s="1"/>
      <c r="B241" s="26"/>
      <c r="C241" s="12" t="str">
        <f>_xlfn.IFNA(IFERROR(IF(FIND("_",$B241)&gt;0,INDEX(WP!$A$2:$F$23,MATCH(LEFT($B241,FIND("_",$B241)-1),WP!$E$2:$E$23,0),1),IF(FIND("-",$B241)&gt;0,INDEX(WP!$A$2:$F$23,MATCH(LEFT($B241,FIND("_",$B241)-1),WP!$E$2:$E$23,0),1))),INDEX(WP!$A$2:$F$23,MATCH(Results!$B241,WP!$E$2:$E$23,0),1)),"")</f>
        <v/>
      </c>
      <c r="D241" s="12" t="str">
        <f>IFERROR(IFERROR(IF(RIGHT(INDEX(WP!$A$2:$F$23,MATCH(IF(FIND("_",$B241)&gt;0,LEFT($B241,FIND("_",$B241)-1)),WP!$E$2:$E$23,0),2),6)="Series",LEFT(INDEX(WP!$A$2:$F$23,MATCH(IF(FIND("_",$B241)&gt;0,LEFT($B241,FIND("_",$B241)-1)),WP!$E$2:$E$23,0),2),5),""),IF(RIGHT(INDEX(WP!$A$2:$F$23,MATCH($B241,WP!$E$2:$E$23,0),2),6)="Series",LEFT(INDEX(WP!$A$2:$F$23,MATCH($B241,WP!$E$2:$E$23,0),2),5),"")),"")</f>
        <v/>
      </c>
      <c r="E241" s="17" t="str">
        <f>IFERROR(VLOOKUP(VALUE($D241),Series!$B$3:$F$11,2,0),"")</f>
        <v/>
      </c>
      <c r="F241" s="12" t="str">
        <f>_xlfn.IFNA(IF(IF($D241&lt;&gt;"",COUNTIF($E:$E,"="&amp;$D241),"")="",IF(RIGHT(IFERROR(IF(FIND("_",$B241)&gt;0,INDEX(WP!$A$2:$F$23,MATCH(LEFT($B241,FIND("_",$B241)-1),WP!$E$2:$E$23,0),2),IF(FIND("-",$B241)&gt;0,INDEX(WP!$A$2:$F$23,MATCH(LEFT($B241,FIND("_",$B241)-1),WP!$E$2:$E$23,0),2))),INDEX(WP!$A$2:$F$23,MATCH(Results!$B241,WP!$E$2:$E$23,0),2)),6)="Series",LEFT(IFERROR(IF(FIND("_",$B241)&gt;0,INDEX(WP!$A$2:$F$23,MATCH(LEFT($B241,FIND("_",$B241)-1),WP!$E$2:$E$23,0),2),IF(FIND("-",$B241)&gt;0,INDEX(WP!$A$2:$F$23,MATCH(LEFT($B241,FIND("_",$B241)-1),WP!$E$2:$E$23,0),2))),INDEX(WP!$A$2:$F$23,MATCH(Results!$B241,WP!$E$2:$E$23,0),2)),5),(IFERROR(IF(FIND("_",$B241)&gt;0,INDEX(WP!$A$2:$F$23,MATCH(LEFT($B241,FIND("_",$B241)-1),WP!$E$2:$E$23,0),2),IF(FIND("-",$B241)&gt;0,INDEX(WP!$A$2:$F$23,MATCH(LEFT($B241,FIND("_",$B241)-1),WP!$E$2:$E$23,0),2))),INDEX(WP!$A$2:$F$23,MATCH(Results!$B241,WP!$E$2:$E$23,0),2)))),IF(RIGHT(IFERROR(IF(FIND("_",$B241)&gt;0,INDEX(WP!$A$2:$F$23,MATCH(LEFT($B241,FIND("_",$B241)-1),WP!$E$2:$E$23,0),2),IF(FIND("-",$B241)&gt;0,INDEX(WP!$A$2:$F$23,MATCH(LEFT($B241,FIND("_",$B241)-1),WP!$E$2:$E$23,0),2))),INDEX(WP!$A$2:$F$23,MATCH(Results!$B241,WP!$E$2:$E$23,0),2)),6)="Series",LEFT(IFERROR(IF(FIND("_",$B241)&gt;0,INDEX(WP!$A$2:$F$23,MATCH(LEFT($B241,FIND("_",$B241)-1),WP!$E$2:$E$23,0),2),IF(FIND("-",$B241)&gt;0,INDEX(WP!$A$2:$F$23,MATCH(LEFT($B241,FIND("_",$B241)-1),WP!$E$2:$E$23,0),2))),INDEX(WP!$A$2:$F$23,MATCH(Results!$B241,WP!$E$2:$E$23,0),2)),5),(IFERROR(IF(FIND("_",$B241)&gt;0,INDEX(WP!$A$2:$F$23,MATCH(LEFT($B241,FIND("_",$B241)-1),WP!$E$2:$E$23,0),2),IF(FIND("-",$B241)&gt;0,INDEX(WP!$A$2:$F$23,MATCH(LEFT($B241,FIND("_",$B241)-1),WP!$E$2:$E$23,0),2))),INDEX(WP!$A$2:$F$23,MATCH(Results!$B241,WP!$E$2:$E$23,0),2))))&amp;"-"&amp;$I241),"")</f>
        <v/>
      </c>
      <c r="G241" s="17" t="str">
        <f>IF(LEN(_xlfn.IFNA(IF(IFERROR(IF(FIND("_",$B241)&gt;0,MID($B241,FIND("_",$B241)+1,LEN($B241)),IF(FIND("-",$B241)&gt;0,MID($B241,FIND("-",$B241)+1,LEN($B241)))),"")="",IFERROR(VLOOKUP($F241,WP!$B$2:$C$23,2,0),VLOOKUP($C241,Series!$A$3:$F$11,6,0)),IFERROR(VLOOKUP($F241,WP!$B$2:$C$23,2,0),VLOOKUP($C241,Series!$A$3:$F$11,6,0))&amp;" - "&amp;(IFERROR(IF(FIND("_",$B241)&gt;0,MID($B241,FIND("_",$B241)+1,LEN($B241)),IF(FIND("-",$B241)&gt;0,MID($B241,FIND("-",$B241)+1,LEN($B241)))),""))),""))&lt;64,_xlfn.IFNA(IF(IFERROR(IF(FIND("_",$B241)&gt;0,MID($B241,FIND("_",$B241)+1,LEN($B241)),IF(FIND("-",$B241)&gt;0,MID($B241,FIND("-",$B241)+1,LEN($B241)))),"")="",IFERROR(VLOOKUP($F241,WP!$B$2:$C$23,2,0),VLOOKUP($C241,Series!$A$3:$F$11,6,0)),IFERROR(VLOOKUP($F241,WP!$B$2:$C$23,2,0),VLOOKUP($C241,Series!$A$3:$F$11,6,0))&amp;" - "&amp;(IFERROR(IF(FIND("_",$B241)&gt;0,MID($B241,FIND("_",$B241)+1,LEN($B241)),IF(FIND("-",$B241)&gt;0,MID($B241,FIND("-",$B241)+1,LEN($B241)))),""))),""),LEFT((_xlfn.IFNA(IF(IFERROR(IF(FIND("_",$B241)&gt;0,MID($B241,FIND("_",$B241)+1,LEN($B241)),IF(FIND("-",$B241)&gt;0,MID($B241,FIND("-",$B241)+1,LEN($B241)))),"")="",IFERROR(VLOOKUP($F241,WP!$B$2:$C$23,2,0),VLOOKUP($C241,Series!$A$3:$F$11,6,0)),IFERROR(VLOOKUP($F241,WP!$B$2:$C$23,2,0),VLOOKUP($C241,Series!$A$3:$F$11,6,0))&amp;" - "&amp;(IFERROR(IF(FIND("_",$B241)&gt;0,MID($B241,FIND("_",$B241)+1,LEN($B241)),IF(FIND("-",$B241)&gt;0,MID($B241,FIND("-",$B241)+1,LEN($B241)))),""))),"")),64))</f>
        <v/>
      </c>
      <c r="H241" s="12"/>
      <c r="I241" s="12" t="str">
        <f>IF($D241&lt;&gt;"",COUNTIF($D$7:$D241,"="&amp;$D241),"")</f>
        <v/>
      </c>
      <c r="J241"/>
      <c r="K241" s="8"/>
      <c r="L241"/>
    </row>
    <row r="242" spans="1:12" x14ac:dyDescent="0.3">
      <c r="A242" s="1"/>
      <c r="B242" s="26"/>
      <c r="C242" s="12" t="str">
        <f>_xlfn.IFNA(IFERROR(IF(FIND("_",$B242)&gt;0,INDEX(WP!$A$2:$F$23,MATCH(LEFT($B242,FIND("_",$B242)-1),WP!$E$2:$E$23,0),1),IF(FIND("-",$B242)&gt;0,INDEX(WP!$A$2:$F$23,MATCH(LEFT($B242,FIND("_",$B242)-1),WP!$E$2:$E$23,0),1))),INDEX(WP!$A$2:$F$23,MATCH(Results!$B242,WP!$E$2:$E$23,0),1)),"")</f>
        <v/>
      </c>
      <c r="D242" s="12" t="str">
        <f>IFERROR(IFERROR(IF(RIGHT(INDEX(WP!$A$2:$F$23,MATCH(IF(FIND("_",$B242)&gt;0,LEFT($B242,FIND("_",$B242)-1)),WP!$E$2:$E$23,0),2),6)="Series",LEFT(INDEX(WP!$A$2:$F$23,MATCH(IF(FIND("_",$B242)&gt;0,LEFT($B242,FIND("_",$B242)-1)),WP!$E$2:$E$23,0),2),5),""),IF(RIGHT(INDEX(WP!$A$2:$F$23,MATCH($B242,WP!$E$2:$E$23,0),2),6)="Series",LEFT(INDEX(WP!$A$2:$F$23,MATCH($B242,WP!$E$2:$E$23,0),2),5),"")),"")</f>
        <v/>
      </c>
      <c r="E242" s="17" t="str">
        <f>IFERROR(VLOOKUP(VALUE($D242),Series!$B$3:$F$11,2,0),"")</f>
        <v/>
      </c>
      <c r="F242" s="12" t="str">
        <f>_xlfn.IFNA(IF(IF($D242&lt;&gt;"",COUNTIF($E:$E,"="&amp;$D242),"")="",IF(RIGHT(IFERROR(IF(FIND("_",$B242)&gt;0,INDEX(WP!$A$2:$F$23,MATCH(LEFT($B242,FIND("_",$B242)-1),WP!$E$2:$E$23,0),2),IF(FIND("-",$B242)&gt;0,INDEX(WP!$A$2:$F$23,MATCH(LEFT($B242,FIND("_",$B242)-1),WP!$E$2:$E$23,0),2))),INDEX(WP!$A$2:$F$23,MATCH(Results!$B242,WP!$E$2:$E$23,0),2)),6)="Series",LEFT(IFERROR(IF(FIND("_",$B242)&gt;0,INDEX(WP!$A$2:$F$23,MATCH(LEFT($B242,FIND("_",$B242)-1),WP!$E$2:$E$23,0),2),IF(FIND("-",$B242)&gt;0,INDEX(WP!$A$2:$F$23,MATCH(LEFT($B242,FIND("_",$B242)-1),WP!$E$2:$E$23,0),2))),INDEX(WP!$A$2:$F$23,MATCH(Results!$B242,WP!$E$2:$E$23,0),2)),5),(IFERROR(IF(FIND("_",$B242)&gt;0,INDEX(WP!$A$2:$F$23,MATCH(LEFT($B242,FIND("_",$B242)-1),WP!$E$2:$E$23,0),2),IF(FIND("-",$B242)&gt;0,INDEX(WP!$A$2:$F$23,MATCH(LEFT($B242,FIND("_",$B242)-1),WP!$E$2:$E$23,0),2))),INDEX(WP!$A$2:$F$23,MATCH(Results!$B242,WP!$E$2:$E$23,0),2)))),IF(RIGHT(IFERROR(IF(FIND("_",$B242)&gt;0,INDEX(WP!$A$2:$F$23,MATCH(LEFT($B242,FIND("_",$B242)-1),WP!$E$2:$E$23,0),2),IF(FIND("-",$B242)&gt;0,INDEX(WP!$A$2:$F$23,MATCH(LEFT($B242,FIND("_",$B242)-1),WP!$E$2:$E$23,0),2))),INDEX(WP!$A$2:$F$23,MATCH(Results!$B242,WP!$E$2:$E$23,0),2)),6)="Series",LEFT(IFERROR(IF(FIND("_",$B242)&gt;0,INDEX(WP!$A$2:$F$23,MATCH(LEFT($B242,FIND("_",$B242)-1),WP!$E$2:$E$23,0),2),IF(FIND("-",$B242)&gt;0,INDEX(WP!$A$2:$F$23,MATCH(LEFT($B242,FIND("_",$B242)-1),WP!$E$2:$E$23,0),2))),INDEX(WP!$A$2:$F$23,MATCH(Results!$B242,WP!$E$2:$E$23,0),2)),5),(IFERROR(IF(FIND("_",$B242)&gt;0,INDEX(WP!$A$2:$F$23,MATCH(LEFT($B242,FIND("_",$B242)-1),WP!$E$2:$E$23,0),2),IF(FIND("-",$B242)&gt;0,INDEX(WP!$A$2:$F$23,MATCH(LEFT($B242,FIND("_",$B242)-1),WP!$E$2:$E$23,0),2))),INDEX(WP!$A$2:$F$23,MATCH(Results!$B242,WP!$E$2:$E$23,0),2))))&amp;"-"&amp;$I242),"")</f>
        <v/>
      </c>
      <c r="G242" s="17" t="str">
        <f>IF(LEN(_xlfn.IFNA(IF(IFERROR(IF(FIND("_",$B242)&gt;0,MID($B242,FIND("_",$B242)+1,LEN($B242)),IF(FIND("-",$B242)&gt;0,MID($B242,FIND("-",$B242)+1,LEN($B242)))),"")="",IFERROR(VLOOKUP($F242,WP!$B$2:$C$23,2,0),VLOOKUP($C242,Series!$A$3:$F$11,6,0)),IFERROR(VLOOKUP($F242,WP!$B$2:$C$23,2,0),VLOOKUP($C242,Series!$A$3:$F$11,6,0))&amp;" - "&amp;(IFERROR(IF(FIND("_",$B242)&gt;0,MID($B242,FIND("_",$B242)+1,LEN($B242)),IF(FIND("-",$B242)&gt;0,MID($B242,FIND("-",$B242)+1,LEN($B242)))),""))),""))&lt;64,_xlfn.IFNA(IF(IFERROR(IF(FIND("_",$B242)&gt;0,MID($B242,FIND("_",$B242)+1,LEN($B242)),IF(FIND("-",$B242)&gt;0,MID($B242,FIND("-",$B242)+1,LEN($B242)))),"")="",IFERROR(VLOOKUP($F242,WP!$B$2:$C$23,2,0),VLOOKUP($C242,Series!$A$3:$F$11,6,0)),IFERROR(VLOOKUP($F242,WP!$B$2:$C$23,2,0),VLOOKUP($C242,Series!$A$3:$F$11,6,0))&amp;" - "&amp;(IFERROR(IF(FIND("_",$B242)&gt;0,MID($B242,FIND("_",$B242)+1,LEN($B242)),IF(FIND("-",$B242)&gt;0,MID($B242,FIND("-",$B242)+1,LEN($B242)))),""))),""),LEFT((_xlfn.IFNA(IF(IFERROR(IF(FIND("_",$B242)&gt;0,MID($B242,FIND("_",$B242)+1,LEN($B242)),IF(FIND("-",$B242)&gt;0,MID($B242,FIND("-",$B242)+1,LEN($B242)))),"")="",IFERROR(VLOOKUP($F242,WP!$B$2:$C$23,2,0),VLOOKUP($C242,Series!$A$3:$F$11,6,0)),IFERROR(VLOOKUP($F242,WP!$B$2:$C$23,2,0),VLOOKUP($C242,Series!$A$3:$F$11,6,0))&amp;" - "&amp;(IFERROR(IF(FIND("_",$B242)&gt;0,MID($B242,FIND("_",$B242)+1,LEN($B242)),IF(FIND("-",$B242)&gt;0,MID($B242,FIND("-",$B242)+1,LEN($B242)))),""))),"")),64))</f>
        <v/>
      </c>
      <c r="H242" s="12"/>
      <c r="I242" s="12" t="str">
        <f>IF($D242&lt;&gt;"",COUNTIF($D$7:$D242,"="&amp;$D242),"")</f>
        <v/>
      </c>
      <c r="J242"/>
      <c r="K242" s="8"/>
      <c r="L242"/>
    </row>
    <row r="243" spans="1:12" x14ac:dyDescent="0.3">
      <c r="A243" s="1"/>
      <c r="B243" s="26"/>
      <c r="C243" s="12" t="str">
        <f>_xlfn.IFNA(IFERROR(IF(FIND("_",$B243)&gt;0,INDEX(WP!$A$2:$F$23,MATCH(LEFT($B243,FIND("_",$B243)-1),WP!$E$2:$E$23,0),1),IF(FIND("-",$B243)&gt;0,INDEX(WP!$A$2:$F$23,MATCH(LEFT($B243,FIND("_",$B243)-1),WP!$E$2:$E$23,0),1))),INDEX(WP!$A$2:$F$23,MATCH(Results!$B243,WP!$E$2:$E$23,0),1)),"")</f>
        <v/>
      </c>
      <c r="D243" s="12" t="str">
        <f>IFERROR(IFERROR(IF(RIGHT(INDEX(WP!$A$2:$F$23,MATCH(IF(FIND("_",$B243)&gt;0,LEFT($B243,FIND("_",$B243)-1)),WP!$E$2:$E$23,0),2),6)="Series",LEFT(INDEX(WP!$A$2:$F$23,MATCH(IF(FIND("_",$B243)&gt;0,LEFT($B243,FIND("_",$B243)-1)),WP!$E$2:$E$23,0),2),5),""),IF(RIGHT(INDEX(WP!$A$2:$F$23,MATCH($B243,WP!$E$2:$E$23,0),2),6)="Series",LEFT(INDEX(WP!$A$2:$F$23,MATCH($B243,WP!$E$2:$E$23,0),2),5),"")),"")</f>
        <v/>
      </c>
      <c r="E243" s="17" t="str">
        <f>IFERROR(VLOOKUP(VALUE($D243),Series!$B$3:$F$11,2,0),"")</f>
        <v/>
      </c>
      <c r="F243" s="12" t="str">
        <f>_xlfn.IFNA(IF(IF($D243&lt;&gt;"",COUNTIF($E:$E,"="&amp;$D243),"")="",IF(RIGHT(IFERROR(IF(FIND("_",$B243)&gt;0,INDEX(WP!$A$2:$F$23,MATCH(LEFT($B243,FIND("_",$B243)-1),WP!$E$2:$E$23,0),2),IF(FIND("-",$B243)&gt;0,INDEX(WP!$A$2:$F$23,MATCH(LEFT($B243,FIND("_",$B243)-1),WP!$E$2:$E$23,0),2))),INDEX(WP!$A$2:$F$23,MATCH(Results!$B243,WP!$E$2:$E$23,0),2)),6)="Series",LEFT(IFERROR(IF(FIND("_",$B243)&gt;0,INDEX(WP!$A$2:$F$23,MATCH(LEFT($B243,FIND("_",$B243)-1),WP!$E$2:$E$23,0),2),IF(FIND("-",$B243)&gt;0,INDEX(WP!$A$2:$F$23,MATCH(LEFT($B243,FIND("_",$B243)-1),WP!$E$2:$E$23,0),2))),INDEX(WP!$A$2:$F$23,MATCH(Results!$B243,WP!$E$2:$E$23,0),2)),5),(IFERROR(IF(FIND("_",$B243)&gt;0,INDEX(WP!$A$2:$F$23,MATCH(LEFT($B243,FIND("_",$B243)-1),WP!$E$2:$E$23,0),2),IF(FIND("-",$B243)&gt;0,INDEX(WP!$A$2:$F$23,MATCH(LEFT($B243,FIND("_",$B243)-1),WP!$E$2:$E$23,0),2))),INDEX(WP!$A$2:$F$23,MATCH(Results!$B243,WP!$E$2:$E$23,0),2)))),IF(RIGHT(IFERROR(IF(FIND("_",$B243)&gt;0,INDEX(WP!$A$2:$F$23,MATCH(LEFT($B243,FIND("_",$B243)-1),WP!$E$2:$E$23,0),2),IF(FIND("-",$B243)&gt;0,INDEX(WP!$A$2:$F$23,MATCH(LEFT($B243,FIND("_",$B243)-1),WP!$E$2:$E$23,0),2))),INDEX(WP!$A$2:$F$23,MATCH(Results!$B243,WP!$E$2:$E$23,0),2)),6)="Series",LEFT(IFERROR(IF(FIND("_",$B243)&gt;0,INDEX(WP!$A$2:$F$23,MATCH(LEFT($B243,FIND("_",$B243)-1),WP!$E$2:$E$23,0),2),IF(FIND("-",$B243)&gt;0,INDEX(WP!$A$2:$F$23,MATCH(LEFT($B243,FIND("_",$B243)-1),WP!$E$2:$E$23,0),2))),INDEX(WP!$A$2:$F$23,MATCH(Results!$B243,WP!$E$2:$E$23,0),2)),5),(IFERROR(IF(FIND("_",$B243)&gt;0,INDEX(WP!$A$2:$F$23,MATCH(LEFT($B243,FIND("_",$B243)-1),WP!$E$2:$E$23,0),2),IF(FIND("-",$B243)&gt;0,INDEX(WP!$A$2:$F$23,MATCH(LEFT($B243,FIND("_",$B243)-1),WP!$E$2:$E$23,0),2))),INDEX(WP!$A$2:$F$23,MATCH(Results!$B243,WP!$E$2:$E$23,0),2))))&amp;"-"&amp;$I243),"")</f>
        <v/>
      </c>
      <c r="G243" s="17" t="str">
        <f>IF(LEN(_xlfn.IFNA(IF(IFERROR(IF(FIND("_",$B243)&gt;0,MID($B243,FIND("_",$B243)+1,LEN($B243)),IF(FIND("-",$B243)&gt;0,MID($B243,FIND("-",$B243)+1,LEN($B243)))),"")="",IFERROR(VLOOKUP($F243,WP!$B$2:$C$23,2,0),VLOOKUP($C243,Series!$A$3:$F$11,6,0)),IFERROR(VLOOKUP($F243,WP!$B$2:$C$23,2,0),VLOOKUP($C243,Series!$A$3:$F$11,6,0))&amp;" - "&amp;(IFERROR(IF(FIND("_",$B243)&gt;0,MID($B243,FIND("_",$B243)+1,LEN($B243)),IF(FIND("-",$B243)&gt;0,MID($B243,FIND("-",$B243)+1,LEN($B243)))),""))),""))&lt;64,_xlfn.IFNA(IF(IFERROR(IF(FIND("_",$B243)&gt;0,MID($B243,FIND("_",$B243)+1,LEN($B243)),IF(FIND("-",$B243)&gt;0,MID($B243,FIND("-",$B243)+1,LEN($B243)))),"")="",IFERROR(VLOOKUP($F243,WP!$B$2:$C$23,2,0),VLOOKUP($C243,Series!$A$3:$F$11,6,0)),IFERROR(VLOOKUP($F243,WP!$B$2:$C$23,2,0),VLOOKUP($C243,Series!$A$3:$F$11,6,0))&amp;" - "&amp;(IFERROR(IF(FIND("_",$B243)&gt;0,MID($B243,FIND("_",$B243)+1,LEN($B243)),IF(FIND("-",$B243)&gt;0,MID($B243,FIND("-",$B243)+1,LEN($B243)))),""))),""),LEFT((_xlfn.IFNA(IF(IFERROR(IF(FIND("_",$B243)&gt;0,MID($B243,FIND("_",$B243)+1,LEN($B243)),IF(FIND("-",$B243)&gt;0,MID($B243,FIND("-",$B243)+1,LEN($B243)))),"")="",IFERROR(VLOOKUP($F243,WP!$B$2:$C$23,2,0),VLOOKUP($C243,Series!$A$3:$F$11,6,0)),IFERROR(VLOOKUP($F243,WP!$B$2:$C$23,2,0),VLOOKUP($C243,Series!$A$3:$F$11,6,0))&amp;" - "&amp;(IFERROR(IF(FIND("_",$B243)&gt;0,MID($B243,FIND("_",$B243)+1,LEN($B243)),IF(FIND("-",$B243)&gt;0,MID($B243,FIND("-",$B243)+1,LEN($B243)))),""))),"")),64))</f>
        <v/>
      </c>
      <c r="H243" s="12"/>
      <c r="I243" s="12" t="str">
        <f>IF($D243&lt;&gt;"",COUNTIF($D$7:$D243,"="&amp;$D243),"")</f>
        <v/>
      </c>
      <c r="J243"/>
      <c r="K243" s="8"/>
      <c r="L243"/>
    </row>
    <row r="244" spans="1:12" x14ac:dyDescent="0.3">
      <c r="A244" s="1"/>
      <c r="B244" s="26"/>
      <c r="C244" s="12" t="str">
        <f>_xlfn.IFNA(IFERROR(IF(FIND("_",$B244)&gt;0,INDEX(WP!$A$2:$F$23,MATCH(LEFT($B244,FIND("_",$B244)-1),WP!$E$2:$E$23,0),1),IF(FIND("-",$B244)&gt;0,INDEX(WP!$A$2:$F$23,MATCH(LEFT($B244,FIND("_",$B244)-1),WP!$E$2:$E$23,0),1))),INDEX(WP!$A$2:$F$23,MATCH(Results!$B244,WP!$E$2:$E$23,0),1)),"")</f>
        <v/>
      </c>
      <c r="D244" s="12" t="str">
        <f>IFERROR(IFERROR(IF(RIGHT(INDEX(WP!$A$2:$F$23,MATCH(IF(FIND("_",$B244)&gt;0,LEFT($B244,FIND("_",$B244)-1)),WP!$E$2:$E$23,0),2),6)="Series",LEFT(INDEX(WP!$A$2:$F$23,MATCH(IF(FIND("_",$B244)&gt;0,LEFT($B244,FIND("_",$B244)-1)),WP!$E$2:$E$23,0),2),5),""),IF(RIGHT(INDEX(WP!$A$2:$F$23,MATCH($B244,WP!$E$2:$E$23,0),2),6)="Series",LEFT(INDEX(WP!$A$2:$F$23,MATCH($B244,WP!$E$2:$E$23,0),2),5),"")),"")</f>
        <v/>
      </c>
      <c r="E244" s="17" t="str">
        <f>IFERROR(VLOOKUP(VALUE($D244),Series!$B$3:$F$11,2,0),"")</f>
        <v/>
      </c>
      <c r="F244" s="12" t="str">
        <f>_xlfn.IFNA(IF(IF($D244&lt;&gt;"",COUNTIF($E:$E,"="&amp;$D244),"")="",IF(RIGHT(IFERROR(IF(FIND("_",$B244)&gt;0,INDEX(WP!$A$2:$F$23,MATCH(LEFT($B244,FIND("_",$B244)-1),WP!$E$2:$E$23,0),2),IF(FIND("-",$B244)&gt;0,INDEX(WP!$A$2:$F$23,MATCH(LEFT($B244,FIND("_",$B244)-1),WP!$E$2:$E$23,0),2))),INDEX(WP!$A$2:$F$23,MATCH(Results!$B244,WP!$E$2:$E$23,0),2)),6)="Series",LEFT(IFERROR(IF(FIND("_",$B244)&gt;0,INDEX(WP!$A$2:$F$23,MATCH(LEFT($B244,FIND("_",$B244)-1),WP!$E$2:$E$23,0),2),IF(FIND("-",$B244)&gt;0,INDEX(WP!$A$2:$F$23,MATCH(LEFT($B244,FIND("_",$B244)-1),WP!$E$2:$E$23,0),2))),INDEX(WP!$A$2:$F$23,MATCH(Results!$B244,WP!$E$2:$E$23,0),2)),5),(IFERROR(IF(FIND("_",$B244)&gt;0,INDEX(WP!$A$2:$F$23,MATCH(LEFT($B244,FIND("_",$B244)-1),WP!$E$2:$E$23,0),2),IF(FIND("-",$B244)&gt;0,INDEX(WP!$A$2:$F$23,MATCH(LEFT($B244,FIND("_",$B244)-1),WP!$E$2:$E$23,0),2))),INDEX(WP!$A$2:$F$23,MATCH(Results!$B244,WP!$E$2:$E$23,0),2)))),IF(RIGHT(IFERROR(IF(FIND("_",$B244)&gt;0,INDEX(WP!$A$2:$F$23,MATCH(LEFT($B244,FIND("_",$B244)-1),WP!$E$2:$E$23,0),2),IF(FIND("-",$B244)&gt;0,INDEX(WP!$A$2:$F$23,MATCH(LEFT($B244,FIND("_",$B244)-1),WP!$E$2:$E$23,0),2))),INDEX(WP!$A$2:$F$23,MATCH(Results!$B244,WP!$E$2:$E$23,0),2)),6)="Series",LEFT(IFERROR(IF(FIND("_",$B244)&gt;0,INDEX(WP!$A$2:$F$23,MATCH(LEFT($B244,FIND("_",$B244)-1),WP!$E$2:$E$23,0),2),IF(FIND("-",$B244)&gt;0,INDEX(WP!$A$2:$F$23,MATCH(LEFT($B244,FIND("_",$B244)-1),WP!$E$2:$E$23,0),2))),INDEX(WP!$A$2:$F$23,MATCH(Results!$B244,WP!$E$2:$E$23,0),2)),5),(IFERROR(IF(FIND("_",$B244)&gt;0,INDEX(WP!$A$2:$F$23,MATCH(LEFT($B244,FIND("_",$B244)-1),WP!$E$2:$E$23,0),2),IF(FIND("-",$B244)&gt;0,INDEX(WP!$A$2:$F$23,MATCH(LEFT($B244,FIND("_",$B244)-1),WP!$E$2:$E$23,0),2))),INDEX(WP!$A$2:$F$23,MATCH(Results!$B244,WP!$E$2:$E$23,0),2))))&amp;"-"&amp;$I244),"")</f>
        <v/>
      </c>
      <c r="G244" s="17" t="str">
        <f>IF(LEN(_xlfn.IFNA(IF(IFERROR(IF(FIND("_",$B244)&gt;0,MID($B244,FIND("_",$B244)+1,LEN($B244)),IF(FIND("-",$B244)&gt;0,MID($B244,FIND("-",$B244)+1,LEN($B244)))),"")="",IFERROR(VLOOKUP($F244,WP!$B$2:$C$23,2,0),VLOOKUP($C244,Series!$A$3:$F$11,6,0)),IFERROR(VLOOKUP($F244,WP!$B$2:$C$23,2,0),VLOOKUP($C244,Series!$A$3:$F$11,6,0))&amp;" - "&amp;(IFERROR(IF(FIND("_",$B244)&gt;0,MID($B244,FIND("_",$B244)+1,LEN($B244)),IF(FIND("-",$B244)&gt;0,MID($B244,FIND("-",$B244)+1,LEN($B244)))),""))),""))&lt;64,_xlfn.IFNA(IF(IFERROR(IF(FIND("_",$B244)&gt;0,MID($B244,FIND("_",$B244)+1,LEN($B244)),IF(FIND("-",$B244)&gt;0,MID($B244,FIND("-",$B244)+1,LEN($B244)))),"")="",IFERROR(VLOOKUP($F244,WP!$B$2:$C$23,2,0),VLOOKUP($C244,Series!$A$3:$F$11,6,0)),IFERROR(VLOOKUP($F244,WP!$B$2:$C$23,2,0),VLOOKUP($C244,Series!$A$3:$F$11,6,0))&amp;" - "&amp;(IFERROR(IF(FIND("_",$B244)&gt;0,MID($B244,FIND("_",$B244)+1,LEN($B244)),IF(FIND("-",$B244)&gt;0,MID($B244,FIND("-",$B244)+1,LEN($B244)))),""))),""),LEFT((_xlfn.IFNA(IF(IFERROR(IF(FIND("_",$B244)&gt;0,MID($B244,FIND("_",$B244)+1,LEN($B244)),IF(FIND("-",$B244)&gt;0,MID($B244,FIND("-",$B244)+1,LEN($B244)))),"")="",IFERROR(VLOOKUP($F244,WP!$B$2:$C$23,2,0),VLOOKUP($C244,Series!$A$3:$F$11,6,0)),IFERROR(VLOOKUP($F244,WP!$B$2:$C$23,2,0),VLOOKUP($C244,Series!$A$3:$F$11,6,0))&amp;" - "&amp;(IFERROR(IF(FIND("_",$B244)&gt;0,MID($B244,FIND("_",$B244)+1,LEN($B244)),IF(FIND("-",$B244)&gt;0,MID($B244,FIND("-",$B244)+1,LEN($B244)))),""))),"")),64))</f>
        <v/>
      </c>
      <c r="H244" s="12"/>
      <c r="I244" s="12" t="str">
        <f>IF($D244&lt;&gt;"",COUNTIF($D$7:$D244,"="&amp;$D244),"")</f>
        <v/>
      </c>
      <c r="J244"/>
      <c r="K244" s="8"/>
      <c r="L244"/>
    </row>
    <row r="245" spans="1:12" x14ac:dyDescent="0.3">
      <c r="A245" s="1"/>
      <c r="B245" s="26"/>
      <c r="C245" s="12" t="str">
        <f>_xlfn.IFNA(IFERROR(IF(FIND("_",$B245)&gt;0,INDEX(WP!$A$2:$F$23,MATCH(LEFT($B245,FIND("_",$B245)-1),WP!$E$2:$E$23,0),1),IF(FIND("-",$B245)&gt;0,INDEX(WP!$A$2:$F$23,MATCH(LEFT($B245,FIND("_",$B245)-1),WP!$E$2:$E$23,0),1))),INDEX(WP!$A$2:$F$23,MATCH(Results!$B245,WP!$E$2:$E$23,0),1)),"")</f>
        <v/>
      </c>
      <c r="D245" s="12" t="str">
        <f>IFERROR(IFERROR(IF(RIGHT(INDEX(WP!$A$2:$F$23,MATCH(IF(FIND("_",$B245)&gt;0,LEFT($B245,FIND("_",$B245)-1)),WP!$E$2:$E$23,0),2),6)="Series",LEFT(INDEX(WP!$A$2:$F$23,MATCH(IF(FIND("_",$B245)&gt;0,LEFT($B245,FIND("_",$B245)-1)),WP!$E$2:$E$23,0),2),5),""),IF(RIGHT(INDEX(WP!$A$2:$F$23,MATCH($B245,WP!$E$2:$E$23,0),2),6)="Series",LEFT(INDEX(WP!$A$2:$F$23,MATCH($B245,WP!$E$2:$E$23,0),2),5),"")),"")</f>
        <v/>
      </c>
      <c r="E245" s="17" t="str">
        <f>IFERROR(VLOOKUP(VALUE($D245),Series!$B$3:$F$11,2,0),"")</f>
        <v/>
      </c>
      <c r="F245" s="12" t="str">
        <f>_xlfn.IFNA(IF(IF($D245&lt;&gt;"",COUNTIF($E:$E,"="&amp;$D245),"")="",IF(RIGHT(IFERROR(IF(FIND("_",$B245)&gt;0,INDEX(WP!$A$2:$F$23,MATCH(LEFT($B245,FIND("_",$B245)-1),WP!$E$2:$E$23,0),2),IF(FIND("-",$B245)&gt;0,INDEX(WP!$A$2:$F$23,MATCH(LEFT($B245,FIND("_",$B245)-1),WP!$E$2:$E$23,0),2))),INDEX(WP!$A$2:$F$23,MATCH(Results!$B245,WP!$E$2:$E$23,0),2)),6)="Series",LEFT(IFERROR(IF(FIND("_",$B245)&gt;0,INDEX(WP!$A$2:$F$23,MATCH(LEFT($B245,FIND("_",$B245)-1),WP!$E$2:$E$23,0),2),IF(FIND("-",$B245)&gt;0,INDEX(WP!$A$2:$F$23,MATCH(LEFT($B245,FIND("_",$B245)-1),WP!$E$2:$E$23,0),2))),INDEX(WP!$A$2:$F$23,MATCH(Results!$B245,WP!$E$2:$E$23,0),2)),5),(IFERROR(IF(FIND("_",$B245)&gt;0,INDEX(WP!$A$2:$F$23,MATCH(LEFT($B245,FIND("_",$B245)-1),WP!$E$2:$E$23,0),2),IF(FIND("-",$B245)&gt;0,INDEX(WP!$A$2:$F$23,MATCH(LEFT($B245,FIND("_",$B245)-1),WP!$E$2:$E$23,0),2))),INDEX(WP!$A$2:$F$23,MATCH(Results!$B245,WP!$E$2:$E$23,0),2)))),IF(RIGHT(IFERROR(IF(FIND("_",$B245)&gt;0,INDEX(WP!$A$2:$F$23,MATCH(LEFT($B245,FIND("_",$B245)-1),WP!$E$2:$E$23,0),2),IF(FIND("-",$B245)&gt;0,INDEX(WP!$A$2:$F$23,MATCH(LEFT($B245,FIND("_",$B245)-1),WP!$E$2:$E$23,0),2))),INDEX(WP!$A$2:$F$23,MATCH(Results!$B245,WP!$E$2:$E$23,0),2)),6)="Series",LEFT(IFERROR(IF(FIND("_",$B245)&gt;0,INDEX(WP!$A$2:$F$23,MATCH(LEFT($B245,FIND("_",$B245)-1),WP!$E$2:$E$23,0),2),IF(FIND("-",$B245)&gt;0,INDEX(WP!$A$2:$F$23,MATCH(LEFT($B245,FIND("_",$B245)-1),WP!$E$2:$E$23,0),2))),INDEX(WP!$A$2:$F$23,MATCH(Results!$B245,WP!$E$2:$E$23,0),2)),5),(IFERROR(IF(FIND("_",$B245)&gt;0,INDEX(WP!$A$2:$F$23,MATCH(LEFT($B245,FIND("_",$B245)-1),WP!$E$2:$E$23,0),2),IF(FIND("-",$B245)&gt;0,INDEX(WP!$A$2:$F$23,MATCH(LEFT($B245,FIND("_",$B245)-1),WP!$E$2:$E$23,0),2))),INDEX(WP!$A$2:$F$23,MATCH(Results!$B245,WP!$E$2:$E$23,0),2))))&amp;"-"&amp;$I245),"")</f>
        <v/>
      </c>
      <c r="G245" s="17" t="str">
        <f>IF(LEN(_xlfn.IFNA(IF(IFERROR(IF(FIND("_",$B245)&gt;0,MID($B245,FIND("_",$B245)+1,LEN($B245)),IF(FIND("-",$B245)&gt;0,MID($B245,FIND("-",$B245)+1,LEN($B245)))),"")="",IFERROR(VLOOKUP($F245,WP!$B$2:$C$23,2,0),VLOOKUP($C245,Series!$A$3:$F$11,6,0)),IFERROR(VLOOKUP($F245,WP!$B$2:$C$23,2,0),VLOOKUP($C245,Series!$A$3:$F$11,6,0))&amp;" - "&amp;(IFERROR(IF(FIND("_",$B245)&gt;0,MID($B245,FIND("_",$B245)+1,LEN($B245)),IF(FIND("-",$B245)&gt;0,MID($B245,FIND("-",$B245)+1,LEN($B245)))),""))),""))&lt;64,_xlfn.IFNA(IF(IFERROR(IF(FIND("_",$B245)&gt;0,MID($B245,FIND("_",$B245)+1,LEN($B245)),IF(FIND("-",$B245)&gt;0,MID($B245,FIND("-",$B245)+1,LEN($B245)))),"")="",IFERROR(VLOOKUP($F245,WP!$B$2:$C$23,2,0),VLOOKUP($C245,Series!$A$3:$F$11,6,0)),IFERROR(VLOOKUP($F245,WP!$B$2:$C$23,2,0),VLOOKUP($C245,Series!$A$3:$F$11,6,0))&amp;" - "&amp;(IFERROR(IF(FIND("_",$B245)&gt;0,MID($B245,FIND("_",$B245)+1,LEN($B245)),IF(FIND("-",$B245)&gt;0,MID($B245,FIND("-",$B245)+1,LEN($B245)))),""))),""),LEFT((_xlfn.IFNA(IF(IFERROR(IF(FIND("_",$B245)&gt;0,MID($B245,FIND("_",$B245)+1,LEN($B245)),IF(FIND("-",$B245)&gt;0,MID($B245,FIND("-",$B245)+1,LEN($B245)))),"")="",IFERROR(VLOOKUP($F245,WP!$B$2:$C$23,2,0),VLOOKUP($C245,Series!$A$3:$F$11,6,0)),IFERROR(VLOOKUP($F245,WP!$B$2:$C$23,2,0),VLOOKUP($C245,Series!$A$3:$F$11,6,0))&amp;" - "&amp;(IFERROR(IF(FIND("_",$B245)&gt;0,MID($B245,FIND("_",$B245)+1,LEN($B245)),IF(FIND("-",$B245)&gt;0,MID($B245,FIND("-",$B245)+1,LEN($B245)))),""))),"")),64))</f>
        <v/>
      </c>
      <c r="H245" s="12"/>
      <c r="I245" s="12" t="str">
        <f>IF($D245&lt;&gt;"",COUNTIF($D$7:$D245,"="&amp;$D245),"")</f>
        <v/>
      </c>
      <c r="J245"/>
      <c r="K245" s="8"/>
      <c r="L245"/>
    </row>
    <row r="246" spans="1:12" x14ac:dyDescent="0.3">
      <c r="A246" s="1"/>
      <c r="B246" s="26"/>
      <c r="C246" s="12" t="str">
        <f>_xlfn.IFNA(IFERROR(IF(FIND("_",$B246)&gt;0,INDEX(WP!$A$2:$F$23,MATCH(LEFT($B246,FIND("_",$B246)-1),WP!$E$2:$E$23,0),1),IF(FIND("-",$B246)&gt;0,INDEX(WP!$A$2:$F$23,MATCH(LEFT($B246,FIND("_",$B246)-1),WP!$E$2:$E$23,0),1))),INDEX(WP!$A$2:$F$23,MATCH(Results!$B246,WP!$E$2:$E$23,0),1)),"")</f>
        <v/>
      </c>
      <c r="D246" s="12" t="str">
        <f>IFERROR(IFERROR(IF(RIGHT(INDEX(WP!$A$2:$F$23,MATCH(IF(FIND("_",$B246)&gt;0,LEFT($B246,FIND("_",$B246)-1)),WP!$E$2:$E$23,0),2),6)="Series",LEFT(INDEX(WP!$A$2:$F$23,MATCH(IF(FIND("_",$B246)&gt;0,LEFT($B246,FIND("_",$B246)-1)),WP!$E$2:$E$23,0),2),5),""),IF(RIGHT(INDEX(WP!$A$2:$F$23,MATCH($B246,WP!$E$2:$E$23,0),2),6)="Series",LEFT(INDEX(WP!$A$2:$F$23,MATCH($B246,WP!$E$2:$E$23,0),2),5),"")),"")</f>
        <v/>
      </c>
      <c r="E246" s="17" t="str">
        <f>IFERROR(VLOOKUP(VALUE($D246),Series!$B$3:$F$11,2,0),"")</f>
        <v/>
      </c>
      <c r="F246" s="12" t="str">
        <f>_xlfn.IFNA(IF(IF($D246&lt;&gt;"",COUNTIF($E:$E,"="&amp;$D246),"")="",IF(RIGHT(IFERROR(IF(FIND("_",$B246)&gt;0,INDEX(WP!$A$2:$F$23,MATCH(LEFT($B246,FIND("_",$B246)-1),WP!$E$2:$E$23,0),2),IF(FIND("-",$B246)&gt;0,INDEX(WP!$A$2:$F$23,MATCH(LEFT($B246,FIND("_",$B246)-1),WP!$E$2:$E$23,0),2))),INDEX(WP!$A$2:$F$23,MATCH(Results!$B246,WP!$E$2:$E$23,0),2)),6)="Series",LEFT(IFERROR(IF(FIND("_",$B246)&gt;0,INDEX(WP!$A$2:$F$23,MATCH(LEFT($B246,FIND("_",$B246)-1),WP!$E$2:$E$23,0),2),IF(FIND("-",$B246)&gt;0,INDEX(WP!$A$2:$F$23,MATCH(LEFT($B246,FIND("_",$B246)-1),WP!$E$2:$E$23,0),2))),INDEX(WP!$A$2:$F$23,MATCH(Results!$B246,WP!$E$2:$E$23,0),2)),5),(IFERROR(IF(FIND("_",$B246)&gt;0,INDEX(WP!$A$2:$F$23,MATCH(LEFT($B246,FIND("_",$B246)-1),WP!$E$2:$E$23,0),2),IF(FIND("-",$B246)&gt;0,INDEX(WP!$A$2:$F$23,MATCH(LEFT($B246,FIND("_",$B246)-1),WP!$E$2:$E$23,0),2))),INDEX(WP!$A$2:$F$23,MATCH(Results!$B246,WP!$E$2:$E$23,0),2)))),IF(RIGHT(IFERROR(IF(FIND("_",$B246)&gt;0,INDEX(WP!$A$2:$F$23,MATCH(LEFT($B246,FIND("_",$B246)-1),WP!$E$2:$E$23,0),2),IF(FIND("-",$B246)&gt;0,INDEX(WP!$A$2:$F$23,MATCH(LEFT($B246,FIND("_",$B246)-1),WP!$E$2:$E$23,0),2))),INDEX(WP!$A$2:$F$23,MATCH(Results!$B246,WP!$E$2:$E$23,0),2)),6)="Series",LEFT(IFERROR(IF(FIND("_",$B246)&gt;0,INDEX(WP!$A$2:$F$23,MATCH(LEFT($B246,FIND("_",$B246)-1),WP!$E$2:$E$23,0),2),IF(FIND("-",$B246)&gt;0,INDEX(WP!$A$2:$F$23,MATCH(LEFT($B246,FIND("_",$B246)-1),WP!$E$2:$E$23,0),2))),INDEX(WP!$A$2:$F$23,MATCH(Results!$B246,WP!$E$2:$E$23,0),2)),5),(IFERROR(IF(FIND("_",$B246)&gt;0,INDEX(WP!$A$2:$F$23,MATCH(LEFT($B246,FIND("_",$B246)-1),WP!$E$2:$E$23,0),2),IF(FIND("-",$B246)&gt;0,INDEX(WP!$A$2:$F$23,MATCH(LEFT($B246,FIND("_",$B246)-1),WP!$E$2:$E$23,0),2))),INDEX(WP!$A$2:$F$23,MATCH(Results!$B246,WP!$E$2:$E$23,0),2))))&amp;"-"&amp;$I246),"")</f>
        <v/>
      </c>
      <c r="G246" s="17" t="str">
        <f>IF(LEN(_xlfn.IFNA(IF(IFERROR(IF(FIND("_",$B246)&gt;0,MID($B246,FIND("_",$B246)+1,LEN($B246)),IF(FIND("-",$B246)&gt;0,MID($B246,FIND("-",$B246)+1,LEN($B246)))),"")="",IFERROR(VLOOKUP($F246,WP!$B$2:$C$23,2,0),VLOOKUP($C246,Series!$A$3:$F$11,6,0)),IFERROR(VLOOKUP($F246,WP!$B$2:$C$23,2,0),VLOOKUP($C246,Series!$A$3:$F$11,6,0))&amp;" - "&amp;(IFERROR(IF(FIND("_",$B246)&gt;0,MID($B246,FIND("_",$B246)+1,LEN($B246)),IF(FIND("-",$B246)&gt;0,MID($B246,FIND("-",$B246)+1,LEN($B246)))),""))),""))&lt;64,_xlfn.IFNA(IF(IFERROR(IF(FIND("_",$B246)&gt;0,MID($B246,FIND("_",$B246)+1,LEN($B246)),IF(FIND("-",$B246)&gt;0,MID($B246,FIND("-",$B246)+1,LEN($B246)))),"")="",IFERROR(VLOOKUP($F246,WP!$B$2:$C$23,2,0),VLOOKUP($C246,Series!$A$3:$F$11,6,0)),IFERROR(VLOOKUP($F246,WP!$B$2:$C$23,2,0),VLOOKUP($C246,Series!$A$3:$F$11,6,0))&amp;" - "&amp;(IFERROR(IF(FIND("_",$B246)&gt;0,MID($B246,FIND("_",$B246)+1,LEN($B246)),IF(FIND("-",$B246)&gt;0,MID($B246,FIND("-",$B246)+1,LEN($B246)))),""))),""),LEFT((_xlfn.IFNA(IF(IFERROR(IF(FIND("_",$B246)&gt;0,MID($B246,FIND("_",$B246)+1,LEN($B246)),IF(FIND("-",$B246)&gt;0,MID($B246,FIND("-",$B246)+1,LEN($B246)))),"")="",IFERROR(VLOOKUP($F246,WP!$B$2:$C$23,2,0),VLOOKUP($C246,Series!$A$3:$F$11,6,0)),IFERROR(VLOOKUP($F246,WP!$B$2:$C$23,2,0),VLOOKUP($C246,Series!$A$3:$F$11,6,0))&amp;" - "&amp;(IFERROR(IF(FIND("_",$B246)&gt;0,MID($B246,FIND("_",$B246)+1,LEN($B246)),IF(FIND("-",$B246)&gt;0,MID($B246,FIND("-",$B246)+1,LEN($B246)))),""))),"")),64))</f>
        <v/>
      </c>
      <c r="H246" s="12"/>
      <c r="I246" s="12" t="str">
        <f>IF($D246&lt;&gt;"",COUNTIF($D$7:$D246,"="&amp;$D246),"")</f>
        <v/>
      </c>
      <c r="J246"/>
      <c r="K246" s="8"/>
      <c r="L246"/>
    </row>
    <row r="247" spans="1:12" x14ac:dyDescent="0.3">
      <c r="A247" s="1"/>
      <c r="B247" s="26"/>
      <c r="C247" s="12" t="str">
        <f>_xlfn.IFNA(IFERROR(IF(FIND("_",$B247)&gt;0,INDEX(WP!$A$2:$F$23,MATCH(LEFT($B247,FIND("_",$B247)-1),WP!$E$2:$E$23,0),1),IF(FIND("-",$B247)&gt;0,INDEX(WP!$A$2:$F$23,MATCH(LEFT($B247,FIND("_",$B247)-1),WP!$E$2:$E$23,0),1))),INDEX(WP!$A$2:$F$23,MATCH(Results!$B247,WP!$E$2:$E$23,0),1)),"")</f>
        <v/>
      </c>
      <c r="D247" s="12" t="str">
        <f>IFERROR(IFERROR(IF(RIGHT(INDEX(WP!$A$2:$F$23,MATCH(IF(FIND("_",$B247)&gt;0,LEFT($B247,FIND("_",$B247)-1)),WP!$E$2:$E$23,0),2),6)="Series",LEFT(INDEX(WP!$A$2:$F$23,MATCH(IF(FIND("_",$B247)&gt;0,LEFT($B247,FIND("_",$B247)-1)),WP!$E$2:$E$23,0),2),5),""),IF(RIGHT(INDEX(WP!$A$2:$F$23,MATCH($B247,WP!$E$2:$E$23,0),2),6)="Series",LEFT(INDEX(WP!$A$2:$F$23,MATCH($B247,WP!$E$2:$E$23,0),2),5),"")),"")</f>
        <v/>
      </c>
      <c r="E247" s="17" t="str">
        <f>IFERROR(VLOOKUP(VALUE($D247),Series!$B$3:$F$11,2,0),"")</f>
        <v/>
      </c>
      <c r="F247" s="12" t="str">
        <f>_xlfn.IFNA(IF(IF($D247&lt;&gt;"",COUNTIF($E:$E,"="&amp;$D247),"")="",IF(RIGHT(IFERROR(IF(FIND("_",$B247)&gt;0,INDEX(WP!$A$2:$F$23,MATCH(LEFT($B247,FIND("_",$B247)-1),WP!$E$2:$E$23,0),2),IF(FIND("-",$B247)&gt;0,INDEX(WP!$A$2:$F$23,MATCH(LEFT($B247,FIND("_",$B247)-1),WP!$E$2:$E$23,0),2))),INDEX(WP!$A$2:$F$23,MATCH(Results!$B247,WP!$E$2:$E$23,0),2)),6)="Series",LEFT(IFERROR(IF(FIND("_",$B247)&gt;0,INDEX(WP!$A$2:$F$23,MATCH(LEFT($B247,FIND("_",$B247)-1),WP!$E$2:$E$23,0),2),IF(FIND("-",$B247)&gt;0,INDEX(WP!$A$2:$F$23,MATCH(LEFT($B247,FIND("_",$B247)-1),WP!$E$2:$E$23,0),2))),INDEX(WP!$A$2:$F$23,MATCH(Results!$B247,WP!$E$2:$E$23,0),2)),5),(IFERROR(IF(FIND("_",$B247)&gt;0,INDEX(WP!$A$2:$F$23,MATCH(LEFT($B247,FIND("_",$B247)-1),WP!$E$2:$E$23,0),2),IF(FIND("-",$B247)&gt;0,INDEX(WP!$A$2:$F$23,MATCH(LEFT($B247,FIND("_",$B247)-1),WP!$E$2:$E$23,0),2))),INDEX(WP!$A$2:$F$23,MATCH(Results!$B247,WP!$E$2:$E$23,0),2)))),IF(RIGHT(IFERROR(IF(FIND("_",$B247)&gt;0,INDEX(WP!$A$2:$F$23,MATCH(LEFT($B247,FIND("_",$B247)-1),WP!$E$2:$E$23,0),2),IF(FIND("-",$B247)&gt;0,INDEX(WP!$A$2:$F$23,MATCH(LEFT($B247,FIND("_",$B247)-1),WP!$E$2:$E$23,0),2))),INDEX(WP!$A$2:$F$23,MATCH(Results!$B247,WP!$E$2:$E$23,0),2)),6)="Series",LEFT(IFERROR(IF(FIND("_",$B247)&gt;0,INDEX(WP!$A$2:$F$23,MATCH(LEFT($B247,FIND("_",$B247)-1),WP!$E$2:$E$23,0),2),IF(FIND("-",$B247)&gt;0,INDEX(WP!$A$2:$F$23,MATCH(LEFT($B247,FIND("_",$B247)-1),WP!$E$2:$E$23,0),2))),INDEX(WP!$A$2:$F$23,MATCH(Results!$B247,WP!$E$2:$E$23,0),2)),5),(IFERROR(IF(FIND("_",$B247)&gt;0,INDEX(WP!$A$2:$F$23,MATCH(LEFT($B247,FIND("_",$B247)-1),WP!$E$2:$E$23,0),2),IF(FIND("-",$B247)&gt;0,INDEX(WP!$A$2:$F$23,MATCH(LEFT($B247,FIND("_",$B247)-1),WP!$E$2:$E$23,0),2))),INDEX(WP!$A$2:$F$23,MATCH(Results!$B247,WP!$E$2:$E$23,0),2))))&amp;"-"&amp;$I247),"")</f>
        <v/>
      </c>
      <c r="G247" s="17" t="str">
        <f>IF(LEN(_xlfn.IFNA(IF(IFERROR(IF(FIND("_",$B247)&gt;0,MID($B247,FIND("_",$B247)+1,LEN($B247)),IF(FIND("-",$B247)&gt;0,MID($B247,FIND("-",$B247)+1,LEN($B247)))),"")="",IFERROR(VLOOKUP($F247,WP!$B$2:$C$23,2,0),VLOOKUP($C247,Series!$A$3:$F$11,6,0)),IFERROR(VLOOKUP($F247,WP!$B$2:$C$23,2,0),VLOOKUP($C247,Series!$A$3:$F$11,6,0))&amp;" - "&amp;(IFERROR(IF(FIND("_",$B247)&gt;0,MID($B247,FIND("_",$B247)+1,LEN($B247)),IF(FIND("-",$B247)&gt;0,MID($B247,FIND("-",$B247)+1,LEN($B247)))),""))),""))&lt;64,_xlfn.IFNA(IF(IFERROR(IF(FIND("_",$B247)&gt;0,MID($B247,FIND("_",$B247)+1,LEN($B247)),IF(FIND("-",$B247)&gt;0,MID($B247,FIND("-",$B247)+1,LEN($B247)))),"")="",IFERROR(VLOOKUP($F247,WP!$B$2:$C$23,2,0),VLOOKUP($C247,Series!$A$3:$F$11,6,0)),IFERROR(VLOOKUP($F247,WP!$B$2:$C$23,2,0),VLOOKUP($C247,Series!$A$3:$F$11,6,0))&amp;" - "&amp;(IFERROR(IF(FIND("_",$B247)&gt;0,MID($B247,FIND("_",$B247)+1,LEN($B247)),IF(FIND("-",$B247)&gt;0,MID($B247,FIND("-",$B247)+1,LEN($B247)))),""))),""),LEFT((_xlfn.IFNA(IF(IFERROR(IF(FIND("_",$B247)&gt;0,MID($B247,FIND("_",$B247)+1,LEN($B247)),IF(FIND("-",$B247)&gt;0,MID($B247,FIND("-",$B247)+1,LEN($B247)))),"")="",IFERROR(VLOOKUP($F247,WP!$B$2:$C$23,2,0),VLOOKUP($C247,Series!$A$3:$F$11,6,0)),IFERROR(VLOOKUP($F247,WP!$B$2:$C$23,2,0),VLOOKUP($C247,Series!$A$3:$F$11,6,0))&amp;" - "&amp;(IFERROR(IF(FIND("_",$B247)&gt;0,MID($B247,FIND("_",$B247)+1,LEN($B247)),IF(FIND("-",$B247)&gt;0,MID($B247,FIND("-",$B247)+1,LEN($B247)))),""))),"")),64))</f>
        <v/>
      </c>
      <c r="H247" s="12"/>
      <c r="I247" s="12" t="str">
        <f>IF($D247&lt;&gt;"",COUNTIF($D$7:$D247,"="&amp;$D247),"")</f>
        <v/>
      </c>
      <c r="J247"/>
      <c r="K247" s="8"/>
      <c r="L247"/>
    </row>
    <row r="248" spans="1:12" x14ac:dyDescent="0.3">
      <c r="A248" s="1"/>
      <c r="B248" s="26"/>
      <c r="C248" s="12" t="str">
        <f>_xlfn.IFNA(IFERROR(IF(FIND("_",$B248)&gt;0,INDEX(WP!$A$2:$F$23,MATCH(LEFT($B248,FIND("_",$B248)-1),WP!$E$2:$E$23,0),1),IF(FIND("-",$B248)&gt;0,INDEX(WP!$A$2:$F$23,MATCH(LEFT($B248,FIND("_",$B248)-1),WP!$E$2:$E$23,0),1))),INDEX(WP!$A$2:$F$23,MATCH(Results!$B248,WP!$E$2:$E$23,0),1)),"")</f>
        <v/>
      </c>
      <c r="D248" s="12" t="str">
        <f>IFERROR(IFERROR(IF(RIGHT(INDEX(WP!$A$2:$F$23,MATCH(IF(FIND("_",$B248)&gt;0,LEFT($B248,FIND("_",$B248)-1)),WP!$E$2:$E$23,0),2),6)="Series",LEFT(INDEX(WP!$A$2:$F$23,MATCH(IF(FIND("_",$B248)&gt;0,LEFT($B248,FIND("_",$B248)-1)),WP!$E$2:$E$23,0),2),5),""),IF(RIGHT(INDEX(WP!$A$2:$F$23,MATCH($B248,WP!$E$2:$E$23,0),2),6)="Series",LEFT(INDEX(WP!$A$2:$F$23,MATCH($B248,WP!$E$2:$E$23,0),2),5),"")),"")</f>
        <v/>
      </c>
      <c r="E248" s="17" t="str">
        <f>IFERROR(VLOOKUP(VALUE($D248),Series!$B$3:$F$11,2,0),"")</f>
        <v/>
      </c>
      <c r="F248" s="12" t="str">
        <f>_xlfn.IFNA(IF(IF($D248&lt;&gt;"",COUNTIF($E:$E,"="&amp;$D248),"")="",IF(RIGHT(IFERROR(IF(FIND("_",$B248)&gt;0,INDEX(WP!$A$2:$F$23,MATCH(LEFT($B248,FIND("_",$B248)-1),WP!$E$2:$E$23,0),2),IF(FIND("-",$B248)&gt;0,INDEX(WP!$A$2:$F$23,MATCH(LEFT($B248,FIND("_",$B248)-1),WP!$E$2:$E$23,0),2))),INDEX(WP!$A$2:$F$23,MATCH(Results!$B248,WP!$E$2:$E$23,0),2)),6)="Series",LEFT(IFERROR(IF(FIND("_",$B248)&gt;0,INDEX(WP!$A$2:$F$23,MATCH(LEFT($B248,FIND("_",$B248)-1),WP!$E$2:$E$23,0),2),IF(FIND("-",$B248)&gt;0,INDEX(WP!$A$2:$F$23,MATCH(LEFT($B248,FIND("_",$B248)-1),WP!$E$2:$E$23,0),2))),INDEX(WP!$A$2:$F$23,MATCH(Results!$B248,WP!$E$2:$E$23,0),2)),5),(IFERROR(IF(FIND("_",$B248)&gt;0,INDEX(WP!$A$2:$F$23,MATCH(LEFT($B248,FIND("_",$B248)-1),WP!$E$2:$E$23,0),2),IF(FIND("-",$B248)&gt;0,INDEX(WP!$A$2:$F$23,MATCH(LEFT($B248,FIND("_",$B248)-1),WP!$E$2:$E$23,0),2))),INDEX(WP!$A$2:$F$23,MATCH(Results!$B248,WP!$E$2:$E$23,0),2)))),IF(RIGHT(IFERROR(IF(FIND("_",$B248)&gt;0,INDEX(WP!$A$2:$F$23,MATCH(LEFT($B248,FIND("_",$B248)-1),WP!$E$2:$E$23,0),2),IF(FIND("-",$B248)&gt;0,INDEX(WP!$A$2:$F$23,MATCH(LEFT($B248,FIND("_",$B248)-1),WP!$E$2:$E$23,0),2))),INDEX(WP!$A$2:$F$23,MATCH(Results!$B248,WP!$E$2:$E$23,0),2)),6)="Series",LEFT(IFERROR(IF(FIND("_",$B248)&gt;0,INDEX(WP!$A$2:$F$23,MATCH(LEFT($B248,FIND("_",$B248)-1),WP!$E$2:$E$23,0),2),IF(FIND("-",$B248)&gt;0,INDEX(WP!$A$2:$F$23,MATCH(LEFT($B248,FIND("_",$B248)-1),WP!$E$2:$E$23,0),2))),INDEX(WP!$A$2:$F$23,MATCH(Results!$B248,WP!$E$2:$E$23,0),2)),5),(IFERROR(IF(FIND("_",$B248)&gt;0,INDEX(WP!$A$2:$F$23,MATCH(LEFT($B248,FIND("_",$B248)-1),WP!$E$2:$E$23,0),2),IF(FIND("-",$B248)&gt;0,INDEX(WP!$A$2:$F$23,MATCH(LEFT($B248,FIND("_",$B248)-1),WP!$E$2:$E$23,0),2))),INDEX(WP!$A$2:$F$23,MATCH(Results!$B248,WP!$E$2:$E$23,0),2))))&amp;"-"&amp;$I248),"")</f>
        <v/>
      </c>
      <c r="G248" s="17" t="str">
        <f>IF(LEN(_xlfn.IFNA(IF(IFERROR(IF(FIND("_",$B248)&gt;0,MID($B248,FIND("_",$B248)+1,LEN($B248)),IF(FIND("-",$B248)&gt;0,MID($B248,FIND("-",$B248)+1,LEN($B248)))),"")="",IFERROR(VLOOKUP($F248,WP!$B$2:$C$23,2,0),VLOOKUP($C248,Series!$A$3:$F$11,6,0)),IFERROR(VLOOKUP($F248,WP!$B$2:$C$23,2,0),VLOOKUP($C248,Series!$A$3:$F$11,6,0))&amp;" - "&amp;(IFERROR(IF(FIND("_",$B248)&gt;0,MID($B248,FIND("_",$B248)+1,LEN($B248)),IF(FIND("-",$B248)&gt;0,MID($B248,FIND("-",$B248)+1,LEN($B248)))),""))),""))&lt;64,_xlfn.IFNA(IF(IFERROR(IF(FIND("_",$B248)&gt;0,MID($B248,FIND("_",$B248)+1,LEN($B248)),IF(FIND("-",$B248)&gt;0,MID($B248,FIND("-",$B248)+1,LEN($B248)))),"")="",IFERROR(VLOOKUP($F248,WP!$B$2:$C$23,2,0),VLOOKUP($C248,Series!$A$3:$F$11,6,0)),IFERROR(VLOOKUP($F248,WP!$B$2:$C$23,2,0),VLOOKUP($C248,Series!$A$3:$F$11,6,0))&amp;" - "&amp;(IFERROR(IF(FIND("_",$B248)&gt;0,MID($B248,FIND("_",$B248)+1,LEN($B248)),IF(FIND("-",$B248)&gt;0,MID($B248,FIND("-",$B248)+1,LEN($B248)))),""))),""),LEFT((_xlfn.IFNA(IF(IFERROR(IF(FIND("_",$B248)&gt;0,MID($B248,FIND("_",$B248)+1,LEN($B248)),IF(FIND("-",$B248)&gt;0,MID($B248,FIND("-",$B248)+1,LEN($B248)))),"")="",IFERROR(VLOOKUP($F248,WP!$B$2:$C$23,2,0),VLOOKUP($C248,Series!$A$3:$F$11,6,0)),IFERROR(VLOOKUP($F248,WP!$B$2:$C$23,2,0),VLOOKUP($C248,Series!$A$3:$F$11,6,0))&amp;" - "&amp;(IFERROR(IF(FIND("_",$B248)&gt;0,MID($B248,FIND("_",$B248)+1,LEN($B248)),IF(FIND("-",$B248)&gt;0,MID($B248,FIND("-",$B248)+1,LEN($B248)))),""))),"")),64))</f>
        <v/>
      </c>
      <c r="H248" s="12"/>
      <c r="I248" s="12" t="str">
        <f>IF($D248&lt;&gt;"",COUNTIF($D$7:$D248,"="&amp;$D248),"")</f>
        <v/>
      </c>
      <c r="J248"/>
      <c r="K248" s="8"/>
      <c r="L248"/>
    </row>
    <row r="249" spans="1:12" x14ac:dyDescent="0.3">
      <c r="A249" s="1"/>
      <c r="B249" s="26"/>
      <c r="C249" s="12" t="str">
        <f>_xlfn.IFNA(IFERROR(IF(FIND("_",$B249)&gt;0,INDEX(WP!$A$2:$F$23,MATCH(LEFT($B249,FIND("_",$B249)-1),WP!$E$2:$E$23,0),1),IF(FIND("-",$B249)&gt;0,INDEX(WP!$A$2:$F$23,MATCH(LEFT($B249,FIND("_",$B249)-1),WP!$E$2:$E$23,0),1))),INDEX(WP!$A$2:$F$23,MATCH(Results!$B249,WP!$E$2:$E$23,0),1)),"")</f>
        <v/>
      </c>
      <c r="D249" s="12" t="str">
        <f>IFERROR(IFERROR(IF(RIGHT(INDEX(WP!$A$2:$F$23,MATCH(IF(FIND("_",$B249)&gt;0,LEFT($B249,FIND("_",$B249)-1)),WP!$E$2:$E$23,0),2),6)="Series",LEFT(INDEX(WP!$A$2:$F$23,MATCH(IF(FIND("_",$B249)&gt;0,LEFT($B249,FIND("_",$B249)-1)),WP!$E$2:$E$23,0),2),5),""),IF(RIGHT(INDEX(WP!$A$2:$F$23,MATCH($B249,WP!$E$2:$E$23,0),2),6)="Series",LEFT(INDEX(WP!$A$2:$F$23,MATCH($B249,WP!$E$2:$E$23,0),2),5),"")),"")</f>
        <v/>
      </c>
      <c r="E249" s="17" t="str">
        <f>IFERROR(VLOOKUP(VALUE($D249),Series!$B$3:$F$11,2,0),"")</f>
        <v/>
      </c>
      <c r="F249" s="12" t="str">
        <f>_xlfn.IFNA(IF(IF($D249&lt;&gt;"",COUNTIF($E:$E,"="&amp;$D249),"")="",IF(RIGHT(IFERROR(IF(FIND("_",$B249)&gt;0,INDEX(WP!$A$2:$F$23,MATCH(LEFT($B249,FIND("_",$B249)-1),WP!$E$2:$E$23,0),2),IF(FIND("-",$B249)&gt;0,INDEX(WP!$A$2:$F$23,MATCH(LEFT($B249,FIND("_",$B249)-1),WP!$E$2:$E$23,0),2))),INDEX(WP!$A$2:$F$23,MATCH(Results!$B249,WP!$E$2:$E$23,0),2)),6)="Series",LEFT(IFERROR(IF(FIND("_",$B249)&gt;0,INDEX(WP!$A$2:$F$23,MATCH(LEFT($B249,FIND("_",$B249)-1),WP!$E$2:$E$23,0),2),IF(FIND("-",$B249)&gt;0,INDEX(WP!$A$2:$F$23,MATCH(LEFT($B249,FIND("_",$B249)-1),WP!$E$2:$E$23,0),2))),INDEX(WP!$A$2:$F$23,MATCH(Results!$B249,WP!$E$2:$E$23,0),2)),5),(IFERROR(IF(FIND("_",$B249)&gt;0,INDEX(WP!$A$2:$F$23,MATCH(LEFT($B249,FIND("_",$B249)-1),WP!$E$2:$E$23,0),2),IF(FIND("-",$B249)&gt;0,INDEX(WP!$A$2:$F$23,MATCH(LEFT($B249,FIND("_",$B249)-1),WP!$E$2:$E$23,0),2))),INDEX(WP!$A$2:$F$23,MATCH(Results!$B249,WP!$E$2:$E$23,0),2)))),IF(RIGHT(IFERROR(IF(FIND("_",$B249)&gt;0,INDEX(WP!$A$2:$F$23,MATCH(LEFT($B249,FIND("_",$B249)-1),WP!$E$2:$E$23,0),2),IF(FIND("-",$B249)&gt;0,INDEX(WP!$A$2:$F$23,MATCH(LEFT($B249,FIND("_",$B249)-1),WP!$E$2:$E$23,0),2))),INDEX(WP!$A$2:$F$23,MATCH(Results!$B249,WP!$E$2:$E$23,0),2)),6)="Series",LEFT(IFERROR(IF(FIND("_",$B249)&gt;0,INDEX(WP!$A$2:$F$23,MATCH(LEFT($B249,FIND("_",$B249)-1),WP!$E$2:$E$23,0),2),IF(FIND("-",$B249)&gt;0,INDEX(WP!$A$2:$F$23,MATCH(LEFT($B249,FIND("_",$B249)-1),WP!$E$2:$E$23,0),2))),INDEX(WP!$A$2:$F$23,MATCH(Results!$B249,WP!$E$2:$E$23,0),2)),5),(IFERROR(IF(FIND("_",$B249)&gt;0,INDEX(WP!$A$2:$F$23,MATCH(LEFT($B249,FIND("_",$B249)-1),WP!$E$2:$E$23,0),2),IF(FIND("-",$B249)&gt;0,INDEX(WP!$A$2:$F$23,MATCH(LEFT($B249,FIND("_",$B249)-1),WP!$E$2:$E$23,0),2))),INDEX(WP!$A$2:$F$23,MATCH(Results!$B249,WP!$E$2:$E$23,0),2))))&amp;"-"&amp;$I249),"")</f>
        <v/>
      </c>
      <c r="G249" s="17" t="str">
        <f>IF(LEN(_xlfn.IFNA(IF(IFERROR(IF(FIND("_",$B249)&gt;0,MID($B249,FIND("_",$B249)+1,LEN($B249)),IF(FIND("-",$B249)&gt;0,MID($B249,FIND("-",$B249)+1,LEN($B249)))),"")="",IFERROR(VLOOKUP($F249,WP!$B$2:$C$23,2,0),VLOOKUP($C249,Series!$A$3:$F$11,6,0)),IFERROR(VLOOKUP($F249,WP!$B$2:$C$23,2,0),VLOOKUP($C249,Series!$A$3:$F$11,6,0))&amp;" - "&amp;(IFERROR(IF(FIND("_",$B249)&gt;0,MID($B249,FIND("_",$B249)+1,LEN($B249)),IF(FIND("-",$B249)&gt;0,MID($B249,FIND("-",$B249)+1,LEN($B249)))),""))),""))&lt;64,_xlfn.IFNA(IF(IFERROR(IF(FIND("_",$B249)&gt;0,MID($B249,FIND("_",$B249)+1,LEN($B249)),IF(FIND("-",$B249)&gt;0,MID($B249,FIND("-",$B249)+1,LEN($B249)))),"")="",IFERROR(VLOOKUP($F249,WP!$B$2:$C$23,2,0),VLOOKUP($C249,Series!$A$3:$F$11,6,0)),IFERROR(VLOOKUP($F249,WP!$B$2:$C$23,2,0),VLOOKUP($C249,Series!$A$3:$F$11,6,0))&amp;" - "&amp;(IFERROR(IF(FIND("_",$B249)&gt;0,MID($B249,FIND("_",$B249)+1,LEN($B249)),IF(FIND("-",$B249)&gt;0,MID($B249,FIND("-",$B249)+1,LEN($B249)))),""))),""),LEFT((_xlfn.IFNA(IF(IFERROR(IF(FIND("_",$B249)&gt;0,MID($B249,FIND("_",$B249)+1,LEN($B249)),IF(FIND("-",$B249)&gt;0,MID($B249,FIND("-",$B249)+1,LEN($B249)))),"")="",IFERROR(VLOOKUP($F249,WP!$B$2:$C$23,2,0),VLOOKUP($C249,Series!$A$3:$F$11,6,0)),IFERROR(VLOOKUP($F249,WP!$B$2:$C$23,2,0),VLOOKUP($C249,Series!$A$3:$F$11,6,0))&amp;" - "&amp;(IFERROR(IF(FIND("_",$B249)&gt;0,MID($B249,FIND("_",$B249)+1,LEN($B249)),IF(FIND("-",$B249)&gt;0,MID($B249,FIND("-",$B249)+1,LEN($B249)))),""))),"")),64))</f>
        <v/>
      </c>
      <c r="H249" s="12"/>
      <c r="I249" s="12" t="str">
        <f>IF($D249&lt;&gt;"",COUNTIF($D$7:$D249,"="&amp;$D249),"")</f>
        <v/>
      </c>
      <c r="J249"/>
      <c r="K249" s="8"/>
      <c r="L249"/>
    </row>
    <row r="250" spans="1:12" x14ac:dyDescent="0.3">
      <c r="A250" s="1"/>
      <c r="B250" s="26"/>
      <c r="C250" s="12" t="str">
        <f>_xlfn.IFNA(IFERROR(IF(FIND("_",$B250)&gt;0,INDEX(WP!$A$2:$F$23,MATCH(LEFT($B250,FIND("_",$B250)-1),WP!$E$2:$E$23,0),1),IF(FIND("-",$B250)&gt;0,INDEX(WP!$A$2:$F$23,MATCH(LEFT($B250,FIND("_",$B250)-1),WP!$E$2:$E$23,0),1))),INDEX(WP!$A$2:$F$23,MATCH(Results!$B250,WP!$E$2:$E$23,0),1)),"")</f>
        <v/>
      </c>
      <c r="D250" s="12" t="str">
        <f>IFERROR(IFERROR(IF(RIGHT(INDEX(WP!$A$2:$F$23,MATCH(IF(FIND("_",$B250)&gt;0,LEFT($B250,FIND("_",$B250)-1)),WP!$E$2:$E$23,0),2),6)="Series",LEFT(INDEX(WP!$A$2:$F$23,MATCH(IF(FIND("_",$B250)&gt;0,LEFT($B250,FIND("_",$B250)-1)),WP!$E$2:$E$23,0),2),5),""),IF(RIGHT(INDEX(WP!$A$2:$F$23,MATCH($B250,WP!$E$2:$E$23,0),2),6)="Series",LEFT(INDEX(WP!$A$2:$F$23,MATCH($B250,WP!$E$2:$E$23,0),2),5),"")),"")</f>
        <v/>
      </c>
      <c r="E250" s="17" t="str">
        <f>IFERROR(VLOOKUP(VALUE($D250),Series!$B$3:$F$11,2,0),"")</f>
        <v/>
      </c>
      <c r="F250" s="12" t="str">
        <f>_xlfn.IFNA(IF(IF($D250&lt;&gt;"",COUNTIF($E:$E,"="&amp;$D250),"")="",IF(RIGHT(IFERROR(IF(FIND("_",$B250)&gt;0,INDEX(WP!$A$2:$F$23,MATCH(LEFT($B250,FIND("_",$B250)-1),WP!$E$2:$E$23,0),2),IF(FIND("-",$B250)&gt;0,INDEX(WP!$A$2:$F$23,MATCH(LEFT($B250,FIND("_",$B250)-1),WP!$E$2:$E$23,0),2))),INDEX(WP!$A$2:$F$23,MATCH(Results!$B250,WP!$E$2:$E$23,0),2)),6)="Series",LEFT(IFERROR(IF(FIND("_",$B250)&gt;0,INDEX(WP!$A$2:$F$23,MATCH(LEFT($B250,FIND("_",$B250)-1),WP!$E$2:$E$23,0),2),IF(FIND("-",$B250)&gt;0,INDEX(WP!$A$2:$F$23,MATCH(LEFT($B250,FIND("_",$B250)-1),WP!$E$2:$E$23,0),2))),INDEX(WP!$A$2:$F$23,MATCH(Results!$B250,WP!$E$2:$E$23,0),2)),5),(IFERROR(IF(FIND("_",$B250)&gt;0,INDEX(WP!$A$2:$F$23,MATCH(LEFT($B250,FIND("_",$B250)-1),WP!$E$2:$E$23,0),2),IF(FIND("-",$B250)&gt;0,INDEX(WP!$A$2:$F$23,MATCH(LEFT($B250,FIND("_",$B250)-1),WP!$E$2:$E$23,0),2))),INDEX(WP!$A$2:$F$23,MATCH(Results!$B250,WP!$E$2:$E$23,0),2)))),IF(RIGHT(IFERROR(IF(FIND("_",$B250)&gt;0,INDEX(WP!$A$2:$F$23,MATCH(LEFT($B250,FIND("_",$B250)-1),WP!$E$2:$E$23,0),2),IF(FIND("-",$B250)&gt;0,INDEX(WP!$A$2:$F$23,MATCH(LEFT($B250,FIND("_",$B250)-1),WP!$E$2:$E$23,0),2))),INDEX(WP!$A$2:$F$23,MATCH(Results!$B250,WP!$E$2:$E$23,0),2)),6)="Series",LEFT(IFERROR(IF(FIND("_",$B250)&gt;0,INDEX(WP!$A$2:$F$23,MATCH(LEFT($B250,FIND("_",$B250)-1),WP!$E$2:$E$23,0),2),IF(FIND("-",$B250)&gt;0,INDEX(WP!$A$2:$F$23,MATCH(LEFT($B250,FIND("_",$B250)-1),WP!$E$2:$E$23,0),2))),INDEX(WP!$A$2:$F$23,MATCH(Results!$B250,WP!$E$2:$E$23,0),2)),5),(IFERROR(IF(FIND("_",$B250)&gt;0,INDEX(WP!$A$2:$F$23,MATCH(LEFT($B250,FIND("_",$B250)-1),WP!$E$2:$E$23,0),2),IF(FIND("-",$B250)&gt;0,INDEX(WP!$A$2:$F$23,MATCH(LEFT($B250,FIND("_",$B250)-1),WP!$E$2:$E$23,0),2))),INDEX(WP!$A$2:$F$23,MATCH(Results!$B250,WP!$E$2:$E$23,0),2))))&amp;"-"&amp;$I250),"")</f>
        <v/>
      </c>
      <c r="G250" s="17" t="str">
        <f>IF(LEN(_xlfn.IFNA(IF(IFERROR(IF(FIND("_",$B250)&gt;0,MID($B250,FIND("_",$B250)+1,LEN($B250)),IF(FIND("-",$B250)&gt;0,MID($B250,FIND("-",$B250)+1,LEN($B250)))),"")="",IFERROR(VLOOKUP($F250,WP!$B$2:$C$23,2,0),VLOOKUP($C250,Series!$A$3:$F$11,6,0)),IFERROR(VLOOKUP($F250,WP!$B$2:$C$23,2,0),VLOOKUP($C250,Series!$A$3:$F$11,6,0))&amp;" - "&amp;(IFERROR(IF(FIND("_",$B250)&gt;0,MID($B250,FIND("_",$B250)+1,LEN($B250)),IF(FIND("-",$B250)&gt;0,MID($B250,FIND("-",$B250)+1,LEN($B250)))),""))),""))&lt;64,_xlfn.IFNA(IF(IFERROR(IF(FIND("_",$B250)&gt;0,MID($B250,FIND("_",$B250)+1,LEN($B250)),IF(FIND("-",$B250)&gt;0,MID($B250,FIND("-",$B250)+1,LEN($B250)))),"")="",IFERROR(VLOOKUP($F250,WP!$B$2:$C$23,2,0),VLOOKUP($C250,Series!$A$3:$F$11,6,0)),IFERROR(VLOOKUP($F250,WP!$B$2:$C$23,2,0),VLOOKUP($C250,Series!$A$3:$F$11,6,0))&amp;" - "&amp;(IFERROR(IF(FIND("_",$B250)&gt;0,MID($B250,FIND("_",$B250)+1,LEN($B250)),IF(FIND("-",$B250)&gt;0,MID($B250,FIND("-",$B250)+1,LEN($B250)))),""))),""),LEFT((_xlfn.IFNA(IF(IFERROR(IF(FIND("_",$B250)&gt;0,MID($B250,FIND("_",$B250)+1,LEN($B250)),IF(FIND("-",$B250)&gt;0,MID($B250,FIND("-",$B250)+1,LEN($B250)))),"")="",IFERROR(VLOOKUP($F250,WP!$B$2:$C$23,2,0),VLOOKUP($C250,Series!$A$3:$F$11,6,0)),IFERROR(VLOOKUP($F250,WP!$B$2:$C$23,2,0),VLOOKUP($C250,Series!$A$3:$F$11,6,0))&amp;" - "&amp;(IFERROR(IF(FIND("_",$B250)&gt;0,MID($B250,FIND("_",$B250)+1,LEN($B250)),IF(FIND("-",$B250)&gt;0,MID($B250,FIND("-",$B250)+1,LEN($B250)))),""))),"")),64))</f>
        <v/>
      </c>
      <c r="H250" s="12"/>
      <c r="I250" s="12" t="str">
        <f>IF($D250&lt;&gt;"",COUNTIF($D$7:$D250,"="&amp;$D250),"")</f>
        <v/>
      </c>
      <c r="J250"/>
      <c r="K250" s="8"/>
      <c r="L250"/>
    </row>
    <row r="251" spans="1:12" x14ac:dyDescent="0.3">
      <c r="A251" s="1"/>
      <c r="B251" s="26"/>
      <c r="C251" s="12" t="str">
        <f>_xlfn.IFNA(IFERROR(IF(FIND("_",$B251)&gt;0,INDEX(WP!$A$2:$F$23,MATCH(LEFT($B251,FIND("_",$B251)-1),WP!$E$2:$E$23,0),1),IF(FIND("-",$B251)&gt;0,INDEX(WP!$A$2:$F$23,MATCH(LEFT($B251,FIND("_",$B251)-1),WP!$E$2:$E$23,0),1))),INDEX(WP!$A$2:$F$23,MATCH(Results!$B251,WP!$E$2:$E$23,0),1)),"")</f>
        <v/>
      </c>
      <c r="D251" s="12" t="str">
        <f>IFERROR(IFERROR(IF(RIGHT(INDEX(WP!$A$2:$F$23,MATCH(IF(FIND("_",$B251)&gt;0,LEFT($B251,FIND("_",$B251)-1)),WP!$E$2:$E$23,0),2),6)="Series",LEFT(INDEX(WP!$A$2:$F$23,MATCH(IF(FIND("_",$B251)&gt;0,LEFT($B251,FIND("_",$B251)-1)),WP!$E$2:$E$23,0),2),5),""),IF(RIGHT(INDEX(WP!$A$2:$F$23,MATCH($B251,WP!$E$2:$E$23,0),2),6)="Series",LEFT(INDEX(WP!$A$2:$F$23,MATCH($B251,WP!$E$2:$E$23,0),2),5),"")),"")</f>
        <v/>
      </c>
      <c r="E251" s="17" t="str">
        <f>IFERROR(VLOOKUP(VALUE($D251),Series!$B$3:$F$11,2,0),"")</f>
        <v/>
      </c>
      <c r="F251" s="12" t="str">
        <f>_xlfn.IFNA(IF(IF($D251&lt;&gt;"",COUNTIF($E:$E,"="&amp;$D251),"")="",IF(RIGHT(IFERROR(IF(FIND("_",$B251)&gt;0,INDEX(WP!$A$2:$F$23,MATCH(LEFT($B251,FIND("_",$B251)-1),WP!$E$2:$E$23,0),2),IF(FIND("-",$B251)&gt;0,INDEX(WP!$A$2:$F$23,MATCH(LEFT($B251,FIND("_",$B251)-1),WP!$E$2:$E$23,0),2))),INDEX(WP!$A$2:$F$23,MATCH(Results!$B251,WP!$E$2:$E$23,0),2)),6)="Series",LEFT(IFERROR(IF(FIND("_",$B251)&gt;0,INDEX(WP!$A$2:$F$23,MATCH(LEFT($B251,FIND("_",$B251)-1),WP!$E$2:$E$23,0),2),IF(FIND("-",$B251)&gt;0,INDEX(WP!$A$2:$F$23,MATCH(LEFT($B251,FIND("_",$B251)-1),WP!$E$2:$E$23,0),2))),INDEX(WP!$A$2:$F$23,MATCH(Results!$B251,WP!$E$2:$E$23,0),2)),5),(IFERROR(IF(FIND("_",$B251)&gt;0,INDEX(WP!$A$2:$F$23,MATCH(LEFT($B251,FIND("_",$B251)-1),WP!$E$2:$E$23,0),2),IF(FIND("-",$B251)&gt;0,INDEX(WP!$A$2:$F$23,MATCH(LEFT($B251,FIND("_",$B251)-1),WP!$E$2:$E$23,0),2))),INDEX(WP!$A$2:$F$23,MATCH(Results!$B251,WP!$E$2:$E$23,0),2)))),IF(RIGHT(IFERROR(IF(FIND("_",$B251)&gt;0,INDEX(WP!$A$2:$F$23,MATCH(LEFT($B251,FIND("_",$B251)-1),WP!$E$2:$E$23,0),2),IF(FIND("-",$B251)&gt;0,INDEX(WP!$A$2:$F$23,MATCH(LEFT($B251,FIND("_",$B251)-1),WP!$E$2:$E$23,0),2))),INDEX(WP!$A$2:$F$23,MATCH(Results!$B251,WP!$E$2:$E$23,0),2)),6)="Series",LEFT(IFERROR(IF(FIND("_",$B251)&gt;0,INDEX(WP!$A$2:$F$23,MATCH(LEFT($B251,FIND("_",$B251)-1),WP!$E$2:$E$23,0),2),IF(FIND("-",$B251)&gt;0,INDEX(WP!$A$2:$F$23,MATCH(LEFT($B251,FIND("_",$B251)-1),WP!$E$2:$E$23,0),2))),INDEX(WP!$A$2:$F$23,MATCH(Results!$B251,WP!$E$2:$E$23,0),2)),5),(IFERROR(IF(FIND("_",$B251)&gt;0,INDEX(WP!$A$2:$F$23,MATCH(LEFT($B251,FIND("_",$B251)-1),WP!$E$2:$E$23,0),2),IF(FIND("-",$B251)&gt;0,INDEX(WP!$A$2:$F$23,MATCH(LEFT($B251,FIND("_",$B251)-1),WP!$E$2:$E$23,0),2))),INDEX(WP!$A$2:$F$23,MATCH(Results!$B251,WP!$E$2:$E$23,0),2))))&amp;"-"&amp;$I251),"")</f>
        <v/>
      </c>
      <c r="G251" s="17" t="str">
        <f>IF(LEN(_xlfn.IFNA(IF(IFERROR(IF(FIND("_",$B251)&gt;0,MID($B251,FIND("_",$B251)+1,LEN($B251)),IF(FIND("-",$B251)&gt;0,MID($B251,FIND("-",$B251)+1,LEN($B251)))),"")="",IFERROR(VLOOKUP($F251,WP!$B$2:$C$23,2,0),VLOOKUP($C251,Series!$A$3:$F$11,6,0)),IFERROR(VLOOKUP($F251,WP!$B$2:$C$23,2,0),VLOOKUP($C251,Series!$A$3:$F$11,6,0))&amp;" - "&amp;(IFERROR(IF(FIND("_",$B251)&gt;0,MID($B251,FIND("_",$B251)+1,LEN($B251)),IF(FIND("-",$B251)&gt;0,MID($B251,FIND("-",$B251)+1,LEN($B251)))),""))),""))&lt;64,_xlfn.IFNA(IF(IFERROR(IF(FIND("_",$B251)&gt;0,MID($B251,FIND("_",$B251)+1,LEN($B251)),IF(FIND("-",$B251)&gt;0,MID($B251,FIND("-",$B251)+1,LEN($B251)))),"")="",IFERROR(VLOOKUP($F251,WP!$B$2:$C$23,2,0),VLOOKUP($C251,Series!$A$3:$F$11,6,0)),IFERROR(VLOOKUP($F251,WP!$B$2:$C$23,2,0),VLOOKUP($C251,Series!$A$3:$F$11,6,0))&amp;" - "&amp;(IFERROR(IF(FIND("_",$B251)&gt;0,MID($B251,FIND("_",$B251)+1,LEN($B251)),IF(FIND("-",$B251)&gt;0,MID($B251,FIND("-",$B251)+1,LEN($B251)))),""))),""),LEFT((_xlfn.IFNA(IF(IFERROR(IF(FIND("_",$B251)&gt;0,MID($B251,FIND("_",$B251)+1,LEN($B251)),IF(FIND("-",$B251)&gt;0,MID($B251,FIND("-",$B251)+1,LEN($B251)))),"")="",IFERROR(VLOOKUP($F251,WP!$B$2:$C$23,2,0),VLOOKUP($C251,Series!$A$3:$F$11,6,0)),IFERROR(VLOOKUP($F251,WP!$B$2:$C$23,2,0),VLOOKUP($C251,Series!$A$3:$F$11,6,0))&amp;" - "&amp;(IFERROR(IF(FIND("_",$B251)&gt;0,MID($B251,FIND("_",$B251)+1,LEN($B251)),IF(FIND("-",$B251)&gt;0,MID($B251,FIND("-",$B251)+1,LEN($B251)))),""))),"")),64))</f>
        <v/>
      </c>
      <c r="H251" s="12"/>
      <c r="I251" s="12" t="str">
        <f>IF($D251&lt;&gt;"",COUNTIF($D$7:$D251,"="&amp;$D251),"")</f>
        <v/>
      </c>
      <c r="J251"/>
      <c r="K251" s="8"/>
      <c r="L251"/>
    </row>
    <row r="252" spans="1:12" x14ac:dyDescent="0.3">
      <c r="A252" s="1"/>
      <c r="B252" s="26"/>
      <c r="C252" s="12" t="str">
        <f>_xlfn.IFNA(IFERROR(IF(FIND("_",$B252)&gt;0,INDEX(WP!$A$2:$F$23,MATCH(LEFT($B252,FIND("_",$B252)-1),WP!$E$2:$E$23,0),1),IF(FIND("-",$B252)&gt;0,INDEX(WP!$A$2:$F$23,MATCH(LEFT($B252,FIND("_",$B252)-1),WP!$E$2:$E$23,0),1))),INDEX(WP!$A$2:$F$23,MATCH(Results!$B252,WP!$E$2:$E$23,0),1)),"")</f>
        <v/>
      </c>
      <c r="D252" s="12" t="str">
        <f>IFERROR(IFERROR(IF(RIGHT(INDEX(WP!$A$2:$F$23,MATCH(IF(FIND("_",$B252)&gt;0,LEFT($B252,FIND("_",$B252)-1)),WP!$E$2:$E$23,0),2),6)="Series",LEFT(INDEX(WP!$A$2:$F$23,MATCH(IF(FIND("_",$B252)&gt;0,LEFT($B252,FIND("_",$B252)-1)),WP!$E$2:$E$23,0),2),5),""),IF(RIGHT(INDEX(WP!$A$2:$F$23,MATCH($B252,WP!$E$2:$E$23,0),2),6)="Series",LEFT(INDEX(WP!$A$2:$F$23,MATCH($B252,WP!$E$2:$E$23,0),2),5),"")),"")</f>
        <v/>
      </c>
      <c r="E252" s="17" t="str">
        <f>IFERROR(VLOOKUP(VALUE($D252),Series!$B$3:$F$11,2,0),"")</f>
        <v/>
      </c>
      <c r="F252" s="12" t="str">
        <f>_xlfn.IFNA(IF(IF($D252&lt;&gt;"",COUNTIF($E:$E,"="&amp;$D252),"")="",IF(RIGHT(IFERROR(IF(FIND("_",$B252)&gt;0,INDEX(WP!$A$2:$F$23,MATCH(LEFT($B252,FIND("_",$B252)-1),WP!$E$2:$E$23,0),2),IF(FIND("-",$B252)&gt;0,INDEX(WP!$A$2:$F$23,MATCH(LEFT($B252,FIND("_",$B252)-1),WP!$E$2:$E$23,0),2))),INDEX(WP!$A$2:$F$23,MATCH(Results!$B252,WP!$E$2:$E$23,0),2)),6)="Series",LEFT(IFERROR(IF(FIND("_",$B252)&gt;0,INDEX(WP!$A$2:$F$23,MATCH(LEFT($B252,FIND("_",$B252)-1),WP!$E$2:$E$23,0),2),IF(FIND("-",$B252)&gt;0,INDEX(WP!$A$2:$F$23,MATCH(LEFT($B252,FIND("_",$B252)-1),WP!$E$2:$E$23,0),2))),INDEX(WP!$A$2:$F$23,MATCH(Results!$B252,WP!$E$2:$E$23,0),2)),5),(IFERROR(IF(FIND("_",$B252)&gt;0,INDEX(WP!$A$2:$F$23,MATCH(LEFT($B252,FIND("_",$B252)-1),WP!$E$2:$E$23,0),2),IF(FIND("-",$B252)&gt;0,INDEX(WP!$A$2:$F$23,MATCH(LEFT($B252,FIND("_",$B252)-1),WP!$E$2:$E$23,0),2))),INDEX(WP!$A$2:$F$23,MATCH(Results!$B252,WP!$E$2:$E$23,0),2)))),IF(RIGHT(IFERROR(IF(FIND("_",$B252)&gt;0,INDEX(WP!$A$2:$F$23,MATCH(LEFT($B252,FIND("_",$B252)-1),WP!$E$2:$E$23,0),2),IF(FIND("-",$B252)&gt;0,INDEX(WP!$A$2:$F$23,MATCH(LEFT($B252,FIND("_",$B252)-1),WP!$E$2:$E$23,0),2))),INDEX(WP!$A$2:$F$23,MATCH(Results!$B252,WP!$E$2:$E$23,0),2)),6)="Series",LEFT(IFERROR(IF(FIND("_",$B252)&gt;0,INDEX(WP!$A$2:$F$23,MATCH(LEFT($B252,FIND("_",$B252)-1),WP!$E$2:$E$23,0),2),IF(FIND("-",$B252)&gt;0,INDEX(WP!$A$2:$F$23,MATCH(LEFT($B252,FIND("_",$B252)-1),WP!$E$2:$E$23,0),2))),INDEX(WP!$A$2:$F$23,MATCH(Results!$B252,WP!$E$2:$E$23,0),2)),5),(IFERROR(IF(FIND("_",$B252)&gt;0,INDEX(WP!$A$2:$F$23,MATCH(LEFT($B252,FIND("_",$B252)-1),WP!$E$2:$E$23,0),2),IF(FIND("-",$B252)&gt;0,INDEX(WP!$A$2:$F$23,MATCH(LEFT($B252,FIND("_",$B252)-1),WP!$E$2:$E$23,0),2))),INDEX(WP!$A$2:$F$23,MATCH(Results!$B252,WP!$E$2:$E$23,0),2))))&amp;"-"&amp;$I252),"")</f>
        <v/>
      </c>
      <c r="G252" s="17" t="str">
        <f>IF(LEN(_xlfn.IFNA(IF(IFERROR(IF(FIND("_",$B252)&gt;0,MID($B252,FIND("_",$B252)+1,LEN($B252)),IF(FIND("-",$B252)&gt;0,MID($B252,FIND("-",$B252)+1,LEN($B252)))),"")="",IFERROR(VLOOKUP($F252,WP!$B$2:$C$23,2,0),VLOOKUP($C252,Series!$A$3:$F$11,6,0)),IFERROR(VLOOKUP($F252,WP!$B$2:$C$23,2,0),VLOOKUP($C252,Series!$A$3:$F$11,6,0))&amp;" - "&amp;(IFERROR(IF(FIND("_",$B252)&gt;0,MID($B252,FIND("_",$B252)+1,LEN($B252)),IF(FIND("-",$B252)&gt;0,MID($B252,FIND("-",$B252)+1,LEN($B252)))),""))),""))&lt;64,_xlfn.IFNA(IF(IFERROR(IF(FIND("_",$B252)&gt;0,MID($B252,FIND("_",$B252)+1,LEN($B252)),IF(FIND("-",$B252)&gt;0,MID($B252,FIND("-",$B252)+1,LEN($B252)))),"")="",IFERROR(VLOOKUP($F252,WP!$B$2:$C$23,2,0),VLOOKUP($C252,Series!$A$3:$F$11,6,0)),IFERROR(VLOOKUP($F252,WP!$B$2:$C$23,2,0),VLOOKUP($C252,Series!$A$3:$F$11,6,0))&amp;" - "&amp;(IFERROR(IF(FIND("_",$B252)&gt;0,MID($B252,FIND("_",$B252)+1,LEN($B252)),IF(FIND("-",$B252)&gt;0,MID($B252,FIND("-",$B252)+1,LEN($B252)))),""))),""),LEFT((_xlfn.IFNA(IF(IFERROR(IF(FIND("_",$B252)&gt;0,MID($B252,FIND("_",$B252)+1,LEN($B252)),IF(FIND("-",$B252)&gt;0,MID($B252,FIND("-",$B252)+1,LEN($B252)))),"")="",IFERROR(VLOOKUP($F252,WP!$B$2:$C$23,2,0),VLOOKUP($C252,Series!$A$3:$F$11,6,0)),IFERROR(VLOOKUP($F252,WP!$B$2:$C$23,2,0),VLOOKUP($C252,Series!$A$3:$F$11,6,0))&amp;" - "&amp;(IFERROR(IF(FIND("_",$B252)&gt;0,MID($B252,FIND("_",$B252)+1,LEN($B252)),IF(FIND("-",$B252)&gt;0,MID($B252,FIND("-",$B252)+1,LEN($B252)))),""))),"")),64))</f>
        <v/>
      </c>
      <c r="H252" s="12"/>
      <c r="I252" s="12" t="str">
        <f>IF($D252&lt;&gt;"",COUNTIF($D$7:$D252,"="&amp;$D252),"")</f>
        <v/>
      </c>
      <c r="J252"/>
      <c r="K252" s="8"/>
      <c r="L252"/>
    </row>
    <row r="253" spans="1:12" x14ac:dyDescent="0.3">
      <c r="A253" s="1"/>
      <c r="B253" s="26"/>
      <c r="C253" s="12" t="str">
        <f>_xlfn.IFNA(IFERROR(IF(FIND("_",$B253)&gt;0,INDEX(WP!$A$2:$F$23,MATCH(LEFT($B253,FIND("_",$B253)-1),WP!$E$2:$E$23,0),1),IF(FIND("-",$B253)&gt;0,INDEX(WP!$A$2:$F$23,MATCH(LEFT($B253,FIND("_",$B253)-1),WP!$E$2:$E$23,0),1))),INDEX(WP!$A$2:$F$23,MATCH(Results!$B253,WP!$E$2:$E$23,0),1)),"")</f>
        <v/>
      </c>
      <c r="D253" s="12" t="str">
        <f>IFERROR(IFERROR(IF(RIGHT(INDEX(WP!$A$2:$F$23,MATCH(IF(FIND("_",$B253)&gt;0,LEFT($B253,FIND("_",$B253)-1)),WP!$E$2:$E$23,0),2),6)="Series",LEFT(INDEX(WP!$A$2:$F$23,MATCH(IF(FIND("_",$B253)&gt;0,LEFT($B253,FIND("_",$B253)-1)),WP!$E$2:$E$23,0),2),5),""),IF(RIGHT(INDEX(WP!$A$2:$F$23,MATCH($B253,WP!$E$2:$E$23,0),2),6)="Series",LEFT(INDEX(WP!$A$2:$F$23,MATCH($B253,WP!$E$2:$E$23,0),2),5),"")),"")</f>
        <v/>
      </c>
      <c r="E253" s="17" t="str">
        <f>IFERROR(VLOOKUP(VALUE($D253),Series!$B$3:$F$11,2,0),"")</f>
        <v/>
      </c>
      <c r="F253" s="12" t="str">
        <f>_xlfn.IFNA(IF(IF($D253&lt;&gt;"",COUNTIF($E:$E,"="&amp;$D253),"")="",IF(RIGHT(IFERROR(IF(FIND("_",$B253)&gt;0,INDEX(WP!$A$2:$F$23,MATCH(LEFT($B253,FIND("_",$B253)-1),WP!$E$2:$E$23,0),2),IF(FIND("-",$B253)&gt;0,INDEX(WP!$A$2:$F$23,MATCH(LEFT($B253,FIND("_",$B253)-1),WP!$E$2:$E$23,0),2))),INDEX(WP!$A$2:$F$23,MATCH(Results!$B253,WP!$E$2:$E$23,0),2)),6)="Series",LEFT(IFERROR(IF(FIND("_",$B253)&gt;0,INDEX(WP!$A$2:$F$23,MATCH(LEFT($B253,FIND("_",$B253)-1),WP!$E$2:$E$23,0),2),IF(FIND("-",$B253)&gt;0,INDEX(WP!$A$2:$F$23,MATCH(LEFT($B253,FIND("_",$B253)-1),WP!$E$2:$E$23,0),2))),INDEX(WP!$A$2:$F$23,MATCH(Results!$B253,WP!$E$2:$E$23,0),2)),5),(IFERROR(IF(FIND("_",$B253)&gt;0,INDEX(WP!$A$2:$F$23,MATCH(LEFT($B253,FIND("_",$B253)-1),WP!$E$2:$E$23,0),2),IF(FIND("-",$B253)&gt;0,INDEX(WP!$A$2:$F$23,MATCH(LEFT($B253,FIND("_",$B253)-1),WP!$E$2:$E$23,0),2))),INDEX(WP!$A$2:$F$23,MATCH(Results!$B253,WP!$E$2:$E$23,0),2)))),IF(RIGHT(IFERROR(IF(FIND("_",$B253)&gt;0,INDEX(WP!$A$2:$F$23,MATCH(LEFT($B253,FIND("_",$B253)-1),WP!$E$2:$E$23,0),2),IF(FIND("-",$B253)&gt;0,INDEX(WP!$A$2:$F$23,MATCH(LEFT($B253,FIND("_",$B253)-1),WP!$E$2:$E$23,0),2))),INDEX(WP!$A$2:$F$23,MATCH(Results!$B253,WP!$E$2:$E$23,0),2)),6)="Series",LEFT(IFERROR(IF(FIND("_",$B253)&gt;0,INDEX(WP!$A$2:$F$23,MATCH(LEFT($B253,FIND("_",$B253)-1),WP!$E$2:$E$23,0),2),IF(FIND("-",$B253)&gt;0,INDEX(WP!$A$2:$F$23,MATCH(LEFT($B253,FIND("_",$B253)-1),WP!$E$2:$E$23,0),2))),INDEX(WP!$A$2:$F$23,MATCH(Results!$B253,WP!$E$2:$E$23,0),2)),5),(IFERROR(IF(FIND("_",$B253)&gt;0,INDEX(WP!$A$2:$F$23,MATCH(LEFT($B253,FIND("_",$B253)-1),WP!$E$2:$E$23,0),2),IF(FIND("-",$B253)&gt;0,INDEX(WP!$A$2:$F$23,MATCH(LEFT($B253,FIND("_",$B253)-1),WP!$E$2:$E$23,0),2))),INDEX(WP!$A$2:$F$23,MATCH(Results!$B253,WP!$E$2:$E$23,0),2))))&amp;"-"&amp;$I253),"")</f>
        <v/>
      </c>
      <c r="G253" s="17" t="str">
        <f>IF(LEN(_xlfn.IFNA(IF(IFERROR(IF(FIND("_",$B253)&gt;0,MID($B253,FIND("_",$B253)+1,LEN($B253)),IF(FIND("-",$B253)&gt;0,MID($B253,FIND("-",$B253)+1,LEN($B253)))),"")="",IFERROR(VLOOKUP($F253,WP!$B$2:$C$23,2,0),VLOOKUP($C253,Series!$A$3:$F$11,6,0)),IFERROR(VLOOKUP($F253,WP!$B$2:$C$23,2,0),VLOOKUP($C253,Series!$A$3:$F$11,6,0))&amp;" - "&amp;(IFERROR(IF(FIND("_",$B253)&gt;0,MID($B253,FIND("_",$B253)+1,LEN($B253)),IF(FIND("-",$B253)&gt;0,MID($B253,FIND("-",$B253)+1,LEN($B253)))),""))),""))&lt;64,_xlfn.IFNA(IF(IFERROR(IF(FIND("_",$B253)&gt;0,MID($B253,FIND("_",$B253)+1,LEN($B253)),IF(FIND("-",$B253)&gt;0,MID($B253,FIND("-",$B253)+1,LEN($B253)))),"")="",IFERROR(VLOOKUP($F253,WP!$B$2:$C$23,2,0),VLOOKUP($C253,Series!$A$3:$F$11,6,0)),IFERROR(VLOOKUP($F253,WP!$B$2:$C$23,2,0),VLOOKUP($C253,Series!$A$3:$F$11,6,0))&amp;" - "&amp;(IFERROR(IF(FIND("_",$B253)&gt;0,MID($B253,FIND("_",$B253)+1,LEN($B253)),IF(FIND("-",$B253)&gt;0,MID($B253,FIND("-",$B253)+1,LEN($B253)))),""))),""),LEFT((_xlfn.IFNA(IF(IFERROR(IF(FIND("_",$B253)&gt;0,MID($B253,FIND("_",$B253)+1,LEN($B253)),IF(FIND("-",$B253)&gt;0,MID($B253,FIND("-",$B253)+1,LEN($B253)))),"")="",IFERROR(VLOOKUP($F253,WP!$B$2:$C$23,2,0),VLOOKUP($C253,Series!$A$3:$F$11,6,0)),IFERROR(VLOOKUP($F253,WP!$B$2:$C$23,2,0),VLOOKUP($C253,Series!$A$3:$F$11,6,0))&amp;" - "&amp;(IFERROR(IF(FIND("_",$B253)&gt;0,MID($B253,FIND("_",$B253)+1,LEN($B253)),IF(FIND("-",$B253)&gt;0,MID($B253,FIND("-",$B253)+1,LEN($B253)))),""))),"")),64))</f>
        <v/>
      </c>
      <c r="H253" s="12"/>
      <c r="I253" s="12" t="str">
        <f>IF($D253&lt;&gt;"",COUNTIF($D$7:$D253,"="&amp;$D253),"")</f>
        <v/>
      </c>
      <c r="J253"/>
      <c r="K253" s="8"/>
      <c r="L253"/>
    </row>
    <row r="254" spans="1:12" x14ac:dyDescent="0.3">
      <c r="A254" s="1"/>
      <c r="B254" s="26"/>
      <c r="C254" s="12" t="str">
        <f>_xlfn.IFNA(IFERROR(IF(FIND("_",$B254)&gt;0,INDEX(WP!$A$2:$F$23,MATCH(LEFT($B254,FIND("_",$B254)-1),WP!$E$2:$E$23,0),1),IF(FIND("-",$B254)&gt;0,INDEX(WP!$A$2:$F$23,MATCH(LEFT($B254,FIND("_",$B254)-1),WP!$E$2:$E$23,0),1))),INDEX(WP!$A$2:$F$23,MATCH(Results!$B254,WP!$E$2:$E$23,0),1)),"")</f>
        <v/>
      </c>
      <c r="D254" s="12" t="str">
        <f>IFERROR(IFERROR(IF(RIGHT(INDEX(WP!$A$2:$F$23,MATCH(IF(FIND("_",$B254)&gt;0,LEFT($B254,FIND("_",$B254)-1)),WP!$E$2:$E$23,0),2),6)="Series",LEFT(INDEX(WP!$A$2:$F$23,MATCH(IF(FIND("_",$B254)&gt;0,LEFT($B254,FIND("_",$B254)-1)),WP!$E$2:$E$23,0),2),5),""),IF(RIGHT(INDEX(WP!$A$2:$F$23,MATCH($B254,WP!$E$2:$E$23,0),2),6)="Series",LEFT(INDEX(WP!$A$2:$F$23,MATCH($B254,WP!$E$2:$E$23,0),2),5),"")),"")</f>
        <v/>
      </c>
      <c r="E254" s="17" t="str">
        <f>IFERROR(VLOOKUP(VALUE($D254),Series!$B$3:$F$11,2,0),"")</f>
        <v/>
      </c>
      <c r="F254" s="12" t="str">
        <f>_xlfn.IFNA(IF(IF($D254&lt;&gt;"",COUNTIF($E:$E,"="&amp;$D254),"")="",IF(RIGHT(IFERROR(IF(FIND("_",$B254)&gt;0,INDEX(WP!$A$2:$F$23,MATCH(LEFT($B254,FIND("_",$B254)-1),WP!$E$2:$E$23,0),2),IF(FIND("-",$B254)&gt;0,INDEX(WP!$A$2:$F$23,MATCH(LEFT($B254,FIND("_",$B254)-1),WP!$E$2:$E$23,0),2))),INDEX(WP!$A$2:$F$23,MATCH(Results!$B254,WP!$E$2:$E$23,0),2)),6)="Series",LEFT(IFERROR(IF(FIND("_",$B254)&gt;0,INDEX(WP!$A$2:$F$23,MATCH(LEFT($B254,FIND("_",$B254)-1),WP!$E$2:$E$23,0),2),IF(FIND("-",$B254)&gt;0,INDEX(WP!$A$2:$F$23,MATCH(LEFT($B254,FIND("_",$B254)-1),WP!$E$2:$E$23,0),2))),INDEX(WP!$A$2:$F$23,MATCH(Results!$B254,WP!$E$2:$E$23,0),2)),5),(IFERROR(IF(FIND("_",$B254)&gt;0,INDEX(WP!$A$2:$F$23,MATCH(LEFT($B254,FIND("_",$B254)-1),WP!$E$2:$E$23,0),2),IF(FIND("-",$B254)&gt;0,INDEX(WP!$A$2:$F$23,MATCH(LEFT($B254,FIND("_",$B254)-1),WP!$E$2:$E$23,0),2))),INDEX(WP!$A$2:$F$23,MATCH(Results!$B254,WP!$E$2:$E$23,0),2)))),IF(RIGHT(IFERROR(IF(FIND("_",$B254)&gt;0,INDEX(WP!$A$2:$F$23,MATCH(LEFT($B254,FIND("_",$B254)-1),WP!$E$2:$E$23,0),2),IF(FIND("-",$B254)&gt;0,INDEX(WP!$A$2:$F$23,MATCH(LEFT($B254,FIND("_",$B254)-1),WP!$E$2:$E$23,0),2))),INDEX(WP!$A$2:$F$23,MATCH(Results!$B254,WP!$E$2:$E$23,0),2)),6)="Series",LEFT(IFERROR(IF(FIND("_",$B254)&gt;0,INDEX(WP!$A$2:$F$23,MATCH(LEFT($B254,FIND("_",$B254)-1),WP!$E$2:$E$23,0),2),IF(FIND("-",$B254)&gt;0,INDEX(WP!$A$2:$F$23,MATCH(LEFT($B254,FIND("_",$B254)-1),WP!$E$2:$E$23,0),2))),INDEX(WP!$A$2:$F$23,MATCH(Results!$B254,WP!$E$2:$E$23,0),2)),5),(IFERROR(IF(FIND("_",$B254)&gt;0,INDEX(WP!$A$2:$F$23,MATCH(LEFT($B254,FIND("_",$B254)-1),WP!$E$2:$E$23,0),2),IF(FIND("-",$B254)&gt;0,INDEX(WP!$A$2:$F$23,MATCH(LEFT($B254,FIND("_",$B254)-1),WP!$E$2:$E$23,0),2))),INDEX(WP!$A$2:$F$23,MATCH(Results!$B254,WP!$E$2:$E$23,0),2))))&amp;"-"&amp;$I254),"")</f>
        <v/>
      </c>
      <c r="G254" s="17" t="str">
        <f>IF(LEN(_xlfn.IFNA(IF(IFERROR(IF(FIND("_",$B254)&gt;0,MID($B254,FIND("_",$B254)+1,LEN($B254)),IF(FIND("-",$B254)&gt;0,MID($B254,FIND("-",$B254)+1,LEN($B254)))),"")="",IFERROR(VLOOKUP($F254,WP!$B$2:$C$23,2,0),VLOOKUP($C254,Series!$A$3:$F$11,6,0)),IFERROR(VLOOKUP($F254,WP!$B$2:$C$23,2,0),VLOOKUP($C254,Series!$A$3:$F$11,6,0))&amp;" - "&amp;(IFERROR(IF(FIND("_",$B254)&gt;0,MID($B254,FIND("_",$B254)+1,LEN($B254)),IF(FIND("-",$B254)&gt;0,MID($B254,FIND("-",$B254)+1,LEN($B254)))),""))),""))&lt;64,_xlfn.IFNA(IF(IFERROR(IF(FIND("_",$B254)&gt;0,MID($B254,FIND("_",$B254)+1,LEN($B254)),IF(FIND("-",$B254)&gt;0,MID($B254,FIND("-",$B254)+1,LEN($B254)))),"")="",IFERROR(VLOOKUP($F254,WP!$B$2:$C$23,2,0),VLOOKUP($C254,Series!$A$3:$F$11,6,0)),IFERROR(VLOOKUP($F254,WP!$B$2:$C$23,2,0),VLOOKUP($C254,Series!$A$3:$F$11,6,0))&amp;" - "&amp;(IFERROR(IF(FIND("_",$B254)&gt;0,MID($B254,FIND("_",$B254)+1,LEN($B254)),IF(FIND("-",$B254)&gt;0,MID($B254,FIND("-",$B254)+1,LEN($B254)))),""))),""),LEFT((_xlfn.IFNA(IF(IFERROR(IF(FIND("_",$B254)&gt;0,MID($B254,FIND("_",$B254)+1,LEN($B254)),IF(FIND("-",$B254)&gt;0,MID($B254,FIND("-",$B254)+1,LEN($B254)))),"")="",IFERROR(VLOOKUP($F254,WP!$B$2:$C$23,2,0),VLOOKUP($C254,Series!$A$3:$F$11,6,0)),IFERROR(VLOOKUP($F254,WP!$B$2:$C$23,2,0),VLOOKUP($C254,Series!$A$3:$F$11,6,0))&amp;" - "&amp;(IFERROR(IF(FIND("_",$B254)&gt;0,MID($B254,FIND("_",$B254)+1,LEN($B254)),IF(FIND("-",$B254)&gt;0,MID($B254,FIND("-",$B254)+1,LEN($B254)))),""))),"")),64))</f>
        <v/>
      </c>
      <c r="H254" s="12"/>
      <c r="I254" s="12" t="str">
        <f>IF($D254&lt;&gt;"",COUNTIF($D$7:$D254,"="&amp;$D254),"")</f>
        <v/>
      </c>
      <c r="J254"/>
      <c r="K254" s="8"/>
      <c r="L254"/>
    </row>
    <row r="255" spans="1:12" x14ac:dyDescent="0.3">
      <c r="A255" s="1"/>
      <c r="B255" s="26"/>
      <c r="C255" s="12" t="str">
        <f>_xlfn.IFNA(IFERROR(IF(FIND("_",$B255)&gt;0,INDEX(WP!$A$2:$F$23,MATCH(LEFT($B255,FIND("_",$B255)-1),WP!$E$2:$E$23,0),1),IF(FIND("-",$B255)&gt;0,INDEX(WP!$A$2:$F$23,MATCH(LEFT($B255,FIND("_",$B255)-1),WP!$E$2:$E$23,0),1))),INDEX(WP!$A$2:$F$23,MATCH(Results!$B255,WP!$E$2:$E$23,0),1)),"")</f>
        <v/>
      </c>
      <c r="D255" s="12" t="str">
        <f>IFERROR(IFERROR(IF(RIGHT(INDEX(WP!$A$2:$F$23,MATCH(IF(FIND("_",$B255)&gt;0,LEFT($B255,FIND("_",$B255)-1)),WP!$E$2:$E$23,0),2),6)="Series",LEFT(INDEX(WP!$A$2:$F$23,MATCH(IF(FIND("_",$B255)&gt;0,LEFT($B255,FIND("_",$B255)-1)),WP!$E$2:$E$23,0),2),5),""),IF(RIGHT(INDEX(WP!$A$2:$F$23,MATCH($B255,WP!$E$2:$E$23,0),2),6)="Series",LEFT(INDEX(WP!$A$2:$F$23,MATCH($B255,WP!$E$2:$E$23,0),2),5),"")),"")</f>
        <v/>
      </c>
      <c r="E255" s="17" t="str">
        <f>IFERROR(VLOOKUP(VALUE($D255),Series!$B$3:$F$11,2,0),"")</f>
        <v/>
      </c>
      <c r="F255" s="12" t="str">
        <f>_xlfn.IFNA(IF(IF($D255&lt;&gt;"",COUNTIF($E:$E,"="&amp;$D255),"")="",IF(RIGHT(IFERROR(IF(FIND("_",$B255)&gt;0,INDEX(WP!$A$2:$F$23,MATCH(LEFT($B255,FIND("_",$B255)-1),WP!$E$2:$E$23,0),2),IF(FIND("-",$B255)&gt;0,INDEX(WP!$A$2:$F$23,MATCH(LEFT($B255,FIND("_",$B255)-1),WP!$E$2:$E$23,0),2))),INDEX(WP!$A$2:$F$23,MATCH(Results!$B255,WP!$E$2:$E$23,0),2)),6)="Series",LEFT(IFERROR(IF(FIND("_",$B255)&gt;0,INDEX(WP!$A$2:$F$23,MATCH(LEFT($B255,FIND("_",$B255)-1),WP!$E$2:$E$23,0),2),IF(FIND("-",$B255)&gt;0,INDEX(WP!$A$2:$F$23,MATCH(LEFT($B255,FIND("_",$B255)-1),WP!$E$2:$E$23,0),2))),INDEX(WP!$A$2:$F$23,MATCH(Results!$B255,WP!$E$2:$E$23,0),2)),5),(IFERROR(IF(FIND("_",$B255)&gt;0,INDEX(WP!$A$2:$F$23,MATCH(LEFT($B255,FIND("_",$B255)-1),WP!$E$2:$E$23,0),2),IF(FIND("-",$B255)&gt;0,INDEX(WP!$A$2:$F$23,MATCH(LEFT($B255,FIND("_",$B255)-1),WP!$E$2:$E$23,0),2))),INDEX(WP!$A$2:$F$23,MATCH(Results!$B255,WP!$E$2:$E$23,0),2)))),IF(RIGHT(IFERROR(IF(FIND("_",$B255)&gt;0,INDEX(WP!$A$2:$F$23,MATCH(LEFT($B255,FIND("_",$B255)-1),WP!$E$2:$E$23,0),2),IF(FIND("-",$B255)&gt;0,INDEX(WP!$A$2:$F$23,MATCH(LEFT($B255,FIND("_",$B255)-1),WP!$E$2:$E$23,0),2))),INDEX(WP!$A$2:$F$23,MATCH(Results!$B255,WP!$E$2:$E$23,0),2)),6)="Series",LEFT(IFERROR(IF(FIND("_",$B255)&gt;0,INDEX(WP!$A$2:$F$23,MATCH(LEFT($B255,FIND("_",$B255)-1),WP!$E$2:$E$23,0),2),IF(FIND("-",$B255)&gt;0,INDEX(WP!$A$2:$F$23,MATCH(LEFT($B255,FIND("_",$B255)-1),WP!$E$2:$E$23,0),2))),INDEX(WP!$A$2:$F$23,MATCH(Results!$B255,WP!$E$2:$E$23,0),2)),5),(IFERROR(IF(FIND("_",$B255)&gt;0,INDEX(WP!$A$2:$F$23,MATCH(LEFT($B255,FIND("_",$B255)-1),WP!$E$2:$E$23,0),2),IF(FIND("-",$B255)&gt;0,INDEX(WP!$A$2:$F$23,MATCH(LEFT($B255,FIND("_",$B255)-1),WP!$E$2:$E$23,0),2))),INDEX(WP!$A$2:$F$23,MATCH(Results!$B255,WP!$E$2:$E$23,0),2))))&amp;"-"&amp;$I255),"")</f>
        <v/>
      </c>
      <c r="G255" s="17" t="str">
        <f>IF(LEN(_xlfn.IFNA(IF(IFERROR(IF(FIND("_",$B255)&gt;0,MID($B255,FIND("_",$B255)+1,LEN($B255)),IF(FIND("-",$B255)&gt;0,MID($B255,FIND("-",$B255)+1,LEN($B255)))),"")="",IFERROR(VLOOKUP($F255,WP!$B$2:$C$23,2,0),VLOOKUP($C255,Series!$A$3:$F$11,6,0)),IFERROR(VLOOKUP($F255,WP!$B$2:$C$23,2,0),VLOOKUP($C255,Series!$A$3:$F$11,6,0))&amp;" - "&amp;(IFERROR(IF(FIND("_",$B255)&gt;0,MID($B255,FIND("_",$B255)+1,LEN($B255)),IF(FIND("-",$B255)&gt;0,MID($B255,FIND("-",$B255)+1,LEN($B255)))),""))),""))&lt;64,_xlfn.IFNA(IF(IFERROR(IF(FIND("_",$B255)&gt;0,MID($B255,FIND("_",$B255)+1,LEN($B255)),IF(FIND("-",$B255)&gt;0,MID($B255,FIND("-",$B255)+1,LEN($B255)))),"")="",IFERROR(VLOOKUP($F255,WP!$B$2:$C$23,2,0),VLOOKUP($C255,Series!$A$3:$F$11,6,0)),IFERROR(VLOOKUP($F255,WP!$B$2:$C$23,2,0),VLOOKUP($C255,Series!$A$3:$F$11,6,0))&amp;" - "&amp;(IFERROR(IF(FIND("_",$B255)&gt;0,MID($B255,FIND("_",$B255)+1,LEN($B255)),IF(FIND("-",$B255)&gt;0,MID($B255,FIND("-",$B255)+1,LEN($B255)))),""))),""),LEFT((_xlfn.IFNA(IF(IFERROR(IF(FIND("_",$B255)&gt;0,MID($B255,FIND("_",$B255)+1,LEN($B255)),IF(FIND("-",$B255)&gt;0,MID($B255,FIND("-",$B255)+1,LEN($B255)))),"")="",IFERROR(VLOOKUP($F255,WP!$B$2:$C$23,2,0),VLOOKUP($C255,Series!$A$3:$F$11,6,0)),IFERROR(VLOOKUP($F255,WP!$B$2:$C$23,2,0),VLOOKUP($C255,Series!$A$3:$F$11,6,0))&amp;" - "&amp;(IFERROR(IF(FIND("_",$B255)&gt;0,MID($B255,FIND("_",$B255)+1,LEN($B255)),IF(FIND("-",$B255)&gt;0,MID($B255,FIND("-",$B255)+1,LEN($B255)))),""))),"")),64))</f>
        <v/>
      </c>
      <c r="H255" s="12"/>
      <c r="I255" s="12" t="str">
        <f>IF($D255&lt;&gt;"",COUNTIF($D$7:$D255,"="&amp;$D255),"")</f>
        <v/>
      </c>
      <c r="J255"/>
      <c r="K255" s="8"/>
      <c r="L255"/>
    </row>
    <row r="256" spans="1:12" x14ac:dyDescent="0.3">
      <c r="A256" s="1"/>
      <c r="B256" s="26"/>
      <c r="C256" s="12" t="str">
        <f>_xlfn.IFNA(IFERROR(IF(FIND("_",$B256)&gt;0,INDEX(WP!$A$2:$F$23,MATCH(LEFT($B256,FIND("_",$B256)-1),WP!$E$2:$E$23,0),1),IF(FIND("-",$B256)&gt;0,INDEX(WP!$A$2:$F$23,MATCH(LEFT($B256,FIND("_",$B256)-1),WP!$E$2:$E$23,0),1))),INDEX(WP!$A$2:$F$23,MATCH(Results!$B256,WP!$E$2:$E$23,0),1)),"")</f>
        <v/>
      </c>
      <c r="D256" s="12" t="str">
        <f>IFERROR(IFERROR(IF(RIGHT(INDEX(WP!$A$2:$F$23,MATCH(IF(FIND("_",$B256)&gt;0,LEFT($B256,FIND("_",$B256)-1)),WP!$E$2:$E$23,0),2),6)="Series",LEFT(INDEX(WP!$A$2:$F$23,MATCH(IF(FIND("_",$B256)&gt;0,LEFT($B256,FIND("_",$B256)-1)),WP!$E$2:$E$23,0),2),5),""),IF(RIGHT(INDEX(WP!$A$2:$F$23,MATCH($B256,WP!$E$2:$E$23,0),2),6)="Series",LEFT(INDEX(WP!$A$2:$F$23,MATCH($B256,WP!$E$2:$E$23,0),2),5),"")),"")</f>
        <v/>
      </c>
      <c r="E256" s="17" t="str">
        <f>IFERROR(VLOOKUP(VALUE($D256),Series!$B$3:$F$11,2,0),"")</f>
        <v/>
      </c>
      <c r="F256" s="12" t="str">
        <f>_xlfn.IFNA(IF(IF($D256&lt;&gt;"",COUNTIF($E:$E,"="&amp;$D256),"")="",IF(RIGHT(IFERROR(IF(FIND("_",$B256)&gt;0,INDEX(WP!$A$2:$F$23,MATCH(LEFT($B256,FIND("_",$B256)-1),WP!$E$2:$E$23,0),2),IF(FIND("-",$B256)&gt;0,INDEX(WP!$A$2:$F$23,MATCH(LEFT($B256,FIND("_",$B256)-1),WP!$E$2:$E$23,0),2))),INDEX(WP!$A$2:$F$23,MATCH(Results!$B256,WP!$E$2:$E$23,0),2)),6)="Series",LEFT(IFERROR(IF(FIND("_",$B256)&gt;0,INDEX(WP!$A$2:$F$23,MATCH(LEFT($B256,FIND("_",$B256)-1),WP!$E$2:$E$23,0),2),IF(FIND("-",$B256)&gt;0,INDEX(WP!$A$2:$F$23,MATCH(LEFT($B256,FIND("_",$B256)-1),WP!$E$2:$E$23,0),2))),INDEX(WP!$A$2:$F$23,MATCH(Results!$B256,WP!$E$2:$E$23,0),2)),5),(IFERROR(IF(FIND("_",$B256)&gt;0,INDEX(WP!$A$2:$F$23,MATCH(LEFT($B256,FIND("_",$B256)-1),WP!$E$2:$E$23,0),2),IF(FIND("-",$B256)&gt;0,INDEX(WP!$A$2:$F$23,MATCH(LEFT($B256,FIND("_",$B256)-1),WP!$E$2:$E$23,0),2))),INDEX(WP!$A$2:$F$23,MATCH(Results!$B256,WP!$E$2:$E$23,0),2)))),IF(RIGHT(IFERROR(IF(FIND("_",$B256)&gt;0,INDEX(WP!$A$2:$F$23,MATCH(LEFT($B256,FIND("_",$B256)-1),WP!$E$2:$E$23,0),2),IF(FIND("-",$B256)&gt;0,INDEX(WP!$A$2:$F$23,MATCH(LEFT($B256,FIND("_",$B256)-1),WP!$E$2:$E$23,0),2))),INDEX(WP!$A$2:$F$23,MATCH(Results!$B256,WP!$E$2:$E$23,0),2)),6)="Series",LEFT(IFERROR(IF(FIND("_",$B256)&gt;0,INDEX(WP!$A$2:$F$23,MATCH(LEFT($B256,FIND("_",$B256)-1),WP!$E$2:$E$23,0),2),IF(FIND("-",$B256)&gt;0,INDEX(WP!$A$2:$F$23,MATCH(LEFT($B256,FIND("_",$B256)-1),WP!$E$2:$E$23,0),2))),INDEX(WP!$A$2:$F$23,MATCH(Results!$B256,WP!$E$2:$E$23,0),2)),5),(IFERROR(IF(FIND("_",$B256)&gt;0,INDEX(WP!$A$2:$F$23,MATCH(LEFT($B256,FIND("_",$B256)-1),WP!$E$2:$E$23,0),2),IF(FIND("-",$B256)&gt;0,INDEX(WP!$A$2:$F$23,MATCH(LEFT($B256,FIND("_",$B256)-1),WP!$E$2:$E$23,0),2))),INDEX(WP!$A$2:$F$23,MATCH(Results!$B256,WP!$E$2:$E$23,0),2))))&amp;"-"&amp;$I256),"")</f>
        <v/>
      </c>
      <c r="G256" s="17" t="str">
        <f>IF(LEN(_xlfn.IFNA(IF(IFERROR(IF(FIND("_",$B256)&gt;0,MID($B256,FIND("_",$B256)+1,LEN($B256)),IF(FIND("-",$B256)&gt;0,MID($B256,FIND("-",$B256)+1,LEN($B256)))),"")="",IFERROR(VLOOKUP($F256,WP!$B$2:$C$23,2,0),VLOOKUP($C256,Series!$A$3:$F$11,6,0)),IFERROR(VLOOKUP($F256,WP!$B$2:$C$23,2,0),VLOOKUP($C256,Series!$A$3:$F$11,6,0))&amp;" - "&amp;(IFERROR(IF(FIND("_",$B256)&gt;0,MID($B256,FIND("_",$B256)+1,LEN($B256)),IF(FIND("-",$B256)&gt;0,MID($B256,FIND("-",$B256)+1,LEN($B256)))),""))),""))&lt;64,_xlfn.IFNA(IF(IFERROR(IF(FIND("_",$B256)&gt;0,MID($B256,FIND("_",$B256)+1,LEN($B256)),IF(FIND("-",$B256)&gt;0,MID($B256,FIND("-",$B256)+1,LEN($B256)))),"")="",IFERROR(VLOOKUP($F256,WP!$B$2:$C$23,2,0),VLOOKUP($C256,Series!$A$3:$F$11,6,0)),IFERROR(VLOOKUP($F256,WP!$B$2:$C$23,2,0),VLOOKUP($C256,Series!$A$3:$F$11,6,0))&amp;" - "&amp;(IFERROR(IF(FIND("_",$B256)&gt;0,MID($B256,FIND("_",$B256)+1,LEN($B256)),IF(FIND("-",$B256)&gt;0,MID($B256,FIND("-",$B256)+1,LEN($B256)))),""))),""),LEFT((_xlfn.IFNA(IF(IFERROR(IF(FIND("_",$B256)&gt;0,MID($B256,FIND("_",$B256)+1,LEN($B256)),IF(FIND("-",$B256)&gt;0,MID($B256,FIND("-",$B256)+1,LEN($B256)))),"")="",IFERROR(VLOOKUP($F256,WP!$B$2:$C$23,2,0),VLOOKUP($C256,Series!$A$3:$F$11,6,0)),IFERROR(VLOOKUP($F256,WP!$B$2:$C$23,2,0),VLOOKUP($C256,Series!$A$3:$F$11,6,0))&amp;" - "&amp;(IFERROR(IF(FIND("_",$B256)&gt;0,MID($B256,FIND("_",$B256)+1,LEN($B256)),IF(FIND("-",$B256)&gt;0,MID($B256,FIND("-",$B256)+1,LEN($B256)))),""))),"")),64))</f>
        <v/>
      </c>
      <c r="H256" s="12"/>
      <c r="I256" s="12" t="str">
        <f>IF($D256&lt;&gt;"",COUNTIF($D$7:$D256,"="&amp;$D256),"")</f>
        <v/>
      </c>
      <c r="J256"/>
      <c r="K256" s="8"/>
      <c r="L256"/>
    </row>
    <row r="257" spans="1:12" x14ac:dyDescent="0.3">
      <c r="A257" s="1"/>
      <c r="B257" s="26"/>
      <c r="C257" s="12" t="str">
        <f>_xlfn.IFNA(IFERROR(IF(FIND("_",$B257)&gt;0,INDEX(WP!$A$2:$F$23,MATCH(LEFT($B257,FIND("_",$B257)-1),WP!$E$2:$E$23,0),1),IF(FIND("-",$B257)&gt;0,INDEX(WP!$A$2:$F$23,MATCH(LEFT($B257,FIND("_",$B257)-1),WP!$E$2:$E$23,0),1))),INDEX(WP!$A$2:$F$23,MATCH(Results!$B257,WP!$E$2:$E$23,0),1)),"")</f>
        <v/>
      </c>
      <c r="D257" s="12" t="str">
        <f>IFERROR(IFERROR(IF(RIGHT(INDEX(WP!$A$2:$F$23,MATCH(IF(FIND("_",$B257)&gt;0,LEFT($B257,FIND("_",$B257)-1)),WP!$E$2:$E$23,0),2),6)="Series",LEFT(INDEX(WP!$A$2:$F$23,MATCH(IF(FIND("_",$B257)&gt;0,LEFT($B257,FIND("_",$B257)-1)),WP!$E$2:$E$23,0),2),5),""),IF(RIGHT(INDEX(WP!$A$2:$F$23,MATCH($B257,WP!$E$2:$E$23,0),2),6)="Series",LEFT(INDEX(WP!$A$2:$F$23,MATCH($B257,WP!$E$2:$E$23,0),2),5),"")),"")</f>
        <v/>
      </c>
      <c r="E257" s="17" t="str">
        <f>IFERROR(VLOOKUP(VALUE($D257),Series!$B$3:$F$11,2,0),"")</f>
        <v/>
      </c>
      <c r="F257" s="12" t="str">
        <f>_xlfn.IFNA(IF(IF($D257&lt;&gt;"",COUNTIF($E:$E,"="&amp;$D257),"")="",IF(RIGHT(IFERROR(IF(FIND("_",$B257)&gt;0,INDEX(WP!$A$2:$F$23,MATCH(LEFT($B257,FIND("_",$B257)-1),WP!$E$2:$E$23,0),2),IF(FIND("-",$B257)&gt;0,INDEX(WP!$A$2:$F$23,MATCH(LEFT($B257,FIND("_",$B257)-1),WP!$E$2:$E$23,0),2))),INDEX(WP!$A$2:$F$23,MATCH(Results!$B257,WP!$E$2:$E$23,0),2)),6)="Series",LEFT(IFERROR(IF(FIND("_",$B257)&gt;0,INDEX(WP!$A$2:$F$23,MATCH(LEFT($B257,FIND("_",$B257)-1),WP!$E$2:$E$23,0),2),IF(FIND("-",$B257)&gt;0,INDEX(WP!$A$2:$F$23,MATCH(LEFT($B257,FIND("_",$B257)-1),WP!$E$2:$E$23,0),2))),INDEX(WP!$A$2:$F$23,MATCH(Results!$B257,WP!$E$2:$E$23,0),2)),5),(IFERROR(IF(FIND("_",$B257)&gt;0,INDEX(WP!$A$2:$F$23,MATCH(LEFT($B257,FIND("_",$B257)-1),WP!$E$2:$E$23,0),2),IF(FIND("-",$B257)&gt;0,INDEX(WP!$A$2:$F$23,MATCH(LEFT($B257,FIND("_",$B257)-1),WP!$E$2:$E$23,0),2))),INDEX(WP!$A$2:$F$23,MATCH(Results!$B257,WP!$E$2:$E$23,0),2)))),IF(RIGHT(IFERROR(IF(FIND("_",$B257)&gt;0,INDEX(WP!$A$2:$F$23,MATCH(LEFT($B257,FIND("_",$B257)-1),WP!$E$2:$E$23,0),2),IF(FIND("-",$B257)&gt;0,INDEX(WP!$A$2:$F$23,MATCH(LEFT($B257,FIND("_",$B257)-1),WP!$E$2:$E$23,0),2))),INDEX(WP!$A$2:$F$23,MATCH(Results!$B257,WP!$E$2:$E$23,0),2)),6)="Series",LEFT(IFERROR(IF(FIND("_",$B257)&gt;0,INDEX(WP!$A$2:$F$23,MATCH(LEFT($B257,FIND("_",$B257)-1),WP!$E$2:$E$23,0),2),IF(FIND("-",$B257)&gt;0,INDEX(WP!$A$2:$F$23,MATCH(LEFT($B257,FIND("_",$B257)-1),WP!$E$2:$E$23,0),2))),INDEX(WP!$A$2:$F$23,MATCH(Results!$B257,WP!$E$2:$E$23,0),2)),5),(IFERROR(IF(FIND("_",$B257)&gt;0,INDEX(WP!$A$2:$F$23,MATCH(LEFT($B257,FIND("_",$B257)-1),WP!$E$2:$E$23,0),2),IF(FIND("-",$B257)&gt;0,INDEX(WP!$A$2:$F$23,MATCH(LEFT($B257,FIND("_",$B257)-1),WP!$E$2:$E$23,0),2))),INDEX(WP!$A$2:$F$23,MATCH(Results!$B257,WP!$E$2:$E$23,0),2))))&amp;"-"&amp;$I257),"")</f>
        <v/>
      </c>
      <c r="G257" s="17" t="str">
        <f>IF(LEN(_xlfn.IFNA(IF(IFERROR(IF(FIND("_",$B257)&gt;0,MID($B257,FIND("_",$B257)+1,LEN($B257)),IF(FIND("-",$B257)&gt;0,MID($B257,FIND("-",$B257)+1,LEN($B257)))),"")="",IFERROR(VLOOKUP($F257,WP!$B$2:$C$23,2,0),VLOOKUP($C257,Series!$A$3:$F$11,6,0)),IFERROR(VLOOKUP($F257,WP!$B$2:$C$23,2,0),VLOOKUP($C257,Series!$A$3:$F$11,6,0))&amp;" - "&amp;(IFERROR(IF(FIND("_",$B257)&gt;0,MID($B257,FIND("_",$B257)+1,LEN($B257)),IF(FIND("-",$B257)&gt;0,MID($B257,FIND("-",$B257)+1,LEN($B257)))),""))),""))&lt;64,_xlfn.IFNA(IF(IFERROR(IF(FIND("_",$B257)&gt;0,MID($B257,FIND("_",$B257)+1,LEN($B257)),IF(FIND("-",$B257)&gt;0,MID($B257,FIND("-",$B257)+1,LEN($B257)))),"")="",IFERROR(VLOOKUP($F257,WP!$B$2:$C$23,2,0),VLOOKUP($C257,Series!$A$3:$F$11,6,0)),IFERROR(VLOOKUP($F257,WP!$B$2:$C$23,2,0),VLOOKUP($C257,Series!$A$3:$F$11,6,0))&amp;" - "&amp;(IFERROR(IF(FIND("_",$B257)&gt;0,MID($B257,FIND("_",$B257)+1,LEN($B257)),IF(FIND("-",$B257)&gt;0,MID($B257,FIND("-",$B257)+1,LEN($B257)))),""))),""),LEFT((_xlfn.IFNA(IF(IFERROR(IF(FIND("_",$B257)&gt;0,MID($B257,FIND("_",$B257)+1,LEN($B257)),IF(FIND("-",$B257)&gt;0,MID($B257,FIND("-",$B257)+1,LEN($B257)))),"")="",IFERROR(VLOOKUP($F257,WP!$B$2:$C$23,2,0),VLOOKUP($C257,Series!$A$3:$F$11,6,0)),IFERROR(VLOOKUP($F257,WP!$B$2:$C$23,2,0),VLOOKUP($C257,Series!$A$3:$F$11,6,0))&amp;" - "&amp;(IFERROR(IF(FIND("_",$B257)&gt;0,MID($B257,FIND("_",$B257)+1,LEN($B257)),IF(FIND("-",$B257)&gt;0,MID($B257,FIND("-",$B257)+1,LEN($B257)))),""))),"")),64))</f>
        <v/>
      </c>
      <c r="H257" s="12"/>
      <c r="I257" s="12" t="str">
        <f>IF($D257&lt;&gt;"",COUNTIF($D$7:$D257,"="&amp;$D257),"")</f>
        <v/>
      </c>
      <c r="J257"/>
      <c r="K257" s="8"/>
      <c r="L257"/>
    </row>
    <row r="258" spans="1:12" x14ac:dyDescent="0.3">
      <c r="A258" s="1"/>
      <c r="B258" s="26"/>
      <c r="C258" s="12" t="str">
        <f>_xlfn.IFNA(IFERROR(IF(FIND("_",$B258)&gt;0,INDEX(WP!$A$2:$F$23,MATCH(LEFT($B258,FIND("_",$B258)-1),WP!$E$2:$E$23,0),1),IF(FIND("-",$B258)&gt;0,INDEX(WP!$A$2:$F$23,MATCH(LEFT($B258,FIND("_",$B258)-1),WP!$E$2:$E$23,0),1))),INDEX(WP!$A$2:$F$23,MATCH(Results!$B258,WP!$E$2:$E$23,0),1)),"")</f>
        <v/>
      </c>
      <c r="D258" s="12" t="str">
        <f>IFERROR(IFERROR(IF(RIGHT(INDEX(WP!$A$2:$F$23,MATCH(IF(FIND("_",$B258)&gt;0,LEFT($B258,FIND("_",$B258)-1)),WP!$E$2:$E$23,0),2),6)="Series",LEFT(INDEX(WP!$A$2:$F$23,MATCH(IF(FIND("_",$B258)&gt;0,LEFT($B258,FIND("_",$B258)-1)),WP!$E$2:$E$23,0),2),5),""),IF(RIGHT(INDEX(WP!$A$2:$F$23,MATCH($B258,WP!$E$2:$E$23,0),2),6)="Series",LEFT(INDEX(WP!$A$2:$F$23,MATCH($B258,WP!$E$2:$E$23,0),2),5),"")),"")</f>
        <v/>
      </c>
      <c r="E258" s="17" t="str">
        <f>IFERROR(VLOOKUP(VALUE($D258),Series!$B$3:$F$11,2,0),"")</f>
        <v/>
      </c>
      <c r="F258" s="12" t="str">
        <f>_xlfn.IFNA(IF(IF($D258&lt;&gt;"",COUNTIF($E:$E,"="&amp;$D258),"")="",IF(RIGHT(IFERROR(IF(FIND("_",$B258)&gt;0,INDEX(WP!$A$2:$F$23,MATCH(LEFT($B258,FIND("_",$B258)-1),WP!$E$2:$E$23,0),2),IF(FIND("-",$B258)&gt;0,INDEX(WP!$A$2:$F$23,MATCH(LEFT($B258,FIND("_",$B258)-1),WP!$E$2:$E$23,0),2))),INDEX(WP!$A$2:$F$23,MATCH(Results!$B258,WP!$E$2:$E$23,0),2)),6)="Series",LEFT(IFERROR(IF(FIND("_",$B258)&gt;0,INDEX(WP!$A$2:$F$23,MATCH(LEFT($B258,FIND("_",$B258)-1),WP!$E$2:$E$23,0),2),IF(FIND("-",$B258)&gt;0,INDEX(WP!$A$2:$F$23,MATCH(LEFT($B258,FIND("_",$B258)-1),WP!$E$2:$E$23,0),2))),INDEX(WP!$A$2:$F$23,MATCH(Results!$B258,WP!$E$2:$E$23,0),2)),5),(IFERROR(IF(FIND("_",$B258)&gt;0,INDEX(WP!$A$2:$F$23,MATCH(LEFT($B258,FIND("_",$B258)-1),WP!$E$2:$E$23,0),2),IF(FIND("-",$B258)&gt;0,INDEX(WP!$A$2:$F$23,MATCH(LEFT($B258,FIND("_",$B258)-1),WP!$E$2:$E$23,0),2))),INDEX(WP!$A$2:$F$23,MATCH(Results!$B258,WP!$E$2:$E$23,0),2)))),IF(RIGHT(IFERROR(IF(FIND("_",$B258)&gt;0,INDEX(WP!$A$2:$F$23,MATCH(LEFT($B258,FIND("_",$B258)-1),WP!$E$2:$E$23,0),2),IF(FIND("-",$B258)&gt;0,INDEX(WP!$A$2:$F$23,MATCH(LEFT($B258,FIND("_",$B258)-1),WP!$E$2:$E$23,0),2))),INDEX(WP!$A$2:$F$23,MATCH(Results!$B258,WP!$E$2:$E$23,0),2)),6)="Series",LEFT(IFERROR(IF(FIND("_",$B258)&gt;0,INDEX(WP!$A$2:$F$23,MATCH(LEFT($B258,FIND("_",$B258)-1),WP!$E$2:$E$23,0),2),IF(FIND("-",$B258)&gt;0,INDEX(WP!$A$2:$F$23,MATCH(LEFT($B258,FIND("_",$B258)-1),WP!$E$2:$E$23,0),2))),INDEX(WP!$A$2:$F$23,MATCH(Results!$B258,WP!$E$2:$E$23,0),2)),5),(IFERROR(IF(FIND("_",$B258)&gt;0,INDEX(WP!$A$2:$F$23,MATCH(LEFT($B258,FIND("_",$B258)-1),WP!$E$2:$E$23,0),2),IF(FIND("-",$B258)&gt;0,INDEX(WP!$A$2:$F$23,MATCH(LEFT($B258,FIND("_",$B258)-1),WP!$E$2:$E$23,0),2))),INDEX(WP!$A$2:$F$23,MATCH(Results!$B258,WP!$E$2:$E$23,0),2))))&amp;"-"&amp;$I258),"")</f>
        <v/>
      </c>
      <c r="G258" s="17" t="str">
        <f>IF(LEN(_xlfn.IFNA(IF(IFERROR(IF(FIND("_",$B258)&gt;0,MID($B258,FIND("_",$B258)+1,LEN($B258)),IF(FIND("-",$B258)&gt;0,MID($B258,FIND("-",$B258)+1,LEN($B258)))),"")="",IFERROR(VLOOKUP($F258,WP!$B$2:$C$23,2,0),VLOOKUP($C258,Series!$A$3:$F$11,6,0)),IFERROR(VLOOKUP($F258,WP!$B$2:$C$23,2,0),VLOOKUP($C258,Series!$A$3:$F$11,6,0))&amp;" - "&amp;(IFERROR(IF(FIND("_",$B258)&gt;0,MID($B258,FIND("_",$B258)+1,LEN($B258)),IF(FIND("-",$B258)&gt;0,MID($B258,FIND("-",$B258)+1,LEN($B258)))),""))),""))&lt;64,_xlfn.IFNA(IF(IFERROR(IF(FIND("_",$B258)&gt;0,MID($B258,FIND("_",$B258)+1,LEN($B258)),IF(FIND("-",$B258)&gt;0,MID($B258,FIND("-",$B258)+1,LEN($B258)))),"")="",IFERROR(VLOOKUP($F258,WP!$B$2:$C$23,2,0),VLOOKUP($C258,Series!$A$3:$F$11,6,0)),IFERROR(VLOOKUP($F258,WP!$B$2:$C$23,2,0),VLOOKUP($C258,Series!$A$3:$F$11,6,0))&amp;" - "&amp;(IFERROR(IF(FIND("_",$B258)&gt;0,MID($B258,FIND("_",$B258)+1,LEN($B258)),IF(FIND("-",$B258)&gt;0,MID($B258,FIND("-",$B258)+1,LEN($B258)))),""))),""),LEFT((_xlfn.IFNA(IF(IFERROR(IF(FIND("_",$B258)&gt;0,MID($B258,FIND("_",$B258)+1,LEN($B258)),IF(FIND("-",$B258)&gt;0,MID($B258,FIND("-",$B258)+1,LEN($B258)))),"")="",IFERROR(VLOOKUP($F258,WP!$B$2:$C$23,2,0),VLOOKUP($C258,Series!$A$3:$F$11,6,0)),IFERROR(VLOOKUP($F258,WP!$B$2:$C$23,2,0),VLOOKUP($C258,Series!$A$3:$F$11,6,0))&amp;" - "&amp;(IFERROR(IF(FIND("_",$B258)&gt;0,MID($B258,FIND("_",$B258)+1,LEN($B258)),IF(FIND("-",$B258)&gt;0,MID($B258,FIND("-",$B258)+1,LEN($B258)))),""))),"")),64))</f>
        <v/>
      </c>
      <c r="H258" s="12"/>
      <c r="I258" s="12" t="str">
        <f>IF($D258&lt;&gt;"",COUNTIF($D$7:$D258,"="&amp;$D258),"")</f>
        <v/>
      </c>
      <c r="J258"/>
      <c r="K258" s="8"/>
      <c r="L258"/>
    </row>
    <row r="259" spans="1:12" x14ac:dyDescent="0.3">
      <c r="A259" s="1"/>
      <c r="B259" s="26"/>
      <c r="C259" s="12" t="str">
        <f>_xlfn.IFNA(IFERROR(IF(FIND("_",$B259)&gt;0,INDEX(WP!$A$2:$F$23,MATCH(LEFT($B259,FIND("_",$B259)-1),WP!$E$2:$E$23,0),1),IF(FIND("-",$B259)&gt;0,INDEX(WP!$A$2:$F$23,MATCH(LEFT($B259,FIND("_",$B259)-1),WP!$E$2:$E$23,0),1))),INDEX(WP!$A$2:$F$23,MATCH(Results!$B259,WP!$E$2:$E$23,0),1)),"")</f>
        <v/>
      </c>
      <c r="D259" s="12" t="str">
        <f>IFERROR(IFERROR(IF(RIGHT(INDEX(WP!$A$2:$F$23,MATCH(IF(FIND("_",$B259)&gt;0,LEFT($B259,FIND("_",$B259)-1)),WP!$E$2:$E$23,0),2),6)="Series",LEFT(INDEX(WP!$A$2:$F$23,MATCH(IF(FIND("_",$B259)&gt;0,LEFT($B259,FIND("_",$B259)-1)),WP!$E$2:$E$23,0),2),5),""),IF(RIGHT(INDEX(WP!$A$2:$F$23,MATCH($B259,WP!$E$2:$E$23,0),2),6)="Series",LEFT(INDEX(WP!$A$2:$F$23,MATCH($B259,WP!$E$2:$E$23,0),2),5),"")),"")</f>
        <v/>
      </c>
      <c r="E259" s="17" t="str">
        <f>IFERROR(VLOOKUP(VALUE($D259),Series!$B$3:$F$11,2,0),"")</f>
        <v/>
      </c>
      <c r="F259" s="12" t="str">
        <f>_xlfn.IFNA(IF(IF($D259&lt;&gt;"",COUNTIF($E:$E,"="&amp;$D259),"")="",IF(RIGHT(IFERROR(IF(FIND("_",$B259)&gt;0,INDEX(WP!$A$2:$F$23,MATCH(LEFT($B259,FIND("_",$B259)-1),WP!$E$2:$E$23,0),2),IF(FIND("-",$B259)&gt;0,INDEX(WP!$A$2:$F$23,MATCH(LEFT($B259,FIND("_",$B259)-1),WP!$E$2:$E$23,0),2))),INDEX(WP!$A$2:$F$23,MATCH(Results!$B259,WP!$E$2:$E$23,0),2)),6)="Series",LEFT(IFERROR(IF(FIND("_",$B259)&gt;0,INDEX(WP!$A$2:$F$23,MATCH(LEFT($B259,FIND("_",$B259)-1),WP!$E$2:$E$23,0),2),IF(FIND("-",$B259)&gt;0,INDEX(WP!$A$2:$F$23,MATCH(LEFT($B259,FIND("_",$B259)-1),WP!$E$2:$E$23,0),2))),INDEX(WP!$A$2:$F$23,MATCH(Results!$B259,WP!$E$2:$E$23,0),2)),5),(IFERROR(IF(FIND("_",$B259)&gt;0,INDEX(WP!$A$2:$F$23,MATCH(LEFT($B259,FIND("_",$B259)-1),WP!$E$2:$E$23,0),2),IF(FIND("-",$B259)&gt;0,INDEX(WP!$A$2:$F$23,MATCH(LEFT($B259,FIND("_",$B259)-1),WP!$E$2:$E$23,0),2))),INDEX(WP!$A$2:$F$23,MATCH(Results!$B259,WP!$E$2:$E$23,0),2)))),IF(RIGHT(IFERROR(IF(FIND("_",$B259)&gt;0,INDEX(WP!$A$2:$F$23,MATCH(LEFT($B259,FIND("_",$B259)-1),WP!$E$2:$E$23,0),2),IF(FIND("-",$B259)&gt;0,INDEX(WP!$A$2:$F$23,MATCH(LEFT($B259,FIND("_",$B259)-1),WP!$E$2:$E$23,0),2))),INDEX(WP!$A$2:$F$23,MATCH(Results!$B259,WP!$E$2:$E$23,0),2)),6)="Series",LEFT(IFERROR(IF(FIND("_",$B259)&gt;0,INDEX(WP!$A$2:$F$23,MATCH(LEFT($B259,FIND("_",$B259)-1),WP!$E$2:$E$23,0),2),IF(FIND("-",$B259)&gt;0,INDEX(WP!$A$2:$F$23,MATCH(LEFT($B259,FIND("_",$B259)-1),WP!$E$2:$E$23,0),2))),INDEX(WP!$A$2:$F$23,MATCH(Results!$B259,WP!$E$2:$E$23,0),2)),5),(IFERROR(IF(FIND("_",$B259)&gt;0,INDEX(WP!$A$2:$F$23,MATCH(LEFT($B259,FIND("_",$B259)-1),WP!$E$2:$E$23,0),2),IF(FIND("-",$B259)&gt;0,INDEX(WP!$A$2:$F$23,MATCH(LEFT($B259,FIND("_",$B259)-1),WP!$E$2:$E$23,0),2))),INDEX(WP!$A$2:$F$23,MATCH(Results!$B259,WP!$E$2:$E$23,0),2))))&amp;"-"&amp;$I259),"")</f>
        <v/>
      </c>
      <c r="G259" s="17" t="str">
        <f>IF(LEN(_xlfn.IFNA(IF(IFERROR(IF(FIND("_",$B259)&gt;0,MID($B259,FIND("_",$B259)+1,LEN($B259)),IF(FIND("-",$B259)&gt;0,MID($B259,FIND("-",$B259)+1,LEN($B259)))),"")="",IFERROR(VLOOKUP($F259,WP!$B$2:$C$23,2,0),VLOOKUP($C259,Series!$A$3:$F$11,6,0)),IFERROR(VLOOKUP($F259,WP!$B$2:$C$23,2,0),VLOOKUP($C259,Series!$A$3:$F$11,6,0))&amp;" - "&amp;(IFERROR(IF(FIND("_",$B259)&gt;0,MID($B259,FIND("_",$B259)+1,LEN($B259)),IF(FIND("-",$B259)&gt;0,MID($B259,FIND("-",$B259)+1,LEN($B259)))),""))),""))&lt;64,_xlfn.IFNA(IF(IFERROR(IF(FIND("_",$B259)&gt;0,MID($B259,FIND("_",$B259)+1,LEN($B259)),IF(FIND("-",$B259)&gt;0,MID($B259,FIND("-",$B259)+1,LEN($B259)))),"")="",IFERROR(VLOOKUP($F259,WP!$B$2:$C$23,2,0),VLOOKUP($C259,Series!$A$3:$F$11,6,0)),IFERROR(VLOOKUP($F259,WP!$B$2:$C$23,2,0),VLOOKUP($C259,Series!$A$3:$F$11,6,0))&amp;" - "&amp;(IFERROR(IF(FIND("_",$B259)&gt;0,MID($B259,FIND("_",$B259)+1,LEN($B259)),IF(FIND("-",$B259)&gt;0,MID($B259,FIND("-",$B259)+1,LEN($B259)))),""))),""),LEFT((_xlfn.IFNA(IF(IFERROR(IF(FIND("_",$B259)&gt;0,MID($B259,FIND("_",$B259)+1,LEN($B259)),IF(FIND("-",$B259)&gt;0,MID($B259,FIND("-",$B259)+1,LEN($B259)))),"")="",IFERROR(VLOOKUP($F259,WP!$B$2:$C$23,2,0),VLOOKUP($C259,Series!$A$3:$F$11,6,0)),IFERROR(VLOOKUP($F259,WP!$B$2:$C$23,2,0),VLOOKUP($C259,Series!$A$3:$F$11,6,0))&amp;" - "&amp;(IFERROR(IF(FIND("_",$B259)&gt;0,MID($B259,FIND("_",$B259)+1,LEN($B259)),IF(FIND("-",$B259)&gt;0,MID($B259,FIND("-",$B259)+1,LEN($B259)))),""))),"")),64))</f>
        <v/>
      </c>
      <c r="H259" s="12"/>
      <c r="I259" s="12" t="str">
        <f>IF($D259&lt;&gt;"",COUNTIF($D$7:$D259,"="&amp;$D259),"")</f>
        <v/>
      </c>
      <c r="J259"/>
      <c r="K259" s="8"/>
      <c r="L259"/>
    </row>
    <row r="260" spans="1:12" x14ac:dyDescent="0.3">
      <c r="A260" s="1"/>
      <c r="B260" s="26"/>
      <c r="C260" s="12" t="str">
        <f>_xlfn.IFNA(IFERROR(IF(FIND("_",$B260)&gt;0,INDEX(WP!$A$2:$F$23,MATCH(LEFT($B260,FIND("_",$B260)-1),WP!$E$2:$E$23,0),1),IF(FIND("-",$B260)&gt;0,INDEX(WP!$A$2:$F$23,MATCH(LEFT($B260,FIND("_",$B260)-1),WP!$E$2:$E$23,0),1))),INDEX(WP!$A$2:$F$23,MATCH(Results!$B260,WP!$E$2:$E$23,0),1)),"")</f>
        <v/>
      </c>
      <c r="D260" s="12" t="str">
        <f>IFERROR(IFERROR(IF(RIGHT(INDEX(WP!$A$2:$F$23,MATCH(IF(FIND("_",$B260)&gt;0,LEFT($B260,FIND("_",$B260)-1)),WP!$E$2:$E$23,0),2),6)="Series",LEFT(INDEX(WP!$A$2:$F$23,MATCH(IF(FIND("_",$B260)&gt;0,LEFT($B260,FIND("_",$B260)-1)),WP!$E$2:$E$23,0),2),5),""),IF(RIGHT(INDEX(WP!$A$2:$F$23,MATCH($B260,WP!$E$2:$E$23,0),2),6)="Series",LEFT(INDEX(WP!$A$2:$F$23,MATCH($B260,WP!$E$2:$E$23,0),2),5),"")),"")</f>
        <v/>
      </c>
      <c r="E260" s="17" t="str">
        <f>IFERROR(VLOOKUP(VALUE($D260),Series!$B$3:$F$11,2,0),"")</f>
        <v/>
      </c>
      <c r="F260" s="12" t="str">
        <f>_xlfn.IFNA(IF(IF($D260&lt;&gt;"",COUNTIF($E:$E,"="&amp;$D260),"")="",IF(RIGHT(IFERROR(IF(FIND("_",$B260)&gt;0,INDEX(WP!$A$2:$F$23,MATCH(LEFT($B260,FIND("_",$B260)-1),WP!$E$2:$E$23,0),2),IF(FIND("-",$B260)&gt;0,INDEX(WP!$A$2:$F$23,MATCH(LEFT($B260,FIND("_",$B260)-1),WP!$E$2:$E$23,0),2))),INDEX(WP!$A$2:$F$23,MATCH(Results!$B260,WP!$E$2:$E$23,0),2)),6)="Series",LEFT(IFERROR(IF(FIND("_",$B260)&gt;0,INDEX(WP!$A$2:$F$23,MATCH(LEFT($B260,FIND("_",$B260)-1),WP!$E$2:$E$23,0),2),IF(FIND("-",$B260)&gt;0,INDEX(WP!$A$2:$F$23,MATCH(LEFT($B260,FIND("_",$B260)-1),WP!$E$2:$E$23,0),2))),INDEX(WP!$A$2:$F$23,MATCH(Results!$B260,WP!$E$2:$E$23,0),2)),5),(IFERROR(IF(FIND("_",$B260)&gt;0,INDEX(WP!$A$2:$F$23,MATCH(LEFT($B260,FIND("_",$B260)-1),WP!$E$2:$E$23,0),2),IF(FIND("-",$B260)&gt;0,INDEX(WP!$A$2:$F$23,MATCH(LEFT($B260,FIND("_",$B260)-1),WP!$E$2:$E$23,0),2))),INDEX(WP!$A$2:$F$23,MATCH(Results!$B260,WP!$E$2:$E$23,0),2)))),IF(RIGHT(IFERROR(IF(FIND("_",$B260)&gt;0,INDEX(WP!$A$2:$F$23,MATCH(LEFT($B260,FIND("_",$B260)-1),WP!$E$2:$E$23,0),2),IF(FIND("-",$B260)&gt;0,INDEX(WP!$A$2:$F$23,MATCH(LEFT($B260,FIND("_",$B260)-1),WP!$E$2:$E$23,0),2))),INDEX(WP!$A$2:$F$23,MATCH(Results!$B260,WP!$E$2:$E$23,0),2)),6)="Series",LEFT(IFERROR(IF(FIND("_",$B260)&gt;0,INDEX(WP!$A$2:$F$23,MATCH(LEFT($B260,FIND("_",$B260)-1),WP!$E$2:$E$23,0),2),IF(FIND("-",$B260)&gt;0,INDEX(WP!$A$2:$F$23,MATCH(LEFT($B260,FIND("_",$B260)-1),WP!$E$2:$E$23,0),2))),INDEX(WP!$A$2:$F$23,MATCH(Results!$B260,WP!$E$2:$E$23,0),2)),5),(IFERROR(IF(FIND("_",$B260)&gt;0,INDEX(WP!$A$2:$F$23,MATCH(LEFT($B260,FIND("_",$B260)-1),WP!$E$2:$E$23,0),2),IF(FIND("-",$B260)&gt;0,INDEX(WP!$A$2:$F$23,MATCH(LEFT($B260,FIND("_",$B260)-1),WP!$E$2:$E$23,0),2))),INDEX(WP!$A$2:$F$23,MATCH(Results!$B260,WP!$E$2:$E$23,0),2))))&amp;"-"&amp;$I260),"")</f>
        <v/>
      </c>
      <c r="G260" s="17" t="str">
        <f>IF(LEN(_xlfn.IFNA(IF(IFERROR(IF(FIND("_",$B260)&gt;0,MID($B260,FIND("_",$B260)+1,LEN($B260)),IF(FIND("-",$B260)&gt;0,MID($B260,FIND("-",$B260)+1,LEN($B260)))),"")="",IFERROR(VLOOKUP($F260,WP!$B$2:$C$23,2,0),VLOOKUP($C260,Series!$A$3:$F$11,6,0)),IFERROR(VLOOKUP($F260,WP!$B$2:$C$23,2,0),VLOOKUP($C260,Series!$A$3:$F$11,6,0))&amp;" - "&amp;(IFERROR(IF(FIND("_",$B260)&gt;0,MID($B260,FIND("_",$B260)+1,LEN($B260)),IF(FIND("-",$B260)&gt;0,MID($B260,FIND("-",$B260)+1,LEN($B260)))),""))),""))&lt;64,_xlfn.IFNA(IF(IFERROR(IF(FIND("_",$B260)&gt;0,MID($B260,FIND("_",$B260)+1,LEN($B260)),IF(FIND("-",$B260)&gt;0,MID($B260,FIND("-",$B260)+1,LEN($B260)))),"")="",IFERROR(VLOOKUP($F260,WP!$B$2:$C$23,2,0),VLOOKUP($C260,Series!$A$3:$F$11,6,0)),IFERROR(VLOOKUP($F260,WP!$B$2:$C$23,2,0),VLOOKUP($C260,Series!$A$3:$F$11,6,0))&amp;" - "&amp;(IFERROR(IF(FIND("_",$B260)&gt;0,MID($B260,FIND("_",$B260)+1,LEN($B260)),IF(FIND("-",$B260)&gt;0,MID($B260,FIND("-",$B260)+1,LEN($B260)))),""))),""),LEFT((_xlfn.IFNA(IF(IFERROR(IF(FIND("_",$B260)&gt;0,MID($B260,FIND("_",$B260)+1,LEN($B260)),IF(FIND("-",$B260)&gt;0,MID($B260,FIND("-",$B260)+1,LEN($B260)))),"")="",IFERROR(VLOOKUP($F260,WP!$B$2:$C$23,2,0),VLOOKUP($C260,Series!$A$3:$F$11,6,0)),IFERROR(VLOOKUP($F260,WP!$B$2:$C$23,2,0),VLOOKUP($C260,Series!$A$3:$F$11,6,0))&amp;" - "&amp;(IFERROR(IF(FIND("_",$B260)&gt;0,MID($B260,FIND("_",$B260)+1,LEN($B260)),IF(FIND("-",$B260)&gt;0,MID($B260,FIND("-",$B260)+1,LEN($B260)))),""))),"")),64))</f>
        <v/>
      </c>
      <c r="H260" s="12"/>
      <c r="I260" s="12" t="str">
        <f>IF($D260&lt;&gt;"",COUNTIF($D$7:$D260,"="&amp;$D260),"")</f>
        <v/>
      </c>
      <c r="J260"/>
      <c r="K260" s="8"/>
      <c r="L260"/>
    </row>
    <row r="261" spans="1:12" x14ac:dyDescent="0.3">
      <c r="A261" s="1"/>
      <c r="B261" s="26"/>
      <c r="C261" s="12" t="str">
        <f>_xlfn.IFNA(IFERROR(IF(FIND("_",$B261)&gt;0,INDEX(WP!$A$2:$F$23,MATCH(LEFT($B261,FIND("_",$B261)-1),WP!$E$2:$E$23,0),1),IF(FIND("-",$B261)&gt;0,INDEX(WP!$A$2:$F$23,MATCH(LEFT($B261,FIND("_",$B261)-1),WP!$E$2:$E$23,0),1))),INDEX(WP!$A$2:$F$23,MATCH(Results!$B261,WP!$E$2:$E$23,0),1)),"")</f>
        <v/>
      </c>
      <c r="D261" s="12" t="str">
        <f>IFERROR(IFERROR(IF(RIGHT(INDEX(WP!$A$2:$F$23,MATCH(IF(FIND("_",$B261)&gt;0,LEFT($B261,FIND("_",$B261)-1)),WP!$E$2:$E$23,0),2),6)="Series",LEFT(INDEX(WP!$A$2:$F$23,MATCH(IF(FIND("_",$B261)&gt;0,LEFT($B261,FIND("_",$B261)-1)),WP!$E$2:$E$23,0),2),5),""),IF(RIGHT(INDEX(WP!$A$2:$F$23,MATCH($B261,WP!$E$2:$E$23,0),2),6)="Series",LEFT(INDEX(WP!$A$2:$F$23,MATCH($B261,WP!$E$2:$E$23,0),2),5),"")),"")</f>
        <v/>
      </c>
      <c r="E261" s="17" t="str">
        <f>IFERROR(VLOOKUP(VALUE($D261),Series!$B$3:$F$11,2,0),"")</f>
        <v/>
      </c>
      <c r="F261" s="12" t="str">
        <f>_xlfn.IFNA(IF(IF($D261&lt;&gt;"",COUNTIF($E:$E,"="&amp;$D261),"")="",IF(RIGHT(IFERROR(IF(FIND("_",$B261)&gt;0,INDEX(WP!$A$2:$F$23,MATCH(LEFT($B261,FIND("_",$B261)-1),WP!$E$2:$E$23,0),2),IF(FIND("-",$B261)&gt;0,INDEX(WP!$A$2:$F$23,MATCH(LEFT($B261,FIND("_",$B261)-1),WP!$E$2:$E$23,0),2))),INDEX(WP!$A$2:$F$23,MATCH(Results!$B261,WP!$E$2:$E$23,0),2)),6)="Series",LEFT(IFERROR(IF(FIND("_",$B261)&gt;0,INDEX(WP!$A$2:$F$23,MATCH(LEFT($B261,FIND("_",$B261)-1),WP!$E$2:$E$23,0),2),IF(FIND("-",$B261)&gt;0,INDEX(WP!$A$2:$F$23,MATCH(LEFT($B261,FIND("_",$B261)-1),WP!$E$2:$E$23,0),2))),INDEX(WP!$A$2:$F$23,MATCH(Results!$B261,WP!$E$2:$E$23,0),2)),5),(IFERROR(IF(FIND("_",$B261)&gt;0,INDEX(WP!$A$2:$F$23,MATCH(LEFT($B261,FIND("_",$B261)-1),WP!$E$2:$E$23,0),2),IF(FIND("-",$B261)&gt;0,INDEX(WP!$A$2:$F$23,MATCH(LEFT($B261,FIND("_",$B261)-1),WP!$E$2:$E$23,0),2))),INDEX(WP!$A$2:$F$23,MATCH(Results!$B261,WP!$E$2:$E$23,0),2)))),IF(RIGHT(IFERROR(IF(FIND("_",$B261)&gt;0,INDEX(WP!$A$2:$F$23,MATCH(LEFT($B261,FIND("_",$B261)-1),WP!$E$2:$E$23,0),2),IF(FIND("-",$B261)&gt;0,INDEX(WP!$A$2:$F$23,MATCH(LEFT($B261,FIND("_",$B261)-1),WP!$E$2:$E$23,0),2))),INDEX(WP!$A$2:$F$23,MATCH(Results!$B261,WP!$E$2:$E$23,0),2)),6)="Series",LEFT(IFERROR(IF(FIND("_",$B261)&gt;0,INDEX(WP!$A$2:$F$23,MATCH(LEFT($B261,FIND("_",$B261)-1),WP!$E$2:$E$23,0),2),IF(FIND("-",$B261)&gt;0,INDEX(WP!$A$2:$F$23,MATCH(LEFT($B261,FIND("_",$B261)-1),WP!$E$2:$E$23,0),2))),INDEX(WP!$A$2:$F$23,MATCH(Results!$B261,WP!$E$2:$E$23,0),2)),5),(IFERROR(IF(FIND("_",$B261)&gt;0,INDEX(WP!$A$2:$F$23,MATCH(LEFT($B261,FIND("_",$B261)-1),WP!$E$2:$E$23,0),2),IF(FIND("-",$B261)&gt;0,INDEX(WP!$A$2:$F$23,MATCH(LEFT($B261,FIND("_",$B261)-1),WP!$E$2:$E$23,0),2))),INDEX(WP!$A$2:$F$23,MATCH(Results!$B261,WP!$E$2:$E$23,0),2))))&amp;"-"&amp;$I261),"")</f>
        <v/>
      </c>
      <c r="G261" s="17" t="str">
        <f>IF(LEN(_xlfn.IFNA(IF(IFERROR(IF(FIND("_",$B261)&gt;0,MID($B261,FIND("_",$B261)+1,LEN($B261)),IF(FIND("-",$B261)&gt;0,MID($B261,FIND("-",$B261)+1,LEN($B261)))),"")="",IFERROR(VLOOKUP($F261,WP!$B$2:$C$23,2,0),VLOOKUP($C261,Series!$A$3:$F$11,6,0)),IFERROR(VLOOKUP($F261,WP!$B$2:$C$23,2,0),VLOOKUP($C261,Series!$A$3:$F$11,6,0))&amp;" - "&amp;(IFERROR(IF(FIND("_",$B261)&gt;0,MID($B261,FIND("_",$B261)+1,LEN($B261)),IF(FIND("-",$B261)&gt;0,MID($B261,FIND("-",$B261)+1,LEN($B261)))),""))),""))&lt;64,_xlfn.IFNA(IF(IFERROR(IF(FIND("_",$B261)&gt;0,MID($B261,FIND("_",$B261)+1,LEN($B261)),IF(FIND("-",$B261)&gt;0,MID($B261,FIND("-",$B261)+1,LEN($B261)))),"")="",IFERROR(VLOOKUP($F261,WP!$B$2:$C$23,2,0),VLOOKUP($C261,Series!$A$3:$F$11,6,0)),IFERROR(VLOOKUP($F261,WP!$B$2:$C$23,2,0),VLOOKUP($C261,Series!$A$3:$F$11,6,0))&amp;" - "&amp;(IFERROR(IF(FIND("_",$B261)&gt;0,MID($B261,FIND("_",$B261)+1,LEN($B261)),IF(FIND("-",$B261)&gt;0,MID($B261,FIND("-",$B261)+1,LEN($B261)))),""))),""),LEFT((_xlfn.IFNA(IF(IFERROR(IF(FIND("_",$B261)&gt;0,MID($B261,FIND("_",$B261)+1,LEN($B261)),IF(FIND("-",$B261)&gt;0,MID($B261,FIND("-",$B261)+1,LEN($B261)))),"")="",IFERROR(VLOOKUP($F261,WP!$B$2:$C$23,2,0),VLOOKUP($C261,Series!$A$3:$F$11,6,0)),IFERROR(VLOOKUP($F261,WP!$B$2:$C$23,2,0),VLOOKUP($C261,Series!$A$3:$F$11,6,0))&amp;" - "&amp;(IFERROR(IF(FIND("_",$B261)&gt;0,MID($B261,FIND("_",$B261)+1,LEN($B261)),IF(FIND("-",$B261)&gt;0,MID($B261,FIND("-",$B261)+1,LEN($B261)))),""))),"")),64))</f>
        <v/>
      </c>
      <c r="H261" s="12"/>
      <c r="I261" s="12" t="str">
        <f>IF($D261&lt;&gt;"",COUNTIF($D$7:$D261,"="&amp;$D261),"")</f>
        <v/>
      </c>
      <c r="J261"/>
      <c r="K261" s="8"/>
      <c r="L261"/>
    </row>
    <row r="262" spans="1:12" x14ac:dyDescent="0.3">
      <c r="A262" s="1"/>
      <c r="B262" s="26"/>
      <c r="C262" s="12" t="str">
        <f>_xlfn.IFNA(IFERROR(IF(FIND("_",$B262)&gt;0,INDEX(WP!$A$2:$F$23,MATCH(LEFT($B262,FIND("_",$B262)-1),WP!$E$2:$E$23,0),1),IF(FIND("-",$B262)&gt;0,INDEX(WP!$A$2:$F$23,MATCH(LEFT($B262,FIND("_",$B262)-1),WP!$E$2:$E$23,0),1))),INDEX(WP!$A$2:$F$23,MATCH(Results!$B262,WP!$E$2:$E$23,0),1)),"")</f>
        <v/>
      </c>
      <c r="D262" s="12" t="str">
        <f>IFERROR(IFERROR(IF(RIGHT(INDEX(WP!$A$2:$F$23,MATCH(IF(FIND("_",$B262)&gt;0,LEFT($B262,FIND("_",$B262)-1)),WP!$E$2:$E$23,0),2),6)="Series",LEFT(INDEX(WP!$A$2:$F$23,MATCH(IF(FIND("_",$B262)&gt;0,LEFT($B262,FIND("_",$B262)-1)),WP!$E$2:$E$23,0),2),5),""),IF(RIGHT(INDEX(WP!$A$2:$F$23,MATCH($B262,WP!$E$2:$E$23,0),2),6)="Series",LEFT(INDEX(WP!$A$2:$F$23,MATCH($B262,WP!$E$2:$E$23,0),2),5),"")),"")</f>
        <v/>
      </c>
      <c r="E262" s="17" t="str">
        <f>IFERROR(VLOOKUP(VALUE($D262),Series!$B$3:$F$11,2,0),"")</f>
        <v/>
      </c>
      <c r="F262" s="12" t="str">
        <f>_xlfn.IFNA(IF(IF($D262&lt;&gt;"",COUNTIF($E:$E,"="&amp;$D262),"")="",IF(RIGHT(IFERROR(IF(FIND("_",$B262)&gt;0,INDEX(WP!$A$2:$F$23,MATCH(LEFT($B262,FIND("_",$B262)-1),WP!$E$2:$E$23,0),2),IF(FIND("-",$B262)&gt;0,INDEX(WP!$A$2:$F$23,MATCH(LEFT($B262,FIND("_",$B262)-1),WP!$E$2:$E$23,0),2))),INDEX(WP!$A$2:$F$23,MATCH(Results!$B262,WP!$E$2:$E$23,0),2)),6)="Series",LEFT(IFERROR(IF(FIND("_",$B262)&gt;0,INDEX(WP!$A$2:$F$23,MATCH(LEFT($B262,FIND("_",$B262)-1),WP!$E$2:$E$23,0),2),IF(FIND("-",$B262)&gt;0,INDEX(WP!$A$2:$F$23,MATCH(LEFT($B262,FIND("_",$B262)-1),WP!$E$2:$E$23,0),2))),INDEX(WP!$A$2:$F$23,MATCH(Results!$B262,WP!$E$2:$E$23,0),2)),5),(IFERROR(IF(FIND("_",$B262)&gt;0,INDEX(WP!$A$2:$F$23,MATCH(LEFT($B262,FIND("_",$B262)-1),WP!$E$2:$E$23,0),2),IF(FIND("-",$B262)&gt;0,INDEX(WP!$A$2:$F$23,MATCH(LEFT($B262,FIND("_",$B262)-1),WP!$E$2:$E$23,0),2))),INDEX(WP!$A$2:$F$23,MATCH(Results!$B262,WP!$E$2:$E$23,0),2)))),IF(RIGHT(IFERROR(IF(FIND("_",$B262)&gt;0,INDEX(WP!$A$2:$F$23,MATCH(LEFT($B262,FIND("_",$B262)-1),WP!$E$2:$E$23,0),2),IF(FIND("-",$B262)&gt;0,INDEX(WP!$A$2:$F$23,MATCH(LEFT($B262,FIND("_",$B262)-1),WP!$E$2:$E$23,0),2))),INDEX(WP!$A$2:$F$23,MATCH(Results!$B262,WP!$E$2:$E$23,0),2)),6)="Series",LEFT(IFERROR(IF(FIND("_",$B262)&gt;0,INDEX(WP!$A$2:$F$23,MATCH(LEFT($B262,FIND("_",$B262)-1),WP!$E$2:$E$23,0),2),IF(FIND("-",$B262)&gt;0,INDEX(WP!$A$2:$F$23,MATCH(LEFT($B262,FIND("_",$B262)-1),WP!$E$2:$E$23,0),2))),INDEX(WP!$A$2:$F$23,MATCH(Results!$B262,WP!$E$2:$E$23,0),2)),5),(IFERROR(IF(FIND("_",$B262)&gt;0,INDEX(WP!$A$2:$F$23,MATCH(LEFT($B262,FIND("_",$B262)-1),WP!$E$2:$E$23,0),2),IF(FIND("-",$B262)&gt;0,INDEX(WP!$A$2:$F$23,MATCH(LEFT($B262,FIND("_",$B262)-1),WP!$E$2:$E$23,0),2))),INDEX(WP!$A$2:$F$23,MATCH(Results!$B262,WP!$E$2:$E$23,0),2))))&amp;"-"&amp;$I262),"")</f>
        <v/>
      </c>
      <c r="G262" s="17" t="str">
        <f>IF(LEN(_xlfn.IFNA(IF(IFERROR(IF(FIND("_",$B262)&gt;0,MID($B262,FIND("_",$B262)+1,LEN($B262)),IF(FIND("-",$B262)&gt;0,MID($B262,FIND("-",$B262)+1,LEN($B262)))),"")="",IFERROR(VLOOKUP($F262,WP!$B$2:$C$23,2,0),VLOOKUP($C262,Series!$A$3:$F$11,6,0)),IFERROR(VLOOKUP($F262,WP!$B$2:$C$23,2,0),VLOOKUP($C262,Series!$A$3:$F$11,6,0))&amp;" - "&amp;(IFERROR(IF(FIND("_",$B262)&gt;0,MID($B262,FIND("_",$B262)+1,LEN($B262)),IF(FIND("-",$B262)&gt;0,MID($B262,FIND("-",$B262)+1,LEN($B262)))),""))),""))&lt;64,_xlfn.IFNA(IF(IFERROR(IF(FIND("_",$B262)&gt;0,MID($B262,FIND("_",$B262)+1,LEN($B262)),IF(FIND("-",$B262)&gt;0,MID($B262,FIND("-",$B262)+1,LEN($B262)))),"")="",IFERROR(VLOOKUP($F262,WP!$B$2:$C$23,2,0),VLOOKUP($C262,Series!$A$3:$F$11,6,0)),IFERROR(VLOOKUP($F262,WP!$B$2:$C$23,2,0),VLOOKUP($C262,Series!$A$3:$F$11,6,0))&amp;" - "&amp;(IFERROR(IF(FIND("_",$B262)&gt;0,MID($B262,FIND("_",$B262)+1,LEN($B262)),IF(FIND("-",$B262)&gt;0,MID($B262,FIND("-",$B262)+1,LEN($B262)))),""))),""),LEFT((_xlfn.IFNA(IF(IFERROR(IF(FIND("_",$B262)&gt;0,MID($B262,FIND("_",$B262)+1,LEN($B262)),IF(FIND("-",$B262)&gt;0,MID($B262,FIND("-",$B262)+1,LEN($B262)))),"")="",IFERROR(VLOOKUP($F262,WP!$B$2:$C$23,2,0),VLOOKUP($C262,Series!$A$3:$F$11,6,0)),IFERROR(VLOOKUP($F262,WP!$B$2:$C$23,2,0),VLOOKUP($C262,Series!$A$3:$F$11,6,0))&amp;" - "&amp;(IFERROR(IF(FIND("_",$B262)&gt;0,MID($B262,FIND("_",$B262)+1,LEN($B262)),IF(FIND("-",$B262)&gt;0,MID($B262,FIND("-",$B262)+1,LEN($B262)))),""))),"")),64))</f>
        <v/>
      </c>
      <c r="H262" s="12"/>
      <c r="I262" s="12" t="str">
        <f>IF($D262&lt;&gt;"",COUNTIF($D$7:$D262,"="&amp;$D262),"")</f>
        <v/>
      </c>
      <c r="J262"/>
      <c r="K262" s="8"/>
      <c r="L262"/>
    </row>
    <row r="263" spans="1:12" x14ac:dyDescent="0.3">
      <c r="A263" s="1"/>
      <c r="B263" s="26"/>
      <c r="C263" s="12" t="str">
        <f>_xlfn.IFNA(IFERROR(IF(FIND("_",$B263)&gt;0,INDEX(WP!$A$2:$F$23,MATCH(LEFT($B263,FIND("_",$B263)-1),WP!$E$2:$E$23,0),1),IF(FIND("-",$B263)&gt;0,INDEX(WP!$A$2:$F$23,MATCH(LEFT($B263,FIND("_",$B263)-1),WP!$E$2:$E$23,0),1))),INDEX(WP!$A$2:$F$23,MATCH(Results!$B263,WP!$E$2:$E$23,0),1)),"")</f>
        <v/>
      </c>
      <c r="D263" s="12" t="str">
        <f>IFERROR(IFERROR(IF(RIGHT(INDEX(WP!$A$2:$F$23,MATCH(IF(FIND("_",$B263)&gt;0,LEFT($B263,FIND("_",$B263)-1)),WP!$E$2:$E$23,0),2),6)="Series",LEFT(INDEX(WP!$A$2:$F$23,MATCH(IF(FIND("_",$B263)&gt;0,LEFT($B263,FIND("_",$B263)-1)),WP!$E$2:$E$23,0),2),5),""),IF(RIGHT(INDEX(WP!$A$2:$F$23,MATCH($B263,WP!$E$2:$E$23,0),2),6)="Series",LEFT(INDEX(WP!$A$2:$F$23,MATCH($B263,WP!$E$2:$E$23,0),2),5),"")),"")</f>
        <v/>
      </c>
      <c r="E263" s="17" t="str">
        <f>IFERROR(VLOOKUP(VALUE($D263),Series!$B$3:$F$11,2,0),"")</f>
        <v/>
      </c>
      <c r="F263" s="12" t="str">
        <f>_xlfn.IFNA(IF(IF($D263&lt;&gt;"",COUNTIF($E:$E,"="&amp;$D263),"")="",IF(RIGHT(IFERROR(IF(FIND("_",$B263)&gt;0,INDEX(WP!$A$2:$F$23,MATCH(LEFT($B263,FIND("_",$B263)-1),WP!$E$2:$E$23,0),2),IF(FIND("-",$B263)&gt;0,INDEX(WP!$A$2:$F$23,MATCH(LEFT($B263,FIND("_",$B263)-1),WP!$E$2:$E$23,0),2))),INDEX(WP!$A$2:$F$23,MATCH(Results!$B263,WP!$E$2:$E$23,0),2)),6)="Series",LEFT(IFERROR(IF(FIND("_",$B263)&gt;0,INDEX(WP!$A$2:$F$23,MATCH(LEFT($B263,FIND("_",$B263)-1),WP!$E$2:$E$23,0),2),IF(FIND("-",$B263)&gt;0,INDEX(WP!$A$2:$F$23,MATCH(LEFT($B263,FIND("_",$B263)-1),WP!$E$2:$E$23,0),2))),INDEX(WP!$A$2:$F$23,MATCH(Results!$B263,WP!$E$2:$E$23,0),2)),5),(IFERROR(IF(FIND("_",$B263)&gt;0,INDEX(WP!$A$2:$F$23,MATCH(LEFT($B263,FIND("_",$B263)-1),WP!$E$2:$E$23,0),2),IF(FIND("-",$B263)&gt;0,INDEX(WP!$A$2:$F$23,MATCH(LEFT($B263,FIND("_",$B263)-1),WP!$E$2:$E$23,0),2))),INDEX(WP!$A$2:$F$23,MATCH(Results!$B263,WP!$E$2:$E$23,0),2)))),IF(RIGHT(IFERROR(IF(FIND("_",$B263)&gt;0,INDEX(WP!$A$2:$F$23,MATCH(LEFT($B263,FIND("_",$B263)-1),WP!$E$2:$E$23,0),2),IF(FIND("-",$B263)&gt;0,INDEX(WP!$A$2:$F$23,MATCH(LEFT($B263,FIND("_",$B263)-1),WP!$E$2:$E$23,0),2))),INDEX(WP!$A$2:$F$23,MATCH(Results!$B263,WP!$E$2:$E$23,0),2)),6)="Series",LEFT(IFERROR(IF(FIND("_",$B263)&gt;0,INDEX(WP!$A$2:$F$23,MATCH(LEFT($B263,FIND("_",$B263)-1),WP!$E$2:$E$23,0),2),IF(FIND("-",$B263)&gt;0,INDEX(WP!$A$2:$F$23,MATCH(LEFT($B263,FIND("_",$B263)-1),WP!$E$2:$E$23,0),2))),INDEX(WP!$A$2:$F$23,MATCH(Results!$B263,WP!$E$2:$E$23,0),2)),5),(IFERROR(IF(FIND("_",$B263)&gt;0,INDEX(WP!$A$2:$F$23,MATCH(LEFT($B263,FIND("_",$B263)-1),WP!$E$2:$E$23,0),2),IF(FIND("-",$B263)&gt;0,INDEX(WP!$A$2:$F$23,MATCH(LEFT($B263,FIND("_",$B263)-1),WP!$E$2:$E$23,0),2))),INDEX(WP!$A$2:$F$23,MATCH(Results!$B263,WP!$E$2:$E$23,0),2))))&amp;"-"&amp;$I263),"")</f>
        <v/>
      </c>
      <c r="G263" s="17" t="str">
        <f>IF(LEN(_xlfn.IFNA(IF(IFERROR(IF(FIND("_",$B263)&gt;0,MID($B263,FIND("_",$B263)+1,LEN($B263)),IF(FIND("-",$B263)&gt;0,MID($B263,FIND("-",$B263)+1,LEN($B263)))),"")="",IFERROR(VLOOKUP($F263,WP!$B$2:$C$23,2,0),VLOOKUP($C263,Series!$A$3:$F$11,6,0)),IFERROR(VLOOKUP($F263,WP!$B$2:$C$23,2,0),VLOOKUP($C263,Series!$A$3:$F$11,6,0))&amp;" - "&amp;(IFERROR(IF(FIND("_",$B263)&gt;0,MID($B263,FIND("_",$B263)+1,LEN($B263)),IF(FIND("-",$B263)&gt;0,MID($B263,FIND("-",$B263)+1,LEN($B263)))),""))),""))&lt;64,_xlfn.IFNA(IF(IFERROR(IF(FIND("_",$B263)&gt;0,MID($B263,FIND("_",$B263)+1,LEN($B263)),IF(FIND("-",$B263)&gt;0,MID($B263,FIND("-",$B263)+1,LEN($B263)))),"")="",IFERROR(VLOOKUP($F263,WP!$B$2:$C$23,2,0),VLOOKUP($C263,Series!$A$3:$F$11,6,0)),IFERROR(VLOOKUP($F263,WP!$B$2:$C$23,2,0),VLOOKUP($C263,Series!$A$3:$F$11,6,0))&amp;" - "&amp;(IFERROR(IF(FIND("_",$B263)&gt;0,MID($B263,FIND("_",$B263)+1,LEN($B263)),IF(FIND("-",$B263)&gt;0,MID($B263,FIND("-",$B263)+1,LEN($B263)))),""))),""),LEFT((_xlfn.IFNA(IF(IFERROR(IF(FIND("_",$B263)&gt;0,MID($B263,FIND("_",$B263)+1,LEN($B263)),IF(FIND("-",$B263)&gt;0,MID($B263,FIND("-",$B263)+1,LEN($B263)))),"")="",IFERROR(VLOOKUP($F263,WP!$B$2:$C$23,2,0),VLOOKUP($C263,Series!$A$3:$F$11,6,0)),IFERROR(VLOOKUP($F263,WP!$B$2:$C$23,2,0),VLOOKUP($C263,Series!$A$3:$F$11,6,0))&amp;" - "&amp;(IFERROR(IF(FIND("_",$B263)&gt;0,MID($B263,FIND("_",$B263)+1,LEN($B263)),IF(FIND("-",$B263)&gt;0,MID($B263,FIND("-",$B263)+1,LEN($B263)))),""))),"")),64))</f>
        <v/>
      </c>
      <c r="H263" s="12"/>
      <c r="I263" s="12" t="str">
        <f>IF($D263&lt;&gt;"",COUNTIF($D$7:$D263,"="&amp;$D263),"")</f>
        <v/>
      </c>
      <c r="J263"/>
      <c r="K263" s="8"/>
      <c r="L263"/>
    </row>
    <row r="264" spans="1:12" x14ac:dyDescent="0.3">
      <c r="A264" s="1"/>
      <c r="B264" s="26"/>
      <c r="C264" s="12" t="str">
        <f>_xlfn.IFNA(IFERROR(IF(FIND("_",$B264)&gt;0,INDEX(WP!$A$2:$F$23,MATCH(LEFT($B264,FIND("_",$B264)-1),WP!$E$2:$E$23,0),1),IF(FIND("-",$B264)&gt;0,INDEX(WP!$A$2:$F$23,MATCH(LEFT($B264,FIND("_",$B264)-1),WP!$E$2:$E$23,0),1))),INDEX(WP!$A$2:$F$23,MATCH(Results!$B264,WP!$E$2:$E$23,0),1)),"")</f>
        <v/>
      </c>
      <c r="D264" s="12" t="str">
        <f>IFERROR(IFERROR(IF(RIGHT(INDEX(WP!$A$2:$F$23,MATCH(IF(FIND("_",$B264)&gt;0,LEFT($B264,FIND("_",$B264)-1)),WP!$E$2:$E$23,0),2),6)="Series",LEFT(INDEX(WP!$A$2:$F$23,MATCH(IF(FIND("_",$B264)&gt;0,LEFT($B264,FIND("_",$B264)-1)),WP!$E$2:$E$23,0),2),5),""),IF(RIGHT(INDEX(WP!$A$2:$F$23,MATCH($B264,WP!$E$2:$E$23,0),2),6)="Series",LEFT(INDEX(WP!$A$2:$F$23,MATCH($B264,WP!$E$2:$E$23,0),2),5),"")),"")</f>
        <v/>
      </c>
      <c r="E264" s="17" t="str">
        <f>IFERROR(VLOOKUP(VALUE($D264),Series!$B$3:$F$11,2,0),"")</f>
        <v/>
      </c>
      <c r="F264" s="12" t="str">
        <f>_xlfn.IFNA(IF(IF($D264&lt;&gt;"",COUNTIF($E:$E,"="&amp;$D264),"")="",IF(RIGHT(IFERROR(IF(FIND("_",$B264)&gt;0,INDEX(WP!$A$2:$F$23,MATCH(LEFT($B264,FIND("_",$B264)-1),WP!$E$2:$E$23,0),2),IF(FIND("-",$B264)&gt;0,INDEX(WP!$A$2:$F$23,MATCH(LEFT($B264,FIND("_",$B264)-1),WP!$E$2:$E$23,0),2))),INDEX(WP!$A$2:$F$23,MATCH(Results!$B264,WP!$E$2:$E$23,0),2)),6)="Series",LEFT(IFERROR(IF(FIND("_",$B264)&gt;0,INDEX(WP!$A$2:$F$23,MATCH(LEFT($B264,FIND("_",$B264)-1),WP!$E$2:$E$23,0),2),IF(FIND("-",$B264)&gt;0,INDEX(WP!$A$2:$F$23,MATCH(LEFT($B264,FIND("_",$B264)-1),WP!$E$2:$E$23,0),2))),INDEX(WP!$A$2:$F$23,MATCH(Results!$B264,WP!$E$2:$E$23,0),2)),5),(IFERROR(IF(FIND("_",$B264)&gt;0,INDEX(WP!$A$2:$F$23,MATCH(LEFT($B264,FIND("_",$B264)-1),WP!$E$2:$E$23,0),2),IF(FIND("-",$B264)&gt;0,INDEX(WP!$A$2:$F$23,MATCH(LEFT($B264,FIND("_",$B264)-1),WP!$E$2:$E$23,0),2))),INDEX(WP!$A$2:$F$23,MATCH(Results!$B264,WP!$E$2:$E$23,0),2)))),IF(RIGHT(IFERROR(IF(FIND("_",$B264)&gt;0,INDEX(WP!$A$2:$F$23,MATCH(LEFT($B264,FIND("_",$B264)-1),WP!$E$2:$E$23,0),2),IF(FIND("-",$B264)&gt;0,INDEX(WP!$A$2:$F$23,MATCH(LEFT($B264,FIND("_",$B264)-1),WP!$E$2:$E$23,0),2))),INDEX(WP!$A$2:$F$23,MATCH(Results!$B264,WP!$E$2:$E$23,0),2)),6)="Series",LEFT(IFERROR(IF(FIND("_",$B264)&gt;0,INDEX(WP!$A$2:$F$23,MATCH(LEFT($B264,FIND("_",$B264)-1),WP!$E$2:$E$23,0),2),IF(FIND("-",$B264)&gt;0,INDEX(WP!$A$2:$F$23,MATCH(LEFT($B264,FIND("_",$B264)-1),WP!$E$2:$E$23,0),2))),INDEX(WP!$A$2:$F$23,MATCH(Results!$B264,WP!$E$2:$E$23,0),2)),5),(IFERROR(IF(FIND("_",$B264)&gt;0,INDEX(WP!$A$2:$F$23,MATCH(LEFT($B264,FIND("_",$B264)-1),WP!$E$2:$E$23,0),2),IF(FIND("-",$B264)&gt;0,INDEX(WP!$A$2:$F$23,MATCH(LEFT($B264,FIND("_",$B264)-1),WP!$E$2:$E$23,0),2))),INDEX(WP!$A$2:$F$23,MATCH(Results!$B264,WP!$E$2:$E$23,0),2))))&amp;"-"&amp;$I264),"")</f>
        <v/>
      </c>
      <c r="G264" s="17" t="str">
        <f>IF(LEN(_xlfn.IFNA(IF(IFERROR(IF(FIND("_",$B264)&gt;0,MID($B264,FIND("_",$B264)+1,LEN($B264)),IF(FIND("-",$B264)&gt;0,MID($B264,FIND("-",$B264)+1,LEN($B264)))),"")="",IFERROR(VLOOKUP($F264,WP!$B$2:$C$23,2,0),VLOOKUP($C264,Series!$A$3:$F$11,6,0)),IFERROR(VLOOKUP($F264,WP!$B$2:$C$23,2,0),VLOOKUP($C264,Series!$A$3:$F$11,6,0))&amp;" - "&amp;(IFERROR(IF(FIND("_",$B264)&gt;0,MID($B264,FIND("_",$B264)+1,LEN($B264)),IF(FIND("-",$B264)&gt;0,MID($B264,FIND("-",$B264)+1,LEN($B264)))),""))),""))&lt;64,_xlfn.IFNA(IF(IFERROR(IF(FIND("_",$B264)&gt;0,MID($B264,FIND("_",$B264)+1,LEN($B264)),IF(FIND("-",$B264)&gt;0,MID($B264,FIND("-",$B264)+1,LEN($B264)))),"")="",IFERROR(VLOOKUP($F264,WP!$B$2:$C$23,2,0),VLOOKUP($C264,Series!$A$3:$F$11,6,0)),IFERROR(VLOOKUP($F264,WP!$B$2:$C$23,2,0),VLOOKUP($C264,Series!$A$3:$F$11,6,0))&amp;" - "&amp;(IFERROR(IF(FIND("_",$B264)&gt;0,MID($B264,FIND("_",$B264)+1,LEN($B264)),IF(FIND("-",$B264)&gt;0,MID($B264,FIND("-",$B264)+1,LEN($B264)))),""))),""),LEFT((_xlfn.IFNA(IF(IFERROR(IF(FIND("_",$B264)&gt;0,MID($B264,FIND("_",$B264)+1,LEN($B264)),IF(FIND("-",$B264)&gt;0,MID($B264,FIND("-",$B264)+1,LEN($B264)))),"")="",IFERROR(VLOOKUP($F264,WP!$B$2:$C$23,2,0),VLOOKUP($C264,Series!$A$3:$F$11,6,0)),IFERROR(VLOOKUP($F264,WP!$B$2:$C$23,2,0),VLOOKUP($C264,Series!$A$3:$F$11,6,0))&amp;" - "&amp;(IFERROR(IF(FIND("_",$B264)&gt;0,MID($B264,FIND("_",$B264)+1,LEN($B264)),IF(FIND("-",$B264)&gt;0,MID($B264,FIND("-",$B264)+1,LEN($B264)))),""))),"")),64))</f>
        <v/>
      </c>
      <c r="H264" s="12"/>
      <c r="I264" s="12" t="str">
        <f>IF($D264&lt;&gt;"",COUNTIF($D$7:$D264,"="&amp;$D264),"")</f>
        <v/>
      </c>
      <c r="J264"/>
      <c r="K264" s="8"/>
      <c r="L264"/>
    </row>
    <row r="265" spans="1:12" x14ac:dyDescent="0.3">
      <c r="A265" s="1"/>
      <c r="B265" s="26"/>
      <c r="C265" s="12" t="str">
        <f>_xlfn.IFNA(IFERROR(IF(FIND("_",$B265)&gt;0,INDEX(WP!$A$2:$F$23,MATCH(LEFT($B265,FIND("_",$B265)-1),WP!$E$2:$E$23,0),1),IF(FIND("-",$B265)&gt;0,INDEX(WP!$A$2:$F$23,MATCH(LEFT($B265,FIND("_",$B265)-1),WP!$E$2:$E$23,0),1))),INDEX(WP!$A$2:$F$23,MATCH(Results!$B265,WP!$E$2:$E$23,0),1)),"")</f>
        <v/>
      </c>
      <c r="D265" s="12" t="str">
        <f>IFERROR(IFERROR(IF(RIGHT(INDEX(WP!$A$2:$F$23,MATCH(IF(FIND("_",$B265)&gt;0,LEFT($B265,FIND("_",$B265)-1)),WP!$E$2:$E$23,0),2),6)="Series",LEFT(INDEX(WP!$A$2:$F$23,MATCH(IF(FIND("_",$B265)&gt;0,LEFT($B265,FIND("_",$B265)-1)),WP!$E$2:$E$23,0),2),5),""),IF(RIGHT(INDEX(WP!$A$2:$F$23,MATCH($B265,WP!$E$2:$E$23,0),2),6)="Series",LEFT(INDEX(WP!$A$2:$F$23,MATCH($B265,WP!$E$2:$E$23,0),2),5),"")),"")</f>
        <v/>
      </c>
      <c r="E265" s="17" t="str">
        <f>IFERROR(VLOOKUP(VALUE($D265),Series!$B$3:$F$11,2,0),"")</f>
        <v/>
      </c>
      <c r="F265" s="12" t="str">
        <f>_xlfn.IFNA(IF(IF($D265&lt;&gt;"",COUNTIF($E:$E,"="&amp;$D265),"")="",IF(RIGHT(IFERROR(IF(FIND("_",$B265)&gt;0,INDEX(WP!$A$2:$F$23,MATCH(LEFT($B265,FIND("_",$B265)-1),WP!$E$2:$E$23,0),2),IF(FIND("-",$B265)&gt;0,INDEX(WP!$A$2:$F$23,MATCH(LEFT($B265,FIND("_",$B265)-1),WP!$E$2:$E$23,0),2))),INDEX(WP!$A$2:$F$23,MATCH(Results!$B265,WP!$E$2:$E$23,0),2)),6)="Series",LEFT(IFERROR(IF(FIND("_",$B265)&gt;0,INDEX(WP!$A$2:$F$23,MATCH(LEFT($B265,FIND("_",$B265)-1),WP!$E$2:$E$23,0),2),IF(FIND("-",$B265)&gt;0,INDEX(WP!$A$2:$F$23,MATCH(LEFT($B265,FIND("_",$B265)-1),WP!$E$2:$E$23,0),2))),INDEX(WP!$A$2:$F$23,MATCH(Results!$B265,WP!$E$2:$E$23,0),2)),5),(IFERROR(IF(FIND("_",$B265)&gt;0,INDEX(WP!$A$2:$F$23,MATCH(LEFT($B265,FIND("_",$B265)-1),WP!$E$2:$E$23,0),2),IF(FIND("-",$B265)&gt;0,INDEX(WP!$A$2:$F$23,MATCH(LEFT($B265,FIND("_",$B265)-1),WP!$E$2:$E$23,0),2))),INDEX(WP!$A$2:$F$23,MATCH(Results!$B265,WP!$E$2:$E$23,0),2)))),IF(RIGHT(IFERROR(IF(FIND("_",$B265)&gt;0,INDEX(WP!$A$2:$F$23,MATCH(LEFT($B265,FIND("_",$B265)-1),WP!$E$2:$E$23,0),2),IF(FIND("-",$B265)&gt;0,INDEX(WP!$A$2:$F$23,MATCH(LEFT($B265,FIND("_",$B265)-1),WP!$E$2:$E$23,0),2))),INDEX(WP!$A$2:$F$23,MATCH(Results!$B265,WP!$E$2:$E$23,0),2)),6)="Series",LEFT(IFERROR(IF(FIND("_",$B265)&gt;0,INDEX(WP!$A$2:$F$23,MATCH(LEFT($B265,FIND("_",$B265)-1),WP!$E$2:$E$23,0),2),IF(FIND("-",$B265)&gt;0,INDEX(WP!$A$2:$F$23,MATCH(LEFT($B265,FIND("_",$B265)-1),WP!$E$2:$E$23,0),2))),INDEX(WP!$A$2:$F$23,MATCH(Results!$B265,WP!$E$2:$E$23,0),2)),5),(IFERROR(IF(FIND("_",$B265)&gt;0,INDEX(WP!$A$2:$F$23,MATCH(LEFT($B265,FIND("_",$B265)-1),WP!$E$2:$E$23,0),2),IF(FIND("-",$B265)&gt;0,INDEX(WP!$A$2:$F$23,MATCH(LEFT($B265,FIND("_",$B265)-1),WP!$E$2:$E$23,0),2))),INDEX(WP!$A$2:$F$23,MATCH(Results!$B265,WP!$E$2:$E$23,0),2))))&amp;"-"&amp;$I265),"")</f>
        <v/>
      </c>
      <c r="G265" s="17" t="str">
        <f>IF(LEN(_xlfn.IFNA(IF(IFERROR(IF(FIND("_",$B265)&gt;0,MID($B265,FIND("_",$B265)+1,LEN($B265)),IF(FIND("-",$B265)&gt;0,MID($B265,FIND("-",$B265)+1,LEN($B265)))),"")="",IFERROR(VLOOKUP($F265,WP!$B$2:$C$23,2,0),VLOOKUP($C265,Series!$A$3:$F$11,6,0)),IFERROR(VLOOKUP($F265,WP!$B$2:$C$23,2,0),VLOOKUP($C265,Series!$A$3:$F$11,6,0))&amp;" - "&amp;(IFERROR(IF(FIND("_",$B265)&gt;0,MID($B265,FIND("_",$B265)+1,LEN($B265)),IF(FIND("-",$B265)&gt;0,MID($B265,FIND("-",$B265)+1,LEN($B265)))),""))),""))&lt;64,_xlfn.IFNA(IF(IFERROR(IF(FIND("_",$B265)&gt;0,MID($B265,FIND("_",$B265)+1,LEN($B265)),IF(FIND("-",$B265)&gt;0,MID($B265,FIND("-",$B265)+1,LEN($B265)))),"")="",IFERROR(VLOOKUP($F265,WP!$B$2:$C$23,2,0),VLOOKUP($C265,Series!$A$3:$F$11,6,0)),IFERROR(VLOOKUP($F265,WP!$B$2:$C$23,2,0),VLOOKUP($C265,Series!$A$3:$F$11,6,0))&amp;" - "&amp;(IFERROR(IF(FIND("_",$B265)&gt;0,MID($B265,FIND("_",$B265)+1,LEN($B265)),IF(FIND("-",$B265)&gt;0,MID($B265,FIND("-",$B265)+1,LEN($B265)))),""))),""),LEFT((_xlfn.IFNA(IF(IFERROR(IF(FIND("_",$B265)&gt;0,MID($B265,FIND("_",$B265)+1,LEN($B265)),IF(FIND("-",$B265)&gt;0,MID($B265,FIND("-",$B265)+1,LEN($B265)))),"")="",IFERROR(VLOOKUP($F265,WP!$B$2:$C$23,2,0),VLOOKUP($C265,Series!$A$3:$F$11,6,0)),IFERROR(VLOOKUP($F265,WP!$B$2:$C$23,2,0),VLOOKUP($C265,Series!$A$3:$F$11,6,0))&amp;" - "&amp;(IFERROR(IF(FIND("_",$B265)&gt;0,MID($B265,FIND("_",$B265)+1,LEN($B265)),IF(FIND("-",$B265)&gt;0,MID($B265,FIND("-",$B265)+1,LEN($B265)))),""))),"")),64))</f>
        <v/>
      </c>
      <c r="H265" s="12"/>
      <c r="I265" s="12" t="str">
        <f>IF($D265&lt;&gt;"",COUNTIF($D$7:$D265,"="&amp;$D265),"")</f>
        <v/>
      </c>
      <c r="J265"/>
      <c r="K265" s="8"/>
      <c r="L265"/>
    </row>
    <row r="266" spans="1:12" x14ac:dyDescent="0.3">
      <c r="A266" s="1"/>
      <c r="B266" s="26"/>
      <c r="C266" s="12" t="str">
        <f>_xlfn.IFNA(IFERROR(IF(FIND("_",$B266)&gt;0,INDEX(WP!$A$2:$F$23,MATCH(LEFT($B266,FIND("_",$B266)-1),WP!$E$2:$E$23,0),1),IF(FIND("-",$B266)&gt;0,INDEX(WP!$A$2:$F$23,MATCH(LEFT($B266,FIND("_",$B266)-1),WP!$E$2:$E$23,0),1))),INDEX(WP!$A$2:$F$23,MATCH(Results!$B266,WP!$E$2:$E$23,0),1)),"")</f>
        <v/>
      </c>
      <c r="D266" s="12" t="str">
        <f>IFERROR(IFERROR(IF(RIGHT(INDEX(WP!$A$2:$F$23,MATCH(IF(FIND("_",$B266)&gt;0,LEFT($B266,FIND("_",$B266)-1)),WP!$E$2:$E$23,0),2),6)="Series",LEFT(INDEX(WP!$A$2:$F$23,MATCH(IF(FIND("_",$B266)&gt;0,LEFT($B266,FIND("_",$B266)-1)),WP!$E$2:$E$23,0),2),5),""),IF(RIGHT(INDEX(WP!$A$2:$F$23,MATCH($B266,WP!$E$2:$E$23,0),2),6)="Series",LEFT(INDEX(WP!$A$2:$F$23,MATCH($B266,WP!$E$2:$E$23,0),2),5),"")),"")</f>
        <v/>
      </c>
      <c r="E266" s="17" t="str">
        <f>IFERROR(VLOOKUP(VALUE($D266),Series!$B$3:$F$11,2,0),"")</f>
        <v/>
      </c>
      <c r="F266" s="12" t="str">
        <f>_xlfn.IFNA(IF(IF($D266&lt;&gt;"",COUNTIF($E:$E,"="&amp;$D266),"")="",IF(RIGHT(IFERROR(IF(FIND("_",$B266)&gt;0,INDEX(WP!$A$2:$F$23,MATCH(LEFT($B266,FIND("_",$B266)-1),WP!$E$2:$E$23,0),2),IF(FIND("-",$B266)&gt;0,INDEX(WP!$A$2:$F$23,MATCH(LEFT($B266,FIND("_",$B266)-1),WP!$E$2:$E$23,0),2))),INDEX(WP!$A$2:$F$23,MATCH(Results!$B266,WP!$E$2:$E$23,0),2)),6)="Series",LEFT(IFERROR(IF(FIND("_",$B266)&gt;0,INDEX(WP!$A$2:$F$23,MATCH(LEFT($B266,FIND("_",$B266)-1),WP!$E$2:$E$23,0),2),IF(FIND("-",$B266)&gt;0,INDEX(WP!$A$2:$F$23,MATCH(LEFT($B266,FIND("_",$B266)-1),WP!$E$2:$E$23,0),2))),INDEX(WP!$A$2:$F$23,MATCH(Results!$B266,WP!$E$2:$E$23,0),2)),5),(IFERROR(IF(FIND("_",$B266)&gt;0,INDEX(WP!$A$2:$F$23,MATCH(LEFT($B266,FIND("_",$B266)-1),WP!$E$2:$E$23,0),2),IF(FIND("-",$B266)&gt;0,INDEX(WP!$A$2:$F$23,MATCH(LEFT($B266,FIND("_",$B266)-1),WP!$E$2:$E$23,0),2))),INDEX(WP!$A$2:$F$23,MATCH(Results!$B266,WP!$E$2:$E$23,0),2)))),IF(RIGHT(IFERROR(IF(FIND("_",$B266)&gt;0,INDEX(WP!$A$2:$F$23,MATCH(LEFT($B266,FIND("_",$B266)-1),WP!$E$2:$E$23,0),2),IF(FIND("-",$B266)&gt;0,INDEX(WP!$A$2:$F$23,MATCH(LEFT($B266,FIND("_",$B266)-1),WP!$E$2:$E$23,0),2))),INDEX(WP!$A$2:$F$23,MATCH(Results!$B266,WP!$E$2:$E$23,0),2)),6)="Series",LEFT(IFERROR(IF(FIND("_",$B266)&gt;0,INDEX(WP!$A$2:$F$23,MATCH(LEFT($B266,FIND("_",$B266)-1),WP!$E$2:$E$23,0),2),IF(FIND("-",$B266)&gt;0,INDEX(WP!$A$2:$F$23,MATCH(LEFT($B266,FIND("_",$B266)-1),WP!$E$2:$E$23,0),2))),INDEX(WP!$A$2:$F$23,MATCH(Results!$B266,WP!$E$2:$E$23,0),2)),5),(IFERROR(IF(FIND("_",$B266)&gt;0,INDEX(WP!$A$2:$F$23,MATCH(LEFT($B266,FIND("_",$B266)-1),WP!$E$2:$E$23,0),2),IF(FIND("-",$B266)&gt;0,INDEX(WP!$A$2:$F$23,MATCH(LEFT($B266,FIND("_",$B266)-1),WP!$E$2:$E$23,0),2))),INDEX(WP!$A$2:$F$23,MATCH(Results!$B266,WP!$E$2:$E$23,0),2))))&amp;"-"&amp;$I266),"")</f>
        <v/>
      </c>
      <c r="G266" s="17" t="str">
        <f>IF(LEN(_xlfn.IFNA(IF(IFERROR(IF(FIND("_",$B266)&gt;0,MID($B266,FIND("_",$B266)+1,LEN($B266)),IF(FIND("-",$B266)&gt;0,MID($B266,FIND("-",$B266)+1,LEN($B266)))),"")="",IFERROR(VLOOKUP($F266,WP!$B$2:$C$23,2,0),VLOOKUP($C266,Series!$A$3:$F$11,6,0)),IFERROR(VLOOKUP($F266,WP!$B$2:$C$23,2,0),VLOOKUP($C266,Series!$A$3:$F$11,6,0))&amp;" - "&amp;(IFERROR(IF(FIND("_",$B266)&gt;0,MID($B266,FIND("_",$B266)+1,LEN($B266)),IF(FIND("-",$B266)&gt;0,MID($B266,FIND("-",$B266)+1,LEN($B266)))),""))),""))&lt;64,_xlfn.IFNA(IF(IFERROR(IF(FIND("_",$B266)&gt;0,MID($B266,FIND("_",$B266)+1,LEN($B266)),IF(FIND("-",$B266)&gt;0,MID($B266,FIND("-",$B266)+1,LEN($B266)))),"")="",IFERROR(VLOOKUP($F266,WP!$B$2:$C$23,2,0),VLOOKUP($C266,Series!$A$3:$F$11,6,0)),IFERROR(VLOOKUP($F266,WP!$B$2:$C$23,2,0),VLOOKUP($C266,Series!$A$3:$F$11,6,0))&amp;" - "&amp;(IFERROR(IF(FIND("_",$B266)&gt;0,MID($B266,FIND("_",$B266)+1,LEN($B266)),IF(FIND("-",$B266)&gt;0,MID($B266,FIND("-",$B266)+1,LEN($B266)))),""))),""),LEFT((_xlfn.IFNA(IF(IFERROR(IF(FIND("_",$B266)&gt;0,MID($B266,FIND("_",$B266)+1,LEN($B266)),IF(FIND("-",$B266)&gt;0,MID($B266,FIND("-",$B266)+1,LEN($B266)))),"")="",IFERROR(VLOOKUP($F266,WP!$B$2:$C$23,2,0),VLOOKUP($C266,Series!$A$3:$F$11,6,0)),IFERROR(VLOOKUP($F266,WP!$B$2:$C$23,2,0),VLOOKUP($C266,Series!$A$3:$F$11,6,0))&amp;" - "&amp;(IFERROR(IF(FIND("_",$B266)&gt;0,MID($B266,FIND("_",$B266)+1,LEN($B266)),IF(FIND("-",$B266)&gt;0,MID($B266,FIND("-",$B266)+1,LEN($B266)))),""))),"")),64))</f>
        <v/>
      </c>
      <c r="H266" s="12"/>
      <c r="I266" s="12" t="str">
        <f>IF($D266&lt;&gt;"",COUNTIF($D$7:$D266,"="&amp;$D266),"")</f>
        <v/>
      </c>
      <c r="J266"/>
      <c r="K266" s="8"/>
      <c r="L266"/>
    </row>
    <row r="267" spans="1:12" x14ac:dyDescent="0.3">
      <c r="A267" s="1"/>
      <c r="B267" s="26"/>
      <c r="C267" s="12" t="str">
        <f>_xlfn.IFNA(IFERROR(IF(FIND("_",$B267)&gt;0,INDEX(WP!$A$2:$F$23,MATCH(LEFT($B267,FIND("_",$B267)-1),WP!$E$2:$E$23,0),1),IF(FIND("-",$B267)&gt;0,INDEX(WP!$A$2:$F$23,MATCH(LEFT($B267,FIND("_",$B267)-1),WP!$E$2:$E$23,0),1))),INDEX(WP!$A$2:$F$23,MATCH(Results!$B267,WP!$E$2:$E$23,0),1)),"")</f>
        <v/>
      </c>
      <c r="D267" s="12" t="str">
        <f>IFERROR(IFERROR(IF(RIGHT(INDEX(WP!$A$2:$F$23,MATCH(IF(FIND("_",$B267)&gt;0,LEFT($B267,FIND("_",$B267)-1)),WP!$E$2:$E$23,0),2),6)="Series",LEFT(INDEX(WP!$A$2:$F$23,MATCH(IF(FIND("_",$B267)&gt;0,LEFT($B267,FIND("_",$B267)-1)),WP!$E$2:$E$23,0),2),5),""),IF(RIGHT(INDEX(WP!$A$2:$F$23,MATCH($B267,WP!$E$2:$E$23,0),2),6)="Series",LEFT(INDEX(WP!$A$2:$F$23,MATCH($B267,WP!$E$2:$E$23,0),2),5),"")),"")</f>
        <v/>
      </c>
      <c r="E267" s="17" t="str">
        <f>IFERROR(VLOOKUP(VALUE($D267),Series!$B$3:$F$11,2,0),"")</f>
        <v/>
      </c>
      <c r="F267" s="12" t="str">
        <f>_xlfn.IFNA(IF(IF($D267&lt;&gt;"",COUNTIF($E:$E,"="&amp;$D267),"")="",IF(RIGHT(IFERROR(IF(FIND("_",$B267)&gt;0,INDEX(WP!$A$2:$F$23,MATCH(LEFT($B267,FIND("_",$B267)-1),WP!$E$2:$E$23,0),2),IF(FIND("-",$B267)&gt;0,INDEX(WP!$A$2:$F$23,MATCH(LEFT($B267,FIND("_",$B267)-1),WP!$E$2:$E$23,0),2))),INDEX(WP!$A$2:$F$23,MATCH(Results!$B267,WP!$E$2:$E$23,0),2)),6)="Series",LEFT(IFERROR(IF(FIND("_",$B267)&gt;0,INDEX(WP!$A$2:$F$23,MATCH(LEFT($B267,FIND("_",$B267)-1),WP!$E$2:$E$23,0),2),IF(FIND("-",$B267)&gt;0,INDEX(WP!$A$2:$F$23,MATCH(LEFT($B267,FIND("_",$B267)-1),WP!$E$2:$E$23,0),2))),INDEX(WP!$A$2:$F$23,MATCH(Results!$B267,WP!$E$2:$E$23,0),2)),5),(IFERROR(IF(FIND("_",$B267)&gt;0,INDEX(WP!$A$2:$F$23,MATCH(LEFT($B267,FIND("_",$B267)-1),WP!$E$2:$E$23,0),2),IF(FIND("-",$B267)&gt;0,INDEX(WP!$A$2:$F$23,MATCH(LEFT($B267,FIND("_",$B267)-1),WP!$E$2:$E$23,0),2))),INDEX(WP!$A$2:$F$23,MATCH(Results!$B267,WP!$E$2:$E$23,0),2)))),IF(RIGHT(IFERROR(IF(FIND("_",$B267)&gt;0,INDEX(WP!$A$2:$F$23,MATCH(LEFT($B267,FIND("_",$B267)-1),WP!$E$2:$E$23,0),2),IF(FIND("-",$B267)&gt;0,INDEX(WP!$A$2:$F$23,MATCH(LEFT($B267,FIND("_",$B267)-1),WP!$E$2:$E$23,0),2))),INDEX(WP!$A$2:$F$23,MATCH(Results!$B267,WP!$E$2:$E$23,0),2)),6)="Series",LEFT(IFERROR(IF(FIND("_",$B267)&gt;0,INDEX(WP!$A$2:$F$23,MATCH(LEFT($B267,FIND("_",$B267)-1),WP!$E$2:$E$23,0),2),IF(FIND("-",$B267)&gt;0,INDEX(WP!$A$2:$F$23,MATCH(LEFT($B267,FIND("_",$B267)-1),WP!$E$2:$E$23,0),2))),INDEX(WP!$A$2:$F$23,MATCH(Results!$B267,WP!$E$2:$E$23,0),2)),5),(IFERROR(IF(FIND("_",$B267)&gt;0,INDEX(WP!$A$2:$F$23,MATCH(LEFT($B267,FIND("_",$B267)-1),WP!$E$2:$E$23,0),2),IF(FIND("-",$B267)&gt;0,INDEX(WP!$A$2:$F$23,MATCH(LEFT($B267,FIND("_",$B267)-1),WP!$E$2:$E$23,0),2))),INDEX(WP!$A$2:$F$23,MATCH(Results!$B267,WP!$E$2:$E$23,0),2))))&amp;"-"&amp;$I267),"")</f>
        <v/>
      </c>
      <c r="G267" s="17" t="str">
        <f>IF(LEN(_xlfn.IFNA(IF(IFERROR(IF(FIND("_",$B267)&gt;0,MID($B267,FIND("_",$B267)+1,LEN($B267)),IF(FIND("-",$B267)&gt;0,MID($B267,FIND("-",$B267)+1,LEN($B267)))),"")="",IFERROR(VLOOKUP($F267,WP!$B$2:$C$23,2,0),VLOOKUP($C267,Series!$A$3:$F$11,6,0)),IFERROR(VLOOKUP($F267,WP!$B$2:$C$23,2,0),VLOOKUP($C267,Series!$A$3:$F$11,6,0))&amp;" - "&amp;(IFERROR(IF(FIND("_",$B267)&gt;0,MID($B267,FIND("_",$B267)+1,LEN($B267)),IF(FIND("-",$B267)&gt;0,MID($B267,FIND("-",$B267)+1,LEN($B267)))),""))),""))&lt;64,_xlfn.IFNA(IF(IFERROR(IF(FIND("_",$B267)&gt;0,MID($B267,FIND("_",$B267)+1,LEN($B267)),IF(FIND("-",$B267)&gt;0,MID($B267,FIND("-",$B267)+1,LEN($B267)))),"")="",IFERROR(VLOOKUP($F267,WP!$B$2:$C$23,2,0),VLOOKUP($C267,Series!$A$3:$F$11,6,0)),IFERROR(VLOOKUP($F267,WP!$B$2:$C$23,2,0),VLOOKUP($C267,Series!$A$3:$F$11,6,0))&amp;" - "&amp;(IFERROR(IF(FIND("_",$B267)&gt;0,MID($B267,FIND("_",$B267)+1,LEN($B267)),IF(FIND("-",$B267)&gt;0,MID($B267,FIND("-",$B267)+1,LEN($B267)))),""))),""),LEFT((_xlfn.IFNA(IF(IFERROR(IF(FIND("_",$B267)&gt;0,MID($B267,FIND("_",$B267)+1,LEN($B267)),IF(FIND("-",$B267)&gt;0,MID($B267,FIND("-",$B267)+1,LEN($B267)))),"")="",IFERROR(VLOOKUP($F267,WP!$B$2:$C$23,2,0),VLOOKUP($C267,Series!$A$3:$F$11,6,0)),IFERROR(VLOOKUP($F267,WP!$B$2:$C$23,2,0),VLOOKUP($C267,Series!$A$3:$F$11,6,0))&amp;" - "&amp;(IFERROR(IF(FIND("_",$B267)&gt;0,MID($B267,FIND("_",$B267)+1,LEN($B267)),IF(FIND("-",$B267)&gt;0,MID($B267,FIND("-",$B267)+1,LEN($B267)))),""))),"")),64))</f>
        <v/>
      </c>
      <c r="H267" s="12"/>
      <c r="I267" s="12" t="str">
        <f>IF($D267&lt;&gt;"",COUNTIF($D$7:$D267,"="&amp;$D267),"")</f>
        <v/>
      </c>
      <c r="J267"/>
      <c r="K267" s="8"/>
      <c r="L267"/>
    </row>
    <row r="268" spans="1:12" x14ac:dyDescent="0.3">
      <c r="A268" s="1"/>
      <c r="B268" s="26"/>
      <c r="C268" s="12" t="str">
        <f>_xlfn.IFNA(IFERROR(IF(FIND("_",$B268)&gt;0,INDEX(WP!$A$2:$F$23,MATCH(LEFT($B268,FIND("_",$B268)-1),WP!$E$2:$E$23,0),1),IF(FIND("-",$B268)&gt;0,INDEX(WP!$A$2:$F$23,MATCH(LEFT($B268,FIND("_",$B268)-1),WP!$E$2:$E$23,0),1))),INDEX(WP!$A$2:$F$23,MATCH(Results!$B268,WP!$E$2:$E$23,0),1)),"")</f>
        <v/>
      </c>
      <c r="D268" s="12" t="str">
        <f>IFERROR(IFERROR(IF(RIGHT(INDEX(WP!$A$2:$F$23,MATCH(IF(FIND("_",$B268)&gt;0,LEFT($B268,FIND("_",$B268)-1)),WP!$E$2:$E$23,0),2),6)="Series",LEFT(INDEX(WP!$A$2:$F$23,MATCH(IF(FIND("_",$B268)&gt;0,LEFT($B268,FIND("_",$B268)-1)),WP!$E$2:$E$23,0),2),5),""),IF(RIGHT(INDEX(WP!$A$2:$F$23,MATCH($B268,WP!$E$2:$E$23,0),2),6)="Series",LEFT(INDEX(WP!$A$2:$F$23,MATCH($B268,WP!$E$2:$E$23,0),2),5),"")),"")</f>
        <v/>
      </c>
      <c r="E268" s="17" t="str">
        <f>IFERROR(VLOOKUP(VALUE($D268),Series!$B$3:$F$11,2,0),"")</f>
        <v/>
      </c>
      <c r="F268" s="12" t="str">
        <f>_xlfn.IFNA(IF(IF($D268&lt;&gt;"",COUNTIF($E:$E,"="&amp;$D268),"")="",IF(RIGHT(IFERROR(IF(FIND("_",$B268)&gt;0,INDEX(WP!$A$2:$F$23,MATCH(LEFT($B268,FIND("_",$B268)-1),WP!$E$2:$E$23,0),2),IF(FIND("-",$B268)&gt;0,INDEX(WP!$A$2:$F$23,MATCH(LEFT($B268,FIND("_",$B268)-1),WP!$E$2:$E$23,0),2))),INDEX(WP!$A$2:$F$23,MATCH(Results!$B268,WP!$E$2:$E$23,0),2)),6)="Series",LEFT(IFERROR(IF(FIND("_",$B268)&gt;0,INDEX(WP!$A$2:$F$23,MATCH(LEFT($B268,FIND("_",$B268)-1),WP!$E$2:$E$23,0),2),IF(FIND("-",$B268)&gt;0,INDEX(WP!$A$2:$F$23,MATCH(LEFT($B268,FIND("_",$B268)-1),WP!$E$2:$E$23,0),2))),INDEX(WP!$A$2:$F$23,MATCH(Results!$B268,WP!$E$2:$E$23,0),2)),5),(IFERROR(IF(FIND("_",$B268)&gt;0,INDEX(WP!$A$2:$F$23,MATCH(LEFT($B268,FIND("_",$B268)-1),WP!$E$2:$E$23,0),2),IF(FIND("-",$B268)&gt;0,INDEX(WP!$A$2:$F$23,MATCH(LEFT($B268,FIND("_",$B268)-1),WP!$E$2:$E$23,0),2))),INDEX(WP!$A$2:$F$23,MATCH(Results!$B268,WP!$E$2:$E$23,0),2)))),IF(RIGHT(IFERROR(IF(FIND("_",$B268)&gt;0,INDEX(WP!$A$2:$F$23,MATCH(LEFT($B268,FIND("_",$B268)-1),WP!$E$2:$E$23,0),2),IF(FIND("-",$B268)&gt;0,INDEX(WP!$A$2:$F$23,MATCH(LEFT($B268,FIND("_",$B268)-1),WP!$E$2:$E$23,0),2))),INDEX(WP!$A$2:$F$23,MATCH(Results!$B268,WP!$E$2:$E$23,0),2)),6)="Series",LEFT(IFERROR(IF(FIND("_",$B268)&gt;0,INDEX(WP!$A$2:$F$23,MATCH(LEFT($B268,FIND("_",$B268)-1),WP!$E$2:$E$23,0),2),IF(FIND("-",$B268)&gt;0,INDEX(WP!$A$2:$F$23,MATCH(LEFT($B268,FIND("_",$B268)-1),WP!$E$2:$E$23,0),2))),INDEX(WP!$A$2:$F$23,MATCH(Results!$B268,WP!$E$2:$E$23,0),2)),5),(IFERROR(IF(FIND("_",$B268)&gt;0,INDEX(WP!$A$2:$F$23,MATCH(LEFT($B268,FIND("_",$B268)-1),WP!$E$2:$E$23,0),2),IF(FIND("-",$B268)&gt;0,INDEX(WP!$A$2:$F$23,MATCH(LEFT($B268,FIND("_",$B268)-1),WP!$E$2:$E$23,0),2))),INDEX(WP!$A$2:$F$23,MATCH(Results!$B268,WP!$E$2:$E$23,0),2))))&amp;"-"&amp;$I268),"")</f>
        <v/>
      </c>
      <c r="G268" s="17" t="str">
        <f>IF(LEN(_xlfn.IFNA(IF(IFERROR(IF(FIND("_",$B268)&gt;0,MID($B268,FIND("_",$B268)+1,LEN($B268)),IF(FIND("-",$B268)&gt;0,MID($B268,FIND("-",$B268)+1,LEN($B268)))),"")="",IFERROR(VLOOKUP($F268,WP!$B$2:$C$23,2,0),VLOOKUP($C268,Series!$A$3:$F$11,6,0)),IFERROR(VLOOKUP($F268,WP!$B$2:$C$23,2,0),VLOOKUP($C268,Series!$A$3:$F$11,6,0))&amp;" - "&amp;(IFERROR(IF(FIND("_",$B268)&gt;0,MID($B268,FIND("_",$B268)+1,LEN($B268)),IF(FIND("-",$B268)&gt;0,MID($B268,FIND("-",$B268)+1,LEN($B268)))),""))),""))&lt;64,_xlfn.IFNA(IF(IFERROR(IF(FIND("_",$B268)&gt;0,MID($B268,FIND("_",$B268)+1,LEN($B268)),IF(FIND("-",$B268)&gt;0,MID($B268,FIND("-",$B268)+1,LEN($B268)))),"")="",IFERROR(VLOOKUP($F268,WP!$B$2:$C$23,2,0),VLOOKUP($C268,Series!$A$3:$F$11,6,0)),IFERROR(VLOOKUP($F268,WP!$B$2:$C$23,2,0),VLOOKUP($C268,Series!$A$3:$F$11,6,0))&amp;" - "&amp;(IFERROR(IF(FIND("_",$B268)&gt;0,MID($B268,FIND("_",$B268)+1,LEN($B268)),IF(FIND("-",$B268)&gt;0,MID($B268,FIND("-",$B268)+1,LEN($B268)))),""))),""),LEFT((_xlfn.IFNA(IF(IFERROR(IF(FIND("_",$B268)&gt;0,MID($B268,FIND("_",$B268)+1,LEN($B268)),IF(FIND("-",$B268)&gt;0,MID($B268,FIND("-",$B268)+1,LEN($B268)))),"")="",IFERROR(VLOOKUP($F268,WP!$B$2:$C$23,2,0),VLOOKUP($C268,Series!$A$3:$F$11,6,0)),IFERROR(VLOOKUP($F268,WP!$B$2:$C$23,2,0),VLOOKUP($C268,Series!$A$3:$F$11,6,0))&amp;" - "&amp;(IFERROR(IF(FIND("_",$B268)&gt;0,MID($B268,FIND("_",$B268)+1,LEN($B268)),IF(FIND("-",$B268)&gt;0,MID($B268,FIND("-",$B268)+1,LEN($B268)))),""))),"")),64))</f>
        <v/>
      </c>
      <c r="H268" s="12"/>
      <c r="I268" s="12" t="str">
        <f>IF($D268&lt;&gt;"",COUNTIF($D$7:$D268,"="&amp;$D268),"")</f>
        <v/>
      </c>
      <c r="J268"/>
      <c r="K268" s="8"/>
      <c r="L268"/>
    </row>
    <row r="269" spans="1:12" x14ac:dyDescent="0.3">
      <c r="A269" s="1"/>
      <c r="B269" s="26"/>
      <c r="C269" s="12" t="str">
        <f>_xlfn.IFNA(IFERROR(IF(FIND("_",$B269)&gt;0,INDEX(WP!$A$2:$F$23,MATCH(LEFT($B269,FIND("_",$B269)-1),WP!$E$2:$E$23,0),1),IF(FIND("-",$B269)&gt;0,INDEX(WP!$A$2:$F$23,MATCH(LEFT($B269,FIND("_",$B269)-1),WP!$E$2:$E$23,0),1))),INDEX(WP!$A$2:$F$23,MATCH(Results!$B269,WP!$E$2:$E$23,0),1)),"")</f>
        <v/>
      </c>
      <c r="D269" s="12" t="str">
        <f>IFERROR(IFERROR(IF(RIGHT(INDEX(WP!$A$2:$F$23,MATCH(IF(FIND("_",$B269)&gt;0,LEFT($B269,FIND("_",$B269)-1)),WP!$E$2:$E$23,0),2),6)="Series",LEFT(INDEX(WP!$A$2:$F$23,MATCH(IF(FIND("_",$B269)&gt;0,LEFT($B269,FIND("_",$B269)-1)),WP!$E$2:$E$23,0),2),5),""),IF(RIGHT(INDEX(WP!$A$2:$F$23,MATCH($B269,WP!$E$2:$E$23,0),2),6)="Series",LEFT(INDEX(WP!$A$2:$F$23,MATCH($B269,WP!$E$2:$E$23,0),2),5),"")),"")</f>
        <v/>
      </c>
      <c r="E269" s="17" t="str">
        <f>IFERROR(VLOOKUP(VALUE($D269),Series!$B$3:$F$11,2,0),"")</f>
        <v/>
      </c>
      <c r="F269" s="12" t="str">
        <f>_xlfn.IFNA(IF(IF($D269&lt;&gt;"",COUNTIF($E:$E,"="&amp;$D269),"")="",IF(RIGHT(IFERROR(IF(FIND("_",$B269)&gt;0,INDEX(WP!$A$2:$F$23,MATCH(LEFT($B269,FIND("_",$B269)-1),WP!$E$2:$E$23,0),2),IF(FIND("-",$B269)&gt;0,INDEX(WP!$A$2:$F$23,MATCH(LEFT($B269,FIND("_",$B269)-1),WP!$E$2:$E$23,0),2))),INDEX(WP!$A$2:$F$23,MATCH(Results!$B269,WP!$E$2:$E$23,0),2)),6)="Series",LEFT(IFERROR(IF(FIND("_",$B269)&gt;0,INDEX(WP!$A$2:$F$23,MATCH(LEFT($B269,FIND("_",$B269)-1),WP!$E$2:$E$23,0),2),IF(FIND("-",$B269)&gt;0,INDEX(WP!$A$2:$F$23,MATCH(LEFT($B269,FIND("_",$B269)-1),WP!$E$2:$E$23,0),2))),INDEX(WP!$A$2:$F$23,MATCH(Results!$B269,WP!$E$2:$E$23,0),2)),5),(IFERROR(IF(FIND("_",$B269)&gt;0,INDEX(WP!$A$2:$F$23,MATCH(LEFT($B269,FIND("_",$B269)-1),WP!$E$2:$E$23,0),2),IF(FIND("-",$B269)&gt;0,INDEX(WP!$A$2:$F$23,MATCH(LEFT($B269,FIND("_",$B269)-1),WP!$E$2:$E$23,0),2))),INDEX(WP!$A$2:$F$23,MATCH(Results!$B269,WP!$E$2:$E$23,0),2)))),IF(RIGHT(IFERROR(IF(FIND("_",$B269)&gt;0,INDEX(WP!$A$2:$F$23,MATCH(LEFT($B269,FIND("_",$B269)-1),WP!$E$2:$E$23,0),2),IF(FIND("-",$B269)&gt;0,INDEX(WP!$A$2:$F$23,MATCH(LEFT($B269,FIND("_",$B269)-1),WP!$E$2:$E$23,0),2))),INDEX(WP!$A$2:$F$23,MATCH(Results!$B269,WP!$E$2:$E$23,0),2)),6)="Series",LEFT(IFERROR(IF(FIND("_",$B269)&gt;0,INDEX(WP!$A$2:$F$23,MATCH(LEFT($B269,FIND("_",$B269)-1),WP!$E$2:$E$23,0),2),IF(FIND("-",$B269)&gt;0,INDEX(WP!$A$2:$F$23,MATCH(LEFT($B269,FIND("_",$B269)-1),WP!$E$2:$E$23,0),2))),INDEX(WP!$A$2:$F$23,MATCH(Results!$B269,WP!$E$2:$E$23,0),2)),5),(IFERROR(IF(FIND("_",$B269)&gt;0,INDEX(WP!$A$2:$F$23,MATCH(LEFT($B269,FIND("_",$B269)-1),WP!$E$2:$E$23,0),2),IF(FIND("-",$B269)&gt;0,INDEX(WP!$A$2:$F$23,MATCH(LEFT($B269,FIND("_",$B269)-1),WP!$E$2:$E$23,0),2))),INDEX(WP!$A$2:$F$23,MATCH(Results!$B269,WP!$E$2:$E$23,0),2))))&amp;"-"&amp;$I269),"")</f>
        <v/>
      </c>
      <c r="G269" s="17" t="str">
        <f>IF(LEN(_xlfn.IFNA(IF(IFERROR(IF(FIND("_",$B269)&gt;0,MID($B269,FIND("_",$B269)+1,LEN($B269)),IF(FIND("-",$B269)&gt;0,MID($B269,FIND("-",$B269)+1,LEN($B269)))),"")="",IFERROR(VLOOKUP($F269,WP!$B$2:$C$23,2,0),VLOOKUP($C269,Series!$A$3:$F$11,6,0)),IFERROR(VLOOKUP($F269,WP!$B$2:$C$23,2,0),VLOOKUP($C269,Series!$A$3:$F$11,6,0))&amp;" - "&amp;(IFERROR(IF(FIND("_",$B269)&gt;0,MID($B269,FIND("_",$B269)+1,LEN($B269)),IF(FIND("-",$B269)&gt;0,MID($B269,FIND("-",$B269)+1,LEN($B269)))),""))),""))&lt;64,_xlfn.IFNA(IF(IFERROR(IF(FIND("_",$B269)&gt;0,MID($B269,FIND("_",$B269)+1,LEN($B269)),IF(FIND("-",$B269)&gt;0,MID($B269,FIND("-",$B269)+1,LEN($B269)))),"")="",IFERROR(VLOOKUP($F269,WP!$B$2:$C$23,2,0),VLOOKUP($C269,Series!$A$3:$F$11,6,0)),IFERROR(VLOOKUP($F269,WP!$B$2:$C$23,2,0),VLOOKUP($C269,Series!$A$3:$F$11,6,0))&amp;" - "&amp;(IFERROR(IF(FIND("_",$B269)&gt;0,MID($B269,FIND("_",$B269)+1,LEN($B269)),IF(FIND("-",$B269)&gt;0,MID($B269,FIND("-",$B269)+1,LEN($B269)))),""))),""),LEFT((_xlfn.IFNA(IF(IFERROR(IF(FIND("_",$B269)&gt;0,MID($B269,FIND("_",$B269)+1,LEN($B269)),IF(FIND("-",$B269)&gt;0,MID($B269,FIND("-",$B269)+1,LEN($B269)))),"")="",IFERROR(VLOOKUP($F269,WP!$B$2:$C$23,2,0),VLOOKUP($C269,Series!$A$3:$F$11,6,0)),IFERROR(VLOOKUP($F269,WP!$B$2:$C$23,2,0),VLOOKUP($C269,Series!$A$3:$F$11,6,0))&amp;" - "&amp;(IFERROR(IF(FIND("_",$B269)&gt;0,MID($B269,FIND("_",$B269)+1,LEN($B269)),IF(FIND("-",$B269)&gt;0,MID($B269,FIND("-",$B269)+1,LEN($B269)))),""))),"")),64))</f>
        <v/>
      </c>
      <c r="H269" s="12"/>
      <c r="I269" s="12" t="str">
        <f>IF($D269&lt;&gt;"",COUNTIF($D$7:$D269,"="&amp;$D269),"")</f>
        <v/>
      </c>
      <c r="J269"/>
      <c r="K269" s="8"/>
      <c r="L269"/>
    </row>
    <row r="270" spans="1:12" x14ac:dyDescent="0.3">
      <c r="A270" s="1"/>
      <c r="B270" s="26"/>
      <c r="C270" s="12" t="str">
        <f>_xlfn.IFNA(IFERROR(IF(FIND("_",$B270)&gt;0,INDEX(WP!$A$2:$F$23,MATCH(LEFT($B270,FIND("_",$B270)-1),WP!$E$2:$E$23,0),1),IF(FIND("-",$B270)&gt;0,INDEX(WP!$A$2:$F$23,MATCH(LEFT($B270,FIND("_",$B270)-1),WP!$E$2:$E$23,0),1))),INDEX(WP!$A$2:$F$23,MATCH(Results!$B270,WP!$E$2:$E$23,0),1)),"")</f>
        <v/>
      </c>
      <c r="D270" s="12" t="str">
        <f>IFERROR(IFERROR(IF(RIGHT(INDEX(WP!$A$2:$F$23,MATCH(IF(FIND("_",$B270)&gt;0,LEFT($B270,FIND("_",$B270)-1)),WP!$E$2:$E$23,0),2),6)="Series",LEFT(INDEX(WP!$A$2:$F$23,MATCH(IF(FIND("_",$B270)&gt;0,LEFT($B270,FIND("_",$B270)-1)),WP!$E$2:$E$23,0),2),5),""),IF(RIGHT(INDEX(WP!$A$2:$F$23,MATCH($B270,WP!$E$2:$E$23,0),2),6)="Series",LEFT(INDEX(WP!$A$2:$F$23,MATCH($B270,WP!$E$2:$E$23,0),2),5),"")),"")</f>
        <v/>
      </c>
      <c r="E270" s="17" t="str">
        <f>IFERROR(VLOOKUP(VALUE($D270),Series!$B$3:$F$11,2,0),"")</f>
        <v/>
      </c>
      <c r="F270" s="12" t="str">
        <f>_xlfn.IFNA(IF(IF($D270&lt;&gt;"",COUNTIF($E:$E,"="&amp;$D270),"")="",IF(RIGHT(IFERROR(IF(FIND("_",$B270)&gt;0,INDEX(WP!$A$2:$F$23,MATCH(LEFT($B270,FIND("_",$B270)-1),WP!$E$2:$E$23,0),2),IF(FIND("-",$B270)&gt;0,INDEX(WP!$A$2:$F$23,MATCH(LEFT($B270,FIND("_",$B270)-1),WP!$E$2:$E$23,0),2))),INDEX(WP!$A$2:$F$23,MATCH(Results!$B270,WP!$E$2:$E$23,0),2)),6)="Series",LEFT(IFERROR(IF(FIND("_",$B270)&gt;0,INDEX(WP!$A$2:$F$23,MATCH(LEFT($B270,FIND("_",$B270)-1),WP!$E$2:$E$23,0),2),IF(FIND("-",$B270)&gt;0,INDEX(WP!$A$2:$F$23,MATCH(LEFT($B270,FIND("_",$B270)-1),WP!$E$2:$E$23,0),2))),INDEX(WP!$A$2:$F$23,MATCH(Results!$B270,WP!$E$2:$E$23,0),2)),5),(IFERROR(IF(FIND("_",$B270)&gt;0,INDEX(WP!$A$2:$F$23,MATCH(LEFT($B270,FIND("_",$B270)-1),WP!$E$2:$E$23,0),2),IF(FIND("-",$B270)&gt;0,INDEX(WP!$A$2:$F$23,MATCH(LEFT($B270,FIND("_",$B270)-1),WP!$E$2:$E$23,0),2))),INDEX(WP!$A$2:$F$23,MATCH(Results!$B270,WP!$E$2:$E$23,0),2)))),IF(RIGHT(IFERROR(IF(FIND("_",$B270)&gt;0,INDEX(WP!$A$2:$F$23,MATCH(LEFT($B270,FIND("_",$B270)-1),WP!$E$2:$E$23,0),2),IF(FIND("-",$B270)&gt;0,INDEX(WP!$A$2:$F$23,MATCH(LEFT($B270,FIND("_",$B270)-1),WP!$E$2:$E$23,0),2))),INDEX(WP!$A$2:$F$23,MATCH(Results!$B270,WP!$E$2:$E$23,0),2)),6)="Series",LEFT(IFERROR(IF(FIND("_",$B270)&gt;0,INDEX(WP!$A$2:$F$23,MATCH(LEFT($B270,FIND("_",$B270)-1),WP!$E$2:$E$23,0),2),IF(FIND("-",$B270)&gt;0,INDEX(WP!$A$2:$F$23,MATCH(LEFT($B270,FIND("_",$B270)-1),WP!$E$2:$E$23,0),2))),INDEX(WP!$A$2:$F$23,MATCH(Results!$B270,WP!$E$2:$E$23,0),2)),5),(IFERROR(IF(FIND("_",$B270)&gt;0,INDEX(WP!$A$2:$F$23,MATCH(LEFT($B270,FIND("_",$B270)-1),WP!$E$2:$E$23,0),2),IF(FIND("-",$B270)&gt;0,INDEX(WP!$A$2:$F$23,MATCH(LEFT($B270,FIND("_",$B270)-1),WP!$E$2:$E$23,0),2))),INDEX(WP!$A$2:$F$23,MATCH(Results!$B270,WP!$E$2:$E$23,0),2))))&amp;"-"&amp;$I270),"")</f>
        <v/>
      </c>
      <c r="G270" s="17" t="str">
        <f>IF(LEN(_xlfn.IFNA(IF(IFERROR(IF(FIND("_",$B270)&gt;0,MID($B270,FIND("_",$B270)+1,LEN($B270)),IF(FIND("-",$B270)&gt;0,MID($B270,FIND("-",$B270)+1,LEN($B270)))),"")="",IFERROR(VLOOKUP($F270,WP!$B$2:$C$23,2,0),VLOOKUP($C270,Series!$A$3:$F$11,6,0)),IFERROR(VLOOKUP($F270,WP!$B$2:$C$23,2,0),VLOOKUP($C270,Series!$A$3:$F$11,6,0))&amp;" - "&amp;(IFERROR(IF(FIND("_",$B270)&gt;0,MID($B270,FIND("_",$B270)+1,LEN($B270)),IF(FIND("-",$B270)&gt;0,MID($B270,FIND("-",$B270)+1,LEN($B270)))),""))),""))&lt;64,_xlfn.IFNA(IF(IFERROR(IF(FIND("_",$B270)&gt;0,MID($B270,FIND("_",$B270)+1,LEN($B270)),IF(FIND("-",$B270)&gt;0,MID($B270,FIND("-",$B270)+1,LEN($B270)))),"")="",IFERROR(VLOOKUP($F270,WP!$B$2:$C$23,2,0),VLOOKUP($C270,Series!$A$3:$F$11,6,0)),IFERROR(VLOOKUP($F270,WP!$B$2:$C$23,2,0),VLOOKUP($C270,Series!$A$3:$F$11,6,0))&amp;" - "&amp;(IFERROR(IF(FIND("_",$B270)&gt;0,MID($B270,FIND("_",$B270)+1,LEN($B270)),IF(FIND("-",$B270)&gt;0,MID($B270,FIND("-",$B270)+1,LEN($B270)))),""))),""),LEFT((_xlfn.IFNA(IF(IFERROR(IF(FIND("_",$B270)&gt;0,MID($B270,FIND("_",$B270)+1,LEN($B270)),IF(FIND("-",$B270)&gt;0,MID($B270,FIND("-",$B270)+1,LEN($B270)))),"")="",IFERROR(VLOOKUP($F270,WP!$B$2:$C$23,2,0),VLOOKUP($C270,Series!$A$3:$F$11,6,0)),IFERROR(VLOOKUP($F270,WP!$B$2:$C$23,2,0),VLOOKUP($C270,Series!$A$3:$F$11,6,0))&amp;" - "&amp;(IFERROR(IF(FIND("_",$B270)&gt;0,MID($B270,FIND("_",$B270)+1,LEN($B270)),IF(FIND("-",$B270)&gt;0,MID($B270,FIND("-",$B270)+1,LEN($B270)))),""))),"")),64))</f>
        <v/>
      </c>
      <c r="H270" s="12"/>
      <c r="I270" s="12" t="str">
        <f>IF($D270&lt;&gt;"",COUNTIF($D$7:$D270,"="&amp;$D270),"")</f>
        <v/>
      </c>
      <c r="J270"/>
      <c r="K270" s="8"/>
      <c r="L270"/>
    </row>
    <row r="271" spans="1:12" x14ac:dyDescent="0.3">
      <c r="A271" s="1"/>
      <c r="B271" s="26"/>
      <c r="C271" s="12" t="str">
        <f>_xlfn.IFNA(IFERROR(IF(FIND("_",$B271)&gt;0,INDEX(WP!$A$2:$F$23,MATCH(LEFT($B271,FIND("_",$B271)-1),WP!$E$2:$E$23,0),1),IF(FIND("-",$B271)&gt;0,INDEX(WP!$A$2:$F$23,MATCH(LEFT($B271,FIND("_",$B271)-1),WP!$E$2:$E$23,0),1))),INDEX(WP!$A$2:$F$23,MATCH(Results!$B271,WP!$E$2:$E$23,0),1)),"")</f>
        <v/>
      </c>
      <c r="D271" s="12" t="str">
        <f>IFERROR(IFERROR(IF(RIGHT(INDEX(WP!$A$2:$F$23,MATCH(IF(FIND("_",$B271)&gt;0,LEFT($B271,FIND("_",$B271)-1)),WP!$E$2:$E$23,0),2),6)="Series",LEFT(INDEX(WP!$A$2:$F$23,MATCH(IF(FIND("_",$B271)&gt;0,LEFT($B271,FIND("_",$B271)-1)),WP!$E$2:$E$23,0),2),5),""),IF(RIGHT(INDEX(WP!$A$2:$F$23,MATCH($B271,WP!$E$2:$E$23,0),2),6)="Series",LEFT(INDEX(WP!$A$2:$F$23,MATCH($B271,WP!$E$2:$E$23,0),2),5),"")),"")</f>
        <v/>
      </c>
      <c r="E271" s="17" t="str">
        <f>IFERROR(VLOOKUP(VALUE($D271),Series!$B$3:$F$11,2,0),"")</f>
        <v/>
      </c>
      <c r="F271" s="12" t="str">
        <f>_xlfn.IFNA(IF(IF($D271&lt;&gt;"",COUNTIF($E:$E,"="&amp;$D271),"")="",IF(RIGHT(IFERROR(IF(FIND("_",$B271)&gt;0,INDEX(WP!$A$2:$F$23,MATCH(LEFT($B271,FIND("_",$B271)-1),WP!$E$2:$E$23,0),2),IF(FIND("-",$B271)&gt;0,INDEX(WP!$A$2:$F$23,MATCH(LEFT($B271,FIND("_",$B271)-1),WP!$E$2:$E$23,0),2))),INDEX(WP!$A$2:$F$23,MATCH(Results!$B271,WP!$E$2:$E$23,0),2)),6)="Series",LEFT(IFERROR(IF(FIND("_",$B271)&gt;0,INDEX(WP!$A$2:$F$23,MATCH(LEFT($B271,FIND("_",$B271)-1),WP!$E$2:$E$23,0),2),IF(FIND("-",$B271)&gt;0,INDEX(WP!$A$2:$F$23,MATCH(LEFT($B271,FIND("_",$B271)-1),WP!$E$2:$E$23,0),2))),INDEX(WP!$A$2:$F$23,MATCH(Results!$B271,WP!$E$2:$E$23,0),2)),5),(IFERROR(IF(FIND("_",$B271)&gt;0,INDEX(WP!$A$2:$F$23,MATCH(LEFT($B271,FIND("_",$B271)-1),WP!$E$2:$E$23,0),2),IF(FIND("-",$B271)&gt;0,INDEX(WP!$A$2:$F$23,MATCH(LEFT($B271,FIND("_",$B271)-1),WP!$E$2:$E$23,0),2))),INDEX(WP!$A$2:$F$23,MATCH(Results!$B271,WP!$E$2:$E$23,0),2)))),IF(RIGHT(IFERROR(IF(FIND("_",$B271)&gt;0,INDEX(WP!$A$2:$F$23,MATCH(LEFT($B271,FIND("_",$B271)-1),WP!$E$2:$E$23,0),2),IF(FIND("-",$B271)&gt;0,INDEX(WP!$A$2:$F$23,MATCH(LEFT($B271,FIND("_",$B271)-1),WP!$E$2:$E$23,0),2))),INDEX(WP!$A$2:$F$23,MATCH(Results!$B271,WP!$E$2:$E$23,0),2)),6)="Series",LEFT(IFERROR(IF(FIND("_",$B271)&gt;0,INDEX(WP!$A$2:$F$23,MATCH(LEFT($B271,FIND("_",$B271)-1),WP!$E$2:$E$23,0),2),IF(FIND("-",$B271)&gt;0,INDEX(WP!$A$2:$F$23,MATCH(LEFT($B271,FIND("_",$B271)-1),WP!$E$2:$E$23,0),2))),INDEX(WP!$A$2:$F$23,MATCH(Results!$B271,WP!$E$2:$E$23,0),2)),5),(IFERROR(IF(FIND("_",$B271)&gt;0,INDEX(WP!$A$2:$F$23,MATCH(LEFT($B271,FIND("_",$B271)-1),WP!$E$2:$E$23,0),2),IF(FIND("-",$B271)&gt;0,INDEX(WP!$A$2:$F$23,MATCH(LEFT($B271,FIND("_",$B271)-1),WP!$E$2:$E$23,0),2))),INDEX(WP!$A$2:$F$23,MATCH(Results!$B271,WP!$E$2:$E$23,0),2))))&amp;"-"&amp;$I271),"")</f>
        <v/>
      </c>
      <c r="G271" s="17" t="str">
        <f>IF(LEN(_xlfn.IFNA(IF(IFERROR(IF(FIND("_",$B271)&gt;0,MID($B271,FIND("_",$B271)+1,LEN($B271)),IF(FIND("-",$B271)&gt;0,MID($B271,FIND("-",$B271)+1,LEN($B271)))),"")="",IFERROR(VLOOKUP($F271,WP!$B$2:$C$23,2,0),VLOOKUP($C271,Series!$A$3:$F$11,6,0)),IFERROR(VLOOKUP($F271,WP!$B$2:$C$23,2,0),VLOOKUP($C271,Series!$A$3:$F$11,6,0))&amp;" - "&amp;(IFERROR(IF(FIND("_",$B271)&gt;0,MID($B271,FIND("_",$B271)+1,LEN($B271)),IF(FIND("-",$B271)&gt;0,MID($B271,FIND("-",$B271)+1,LEN($B271)))),""))),""))&lt;64,_xlfn.IFNA(IF(IFERROR(IF(FIND("_",$B271)&gt;0,MID($B271,FIND("_",$B271)+1,LEN($B271)),IF(FIND("-",$B271)&gt;0,MID($B271,FIND("-",$B271)+1,LEN($B271)))),"")="",IFERROR(VLOOKUP($F271,WP!$B$2:$C$23,2,0),VLOOKUP($C271,Series!$A$3:$F$11,6,0)),IFERROR(VLOOKUP($F271,WP!$B$2:$C$23,2,0),VLOOKUP($C271,Series!$A$3:$F$11,6,0))&amp;" - "&amp;(IFERROR(IF(FIND("_",$B271)&gt;0,MID($B271,FIND("_",$B271)+1,LEN($B271)),IF(FIND("-",$B271)&gt;0,MID($B271,FIND("-",$B271)+1,LEN($B271)))),""))),""),LEFT((_xlfn.IFNA(IF(IFERROR(IF(FIND("_",$B271)&gt;0,MID($B271,FIND("_",$B271)+1,LEN($B271)),IF(FIND("-",$B271)&gt;0,MID($B271,FIND("-",$B271)+1,LEN($B271)))),"")="",IFERROR(VLOOKUP($F271,WP!$B$2:$C$23,2,0),VLOOKUP($C271,Series!$A$3:$F$11,6,0)),IFERROR(VLOOKUP($F271,WP!$B$2:$C$23,2,0),VLOOKUP($C271,Series!$A$3:$F$11,6,0))&amp;" - "&amp;(IFERROR(IF(FIND("_",$B271)&gt;0,MID($B271,FIND("_",$B271)+1,LEN($B271)),IF(FIND("-",$B271)&gt;0,MID($B271,FIND("-",$B271)+1,LEN($B271)))),""))),"")),64))</f>
        <v/>
      </c>
      <c r="H271" s="12"/>
      <c r="I271" s="12" t="str">
        <f>IF($D271&lt;&gt;"",COUNTIF($D$7:$D271,"="&amp;$D271),"")</f>
        <v/>
      </c>
      <c r="J271"/>
      <c r="K271" s="8"/>
      <c r="L271"/>
    </row>
    <row r="272" spans="1:12" x14ac:dyDescent="0.3">
      <c r="A272" s="1"/>
      <c r="B272" s="26"/>
      <c r="C272" s="12" t="str">
        <f>_xlfn.IFNA(IFERROR(IF(FIND("_",$B272)&gt;0,INDEX(WP!$A$2:$F$23,MATCH(LEFT($B272,FIND("_",$B272)-1),WP!$E$2:$E$23,0),1),IF(FIND("-",$B272)&gt;0,INDEX(WP!$A$2:$F$23,MATCH(LEFT($B272,FIND("_",$B272)-1),WP!$E$2:$E$23,0),1))),INDEX(WP!$A$2:$F$23,MATCH(Results!$B272,WP!$E$2:$E$23,0),1)),"")</f>
        <v/>
      </c>
      <c r="D272" s="12" t="str">
        <f>IFERROR(IFERROR(IF(RIGHT(INDEX(WP!$A$2:$F$23,MATCH(IF(FIND("_",$B272)&gt;0,LEFT($B272,FIND("_",$B272)-1)),WP!$E$2:$E$23,0),2),6)="Series",LEFT(INDEX(WP!$A$2:$F$23,MATCH(IF(FIND("_",$B272)&gt;0,LEFT($B272,FIND("_",$B272)-1)),WP!$E$2:$E$23,0),2),5),""),IF(RIGHT(INDEX(WP!$A$2:$F$23,MATCH($B272,WP!$E$2:$E$23,0),2),6)="Series",LEFT(INDEX(WP!$A$2:$F$23,MATCH($B272,WP!$E$2:$E$23,0),2),5),"")),"")</f>
        <v/>
      </c>
      <c r="E272" s="17" t="str">
        <f>IFERROR(VLOOKUP(VALUE($D272),Series!$B$3:$F$11,2,0),"")</f>
        <v/>
      </c>
      <c r="F272" s="12" t="str">
        <f>_xlfn.IFNA(IF(IF($D272&lt;&gt;"",COUNTIF($E:$E,"="&amp;$D272),"")="",IF(RIGHT(IFERROR(IF(FIND("_",$B272)&gt;0,INDEX(WP!$A$2:$F$23,MATCH(LEFT($B272,FIND("_",$B272)-1),WP!$E$2:$E$23,0),2),IF(FIND("-",$B272)&gt;0,INDEX(WP!$A$2:$F$23,MATCH(LEFT($B272,FIND("_",$B272)-1),WP!$E$2:$E$23,0),2))),INDEX(WP!$A$2:$F$23,MATCH(Results!$B272,WP!$E$2:$E$23,0),2)),6)="Series",LEFT(IFERROR(IF(FIND("_",$B272)&gt;0,INDEX(WP!$A$2:$F$23,MATCH(LEFT($B272,FIND("_",$B272)-1),WP!$E$2:$E$23,0),2),IF(FIND("-",$B272)&gt;0,INDEX(WP!$A$2:$F$23,MATCH(LEFT($B272,FIND("_",$B272)-1),WP!$E$2:$E$23,0),2))),INDEX(WP!$A$2:$F$23,MATCH(Results!$B272,WP!$E$2:$E$23,0),2)),5),(IFERROR(IF(FIND("_",$B272)&gt;0,INDEX(WP!$A$2:$F$23,MATCH(LEFT($B272,FIND("_",$B272)-1),WP!$E$2:$E$23,0),2),IF(FIND("-",$B272)&gt;0,INDEX(WP!$A$2:$F$23,MATCH(LEFT($B272,FIND("_",$B272)-1),WP!$E$2:$E$23,0),2))),INDEX(WP!$A$2:$F$23,MATCH(Results!$B272,WP!$E$2:$E$23,0),2)))),IF(RIGHT(IFERROR(IF(FIND("_",$B272)&gt;0,INDEX(WP!$A$2:$F$23,MATCH(LEFT($B272,FIND("_",$B272)-1),WP!$E$2:$E$23,0),2),IF(FIND("-",$B272)&gt;0,INDEX(WP!$A$2:$F$23,MATCH(LEFT($B272,FIND("_",$B272)-1),WP!$E$2:$E$23,0),2))),INDEX(WP!$A$2:$F$23,MATCH(Results!$B272,WP!$E$2:$E$23,0),2)),6)="Series",LEFT(IFERROR(IF(FIND("_",$B272)&gt;0,INDEX(WP!$A$2:$F$23,MATCH(LEFT($B272,FIND("_",$B272)-1),WP!$E$2:$E$23,0),2),IF(FIND("-",$B272)&gt;0,INDEX(WP!$A$2:$F$23,MATCH(LEFT($B272,FIND("_",$B272)-1),WP!$E$2:$E$23,0),2))),INDEX(WP!$A$2:$F$23,MATCH(Results!$B272,WP!$E$2:$E$23,0),2)),5),(IFERROR(IF(FIND("_",$B272)&gt;0,INDEX(WP!$A$2:$F$23,MATCH(LEFT($B272,FIND("_",$B272)-1),WP!$E$2:$E$23,0),2),IF(FIND("-",$B272)&gt;0,INDEX(WP!$A$2:$F$23,MATCH(LEFT($B272,FIND("_",$B272)-1),WP!$E$2:$E$23,0),2))),INDEX(WP!$A$2:$F$23,MATCH(Results!$B272,WP!$E$2:$E$23,0),2))))&amp;"-"&amp;$I272),"")</f>
        <v/>
      </c>
      <c r="G272" s="17" t="str">
        <f>IF(LEN(_xlfn.IFNA(IF(IFERROR(IF(FIND("_",$B272)&gt;0,MID($B272,FIND("_",$B272)+1,LEN($B272)),IF(FIND("-",$B272)&gt;0,MID($B272,FIND("-",$B272)+1,LEN($B272)))),"")="",IFERROR(VLOOKUP($F272,WP!$B$2:$C$23,2,0),VLOOKUP($C272,Series!$A$3:$F$11,6,0)),IFERROR(VLOOKUP($F272,WP!$B$2:$C$23,2,0),VLOOKUP($C272,Series!$A$3:$F$11,6,0))&amp;" - "&amp;(IFERROR(IF(FIND("_",$B272)&gt;0,MID($B272,FIND("_",$B272)+1,LEN($B272)),IF(FIND("-",$B272)&gt;0,MID($B272,FIND("-",$B272)+1,LEN($B272)))),""))),""))&lt;64,_xlfn.IFNA(IF(IFERROR(IF(FIND("_",$B272)&gt;0,MID($B272,FIND("_",$B272)+1,LEN($B272)),IF(FIND("-",$B272)&gt;0,MID($B272,FIND("-",$B272)+1,LEN($B272)))),"")="",IFERROR(VLOOKUP($F272,WP!$B$2:$C$23,2,0),VLOOKUP($C272,Series!$A$3:$F$11,6,0)),IFERROR(VLOOKUP($F272,WP!$B$2:$C$23,2,0),VLOOKUP($C272,Series!$A$3:$F$11,6,0))&amp;" - "&amp;(IFERROR(IF(FIND("_",$B272)&gt;0,MID($B272,FIND("_",$B272)+1,LEN($B272)),IF(FIND("-",$B272)&gt;0,MID($B272,FIND("-",$B272)+1,LEN($B272)))),""))),""),LEFT((_xlfn.IFNA(IF(IFERROR(IF(FIND("_",$B272)&gt;0,MID($B272,FIND("_",$B272)+1,LEN($B272)),IF(FIND("-",$B272)&gt;0,MID($B272,FIND("-",$B272)+1,LEN($B272)))),"")="",IFERROR(VLOOKUP($F272,WP!$B$2:$C$23,2,0),VLOOKUP($C272,Series!$A$3:$F$11,6,0)),IFERROR(VLOOKUP($F272,WP!$B$2:$C$23,2,0),VLOOKUP($C272,Series!$A$3:$F$11,6,0))&amp;" - "&amp;(IFERROR(IF(FIND("_",$B272)&gt;0,MID($B272,FIND("_",$B272)+1,LEN($B272)),IF(FIND("-",$B272)&gt;0,MID($B272,FIND("-",$B272)+1,LEN($B272)))),""))),"")),64))</f>
        <v/>
      </c>
      <c r="H272" s="12"/>
      <c r="I272" s="12" t="str">
        <f>IF($D272&lt;&gt;"",COUNTIF($D$7:$D272,"="&amp;$D272),"")</f>
        <v/>
      </c>
      <c r="J272"/>
      <c r="K272" s="8"/>
      <c r="L272"/>
    </row>
    <row r="273" spans="1:12" x14ac:dyDescent="0.3">
      <c r="A273" s="1"/>
      <c r="B273" s="26"/>
      <c r="C273" s="12" t="str">
        <f>_xlfn.IFNA(IFERROR(IF(FIND("_",$B273)&gt;0,INDEX(WP!$A$2:$F$23,MATCH(LEFT($B273,FIND("_",$B273)-1),WP!$E$2:$E$23,0),1),IF(FIND("-",$B273)&gt;0,INDEX(WP!$A$2:$F$23,MATCH(LEFT($B273,FIND("_",$B273)-1),WP!$E$2:$E$23,0),1))),INDEX(WP!$A$2:$F$23,MATCH(Results!$B273,WP!$E$2:$E$23,0),1)),"")</f>
        <v/>
      </c>
      <c r="D273" s="12" t="str">
        <f>IFERROR(IFERROR(IF(RIGHT(INDEX(WP!$A$2:$F$23,MATCH(IF(FIND("_",$B273)&gt;0,LEFT($B273,FIND("_",$B273)-1)),WP!$E$2:$E$23,0),2),6)="Series",LEFT(INDEX(WP!$A$2:$F$23,MATCH(IF(FIND("_",$B273)&gt;0,LEFT($B273,FIND("_",$B273)-1)),WP!$E$2:$E$23,0),2),5),""),IF(RIGHT(INDEX(WP!$A$2:$F$23,MATCH($B273,WP!$E$2:$E$23,0),2),6)="Series",LEFT(INDEX(WP!$A$2:$F$23,MATCH($B273,WP!$E$2:$E$23,0),2),5),"")),"")</f>
        <v/>
      </c>
      <c r="E273" s="17" t="str">
        <f>IFERROR(VLOOKUP(VALUE($D273),Series!$B$3:$F$11,2,0),"")</f>
        <v/>
      </c>
      <c r="F273" s="12" t="str">
        <f>_xlfn.IFNA(IF(IF($D273&lt;&gt;"",COUNTIF($E:$E,"="&amp;$D273),"")="",IF(RIGHT(IFERROR(IF(FIND("_",$B273)&gt;0,INDEX(WP!$A$2:$F$23,MATCH(LEFT($B273,FIND("_",$B273)-1),WP!$E$2:$E$23,0),2),IF(FIND("-",$B273)&gt;0,INDEX(WP!$A$2:$F$23,MATCH(LEFT($B273,FIND("_",$B273)-1),WP!$E$2:$E$23,0),2))),INDEX(WP!$A$2:$F$23,MATCH(Results!$B273,WP!$E$2:$E$23,0),2)),6)="Series",LEFT(IFERROR(IF(FIND("_",$B273)&gt;0,INDEX(WP!$A$2:$F$23,MATCH(LEFT($B273,FIND("_",$B273)-1),WP!$E$2:$E$23,0),2),IF(FIND("-",$B273)&gt;0,INDEX(WP!$A$2:$F$23,MATCH(LEFT($B273,FIND("_",$B273)-1),WP!$E$2:$E$23,0),2))),INDEX(WP!$A$2:$F$23,MATCH(Results!$B273,WP!$E$2:$E$23,0),2)),5),(IFERROR(IF(FIND("_",$B273)&gt;0,INDEX(WP!$A$2:$F$23,MATCH(LEFT($B273,FIND("_",$B273)-1),WP!$E$2:$E$23,0),2),IF(FIND("-",$B273)&gt;0,INDEX(WP!$A$2:$F$23,MATCH(LEFT($B273,FIND("_",$B273)-1),WP!$E$2:$E$23,0),2))),INDEX(WP!$A$2:$F$23,MATCH(Results!$B273,WP!$E$2:$E$23,0),2)))),IF(RIGHT(IFERROR(IF(FIND("_",$B273)&gt;0,INDEX(WP!$A$2:$F$23,MATCH(LEFT($B273,FIND("_",$B273)-1),WP!$E$2:$E$23,0),2),IF(FIND("-",$B273)&gt;0,INDEX(WP!$A$2:$F$23,MATCH(LEFT($B273,FIND("_",$B273)-1),WP!$E$2:$E$23,0),2))),INDEX(WP!$A$2:$F$23,MATCH(Results!$B273,WP!$E$2:$E$23,0),2)),6)="Series",LEFT(IFERROR(IF(FIND("_",$B273)&gt;0,INDEX(WP!$A$2:$F$23,MATCH(LEFT($B273,FIND("_",$B273)-1),WP!$E$2:$E$23,0),2),IF(FIND("-",$B273)&gt;0,INDEX(WP!$A$2:$F$23,MATCH(LEFT($B273,FIND("_",$B273)-1),WP!$E$2:$E$23,0),2))),INDEX(WP!$A$2:$F$23,MATCH(Results!$B273,WP!$E$2:$E$23,0),2)),5),(IFERROR(IF(FIND("_",$B273)&gt;0,INDEX(WP!$A$2:$F$23,MATCH(LEFT($B273,FIND("_",$B273)-1),WP!$E$2:$E$23,0),2),IF(FIND("-",$B273)&gt;0,INDEX(WP!$A$2:$F$23,MATCH(LEFT($B273,FIND("_",$B273)-1),WP!$E$2:$E$23,0),2))),INDEX(WP!$A$2:$F$23,MATCH(Results!$B273,WP!$E$2:$E$23,0),2))))&amp;"-"&amp;$I273),"")</f>
        <v/>
      </c>
      <c r="G273" s="17" t="str">
        <f>IF(LEN(_xlfn.IFNA(IF(IFERROR(IF(FIND("_",$B273)&gt;0,MID($B273,FIND("_",$B273)+1,LEN($B273)),IF(FIND("-",$B273)&gt;0,MID($B273,FIND("-",$B273)+1,LEN($B273)))),"")="",IFERROR(VLOOKUP($F273,WP!$B$2:$C$23,2,0),VLOOKUP($C273,Series!$A$3:$F$11,6,0)),IFERROR(VLOOKUP($F273,WP!$B$2:$C$23,2,0),VLOOKUP($C273,Series!$A$3:$F$11,6,0))&amp;" - "&amp;(IFERROR(IF(FIND("_",$B273)&gt;0,MID($B273,FIND("_",$B273)+1,LEN($B273)),IF(FIND("-",$B273)&gt;0,MID($B273,FIND("-",$B273)+1,LEN($B273)))),""))),""))&lt;64,_xlfn.IFNA(IF(IFERROR(IF(FIND("_",$B273)&gt;0,MID($B273,FIND("_",$B273)+1,LEN($B273)),IF(FIND("-",$B273)&gt;0,MID($B273,FIND("-",$B273)+1,LEN($B273)))),"")="",IFERROR(VLOOKUP($F273,WP!$B$2:$C$23,2,0),VLOOKUP($C273,Series!$A$3:$F$11,6,0)),IFERROR(VLOOKUP($F273,WP!$B$2:$C$23,2,0),VLOOKUP($C273,Series!$A$3:$F$11,6,0))&amp;" - "&amp;(IFERROR(IF(FIND("_",$B273)&gt;0,MID($B273,FIND("_",$B273)+1,LEN($B273)),IF(FIND("-",$B273)&gt;0,MID($B273,FIND("-",$B273)+1,LEN($B273)))),""))),""),LEFT((_xlfn.IFNA(IF(IFERROR(IF(FIND("_",$B273)&gt;0,MID($B273,FIND("_",$B273)+1,LEN($B273)),IF(FIND("-",$B273)&gt;0,MID($B273,FIND("-",$B273)+1,LEN($B273)))),"")="",IFERROR(VLOOKUP($F273,WP!$B$2:$C$23,2,0),VLOOKUP($C273,Series!$A$3:$F$11,6,0)),IFERROR(VLOOKUP($F273,WP!$B$2:$C$23,2,0),VLOOKUP($C273,Series!$A$3:$F$11,6,0))&amp;" - "&amp;(IFERROR(IF(FIND("_",$B273)&gt;0,MID($B273,FIND("_",$B273)+1,LEN($B273)),IF(FIND("-",$B273)&gt;0,MID($B273,FIND("-",$B273)+1,LEN($B273)))),""))),"")),64))</f>
        <v/>
      </c>
      <c r="H273" s="12"/>
      <c r="I273" s="12" t="str">
        <f>IF($D273&lt;&gt;"",COUNTIF($D$7:$D273,"="&amp;$D273),"")</f>
        <v/>
      </c>
      <c r="J273"/>
      <c r="K273" s="8"/>
      <c r="L273"/>
    </row>
    <row r="274" spans="1:12" x14ac:dyDescent="0.3">
      <c r="A274" s="1"/>
      <c r="B274" s="26"/>
      <c r="C274" s="12" t="str">
        <f>_xlfn.IFNA(IFERROR(IF(FIND("_",$B274)&gt;0,INDEX(WP!$A$2:$F$23,MATCH(LEFT($B274,FIND("_",$B274)-1),WP!$E$2:$E$23,0),1),IF(FIND("-",$B274)&gt;0,INDEX(WP!$A$2:$F$23,MATCH(LEFT($B274,FIND("_",$B274)-1),WP!$E$2:$E$23,0),1))),INDEX(WP!$A$2:$F$23,MATCH(Results!$B274,WP!$E$2:$E$23,0),1)),"")</f>
        <v/>
      </c>
      <c r="D274" s="12" t="str">
        <f>IFERROR(IFERROR(IF(RIGHT(INDEX(WP!$A$2:$F$23,MATCH(IF(FIND("_",$B274)&gt;0,LEFT($B274,FIND("_",$B274)-1)),WP!$E$2:$E$23,0),2),6)="Series",LEFT(INDEX(WP!$A$2:$F$23,MATCH(IF(FIND("_",$B274)&gt;0,LEFT($B274,FIND("_",$B274)-1)),WP!$E$2:$E$23,0),2),5),""),IF(RIGHT(INDEX(WP!$A$2:$F$23,MATCH($B274,WP!$E$2:$E$23,0),2),6)="Series",LEFT(INDEX(WP!$A$2:$F$23,MATCH($B274,WP!$E$2:$E$23,0),2),5),"")),"")</f>
        <v/>
      </c>
      <c r="E274" s="17" t="str">
        <f>IFERROR(VLOOKUP(VALUE($D274),Series!$B$3:$F$11,2,0),"")</f>
        <v/>
      </c>
      <c r="F274" s="12" t="str">
        <f>_xlfn.IFNA(IF(IF($D274&lt;&gt;"",COUNTIF($E:$E,"="&amp;$D274),"")="",IF(RIGHT(IFERROR(IF(FIND("_",$B274)&gt;0,INDEX(WP!$A$2:$F$23,MATCH(LEFT($B274,FIND("_",$B274)-1),WP!$E$2:$E$23,0),2),IF(FIND("-",$B274)&gt;0,INDEX(WP!$A$2:$F$23,MATCH(LEFT($B274,FIND("_",$B274)-1),WP!$E$2:$E$23,0),2))),INDEX(WP!$A$2:$F$23,MATCH(Results!$B274,WP!$E$2:$E$23,0),2)),6)="Series",LEFT(IFERROR(IF(FIND("_",$B274)&gt;0,INDEX(WP!$A$2:$F$23,MATCH(LEFT($B274,FIND("_",$B274)-1),WP!$E$2:$E$23,0),2),IF(FIND("-",$B274)&gt;0,INDEX(WP!$A$2:$F$23,MATCH(LEFT($B274,FIND("_",$B274)-1),WP!$E$2:$E$23,0),2))),INDEX(WP!$A$2:$F$23,MATCH(Results!$B274,WP!$E$2:$E$23,0),2)),5),(IFERROR(IF(FIND("_",$B274)&gt;0,INDEX(WP!$A$2:$F$23,MATCH(LEFT($B274,FIND("_",$B274)-1),WP!$E$2:$E$23,0),2),IF(FIND("-",$B274)&gt;0,INDEX(WP!$A$2:$F$23,MATCH(LEFT($B274,FIND("_",$B274)-1),WP!$E$2:$E$23,0),2))),INDEX(WP!$A$2:$F$23,MATCH(Results!$B274,WP!$E$2:$E$23,0),2)))),IF(RIGHT(IFERROR(IF(FIND("_",$B274)&gt;0,INDEX(WP!$A$2:$F$23,MATCH(LEFT($B274,FIND("_",$B274)-1),WP!$E$2:$E$23,0),2),IF(FIND("-",$B274)&gt;0,INDEX(WP!$A$2:$F$23,MATCH(LEFT($B274,FIND("_",$B274)-1),WP!$E$2:$E$23,0),2))),INDEX(WP!$A$2:$F$23,MATCH(Results!$B274,WP!$E$2:$E$23,0),2)),6)="Series",LEFT(IFERROR(IF(FIND("_",$B274)&gt;0,INDEX(WP!$A$2:$F$23,MATCH(LEFT($B274,FIND("_",$B274)-1),WP!$E$2:$E$23,0),2),IF(FIND("-",$B274)&gt;0,INDEX(WP!$A$2:$F$23,MATCH(LEFT($B274,FIND("_",$B274)-1),WP!$E$2:$E$23,0),2))),INDEX(WP!$A$2:$F$23,MATCH(Results!$B274,WP!$E$2:$E$23,0),2)),5),(IFERROR(IF(FIND("_",$B274)&gt;0,INDEX(WP!$A$2:$F$23,MATCH(LEFT($B274,FIND("_",$B274)-1),WP!$E$2:$E$23,0),2),IF(FIND("-",$B274)&gt;0,INDEX(WP!$A$2:$F$23,MATCH(LEFT($B274,FIND("_",$B274)-1),WP!$E$2:$E$23,0),2))),INDEX(WP!$A$2:$F$23,MATCH(Results!$B274,WP!$E$2:$E$23,0),2))))&amp;"-"&amp;$I274),"")</f>
        <v/>
      </c>
      <c r="G274" s="17" t="str">
        <f>IF(LEN(_xlfn.IFNA(IF(IFERROR(IF(FIND("_",$B274)&gt;0,MID($B274,FIND("_",$B274)+1,LEN($B274)),IF(FIND("-",$B274)&gt;0,MID($B274,FIND("-",$B274)+1,LEN($B274)))),"")="",IFERROR(VLOOKUP($F274,WP!$B$2:$C$23,2,0),VLOOKUP($C274,Series!$A$3:$F$11,6,0)),IFERROR(VLOOKUP($F274,WP!$B$2:$C$23,2,0),VLOOKUP($C274,Series!$A$3:$F$11,6,0))&amp;" - "&amp;(IFERROR(IF(FIND("_",$B274)&gt;0,MID($B274,FIND("_",$B274)+1,LEN($B274)),IF(FIND("-",$B274)&gt;0,MID($B274,FIND("-",$B274)+1,LEN($B274)))),""))),""))&lt;64,_xlfn.IFNA(IF(IFERROR(IF(FIND("_",$B274)&gt;0,MID($B274,FIND("_",$B274)+1,LEN($B274)),IF(FIND("-",$B274)&gt;0,MID($B274,FIND("-",$B274)+1,LEN($B274)))),"")="",IFERROR(VLOOKUP($F274,WP!$B$2:$C$23,2,0),VLOOKUP($C274,Series!$A$3:$F$11,6,0)),IFERROR(VLOOKUP($F274,WP!$B$2:$C$23,2,0),VLOOKUP($C274,Series!$A$3:$F$11,6,0))&amp;" - "&amp;(IFERROR(IF(FIND("_",$B274)&gt;0,MID($B274,FIND("_",$B274)+1,LEN($B274)),IF(FIND("-",$B274)&gt;0,MID($B274,FIND("-",$B274)+1,LEN($B274)))),""))),""),LEFT((_xlfn.IFNA(IF(IFERROR(IF(FIND("_",$B274)&gt;0,MID($B274,FIND("_",$B274)+1,LEN($B274)),IF(FIND("-",$B274)&gt;0,MID($B274,FIND("-",$B274)+1,LEN($B274)))),"")="",IFERROR(VLOOKUP($F274,WP!$B$2:$C$23,2,0),VLOOKUP($C274,Series!$A$3:$F$11,6,0)),IFERROR(VLOOKUP($F274,WP!$B$2:$C$23,2,0),VLOOKUP($C274,Series!$A$3:$F$11,6,0))&amp;" - "&amp;(IFERROR(IF(FIND("_",$B274)&gt;0,MID($B274,FIND("_",$B274)+1,LEN($B274)),IF(FIND("-",$B274)&gt;0,MID($B274,FIND("-",$B274)+1,LEN($B274)))),""))),"")),64))</f>
        <v/>
      </c>
      <c r="H274" s="12"/>
      <c r="I274" s="12" t="str">
        <f>IF($D274&lt;&gt;"",COUNTIF($D$7:$D274,"="&amp;$D274),"")</f>
        <v/>
      </c>
      <c r="J274"/>
      <c r="K274" s="8"/>
      <c r="L274"/>
    </row>
    <row r="275" spans="1:12" x14ac:dyDescent="0.3">
      <c r="A275" s="1"/>
      <c r="B275" s="26"/>
      <c r="C275" s="12" t="str">
        <f>_xlfn.IFNA(IFERROR(IF(FIND("_",$B275)&gt;0,INDEX(WP!$A$2:$F$23,MATCH(LEFT($B275,FIND("_",$B275)-1),WP!$E$2:$E$23,0),1),IF(FIND("-",$B275)&gt;0,INDEX(WP!$A$2:$F$23,MATCH(LEFT($B275,FIND("_",$B275)-1),WP!$E$2:$E$23,0),1))),INDEX(WP!$A$2:$F$23,MATCH(Results!$B275,WP!$E$2:$E$23,0),1)),"")</f>
        <v/>
      </c>
      <c r="D275" s="12" t="str">
        <f>IFERROR(IFERROR(IF(RIGHT(INDEX(WP!$A$2:$F$23,MATCH(IF(FIND("_",$B275)&gt;0,LEFT($B275,FIND("_",$B275)-1)),WP!$E$2:$E$23,0),2),6)="Series",LEFT(INDEX(WP!$A$2:$F$23,MATCH(IF(FIND("_",$B275)&gt;0,LEFT($B275,FIND("_",$B275)-1)),WP!$E$2:$E$23,0),2),5),""),IF(RIGHT(INDEX(WP!$A$2:$F$23,MATCH($B275,WP!$E$2:$E$23,0),2),6)="Series",LEFT(INDEX(WP!$A$2:$F$23,MATCH($B275,WP!$E$2:$E$23,0),2),5),"")),"")</f>
        <v/>
      </c>
      <c r="E275" s="17" t="str">
        <f>IFERROR(VLOOKUP(VALUE($D275),Series!$B$3:$F$11,2,0),"")</f>
        <v/>
      </c>
      <c r="F275" s="12" t="str">
        <f>_xlfn.IFNA(IF(IF($D275&lt;&gt;"",COUNTIF($E:$E,"="&amp;$D275),"")="",IF(RIGHT(IFERROR(IF(FIND("_",$B275)&gt;0,INDEX(WP!$A$2:$F$23,MATCH(LEFT($B275,FIND("_",$B275)-1),WP!$E$2:$E$23,0),2),IF(FIND("-",$B275)&gt;0,INDEX(WP!$A$2:$F$23,MATCH(LEFT($B275,FIND("_",$B275)-1),WP!$E$2:$E$23,0),2))),INDEX(WP!$A$2:$F$23,MATCH(Results!$B275,WP!$E$2:$E$23,0),2)),6)="Series",LEFT(IFERROR(IF(FIND("_",$B275)&gt;0,INDEX(WP!$A$2:$F$23,MATCH(LEFT($B275,FIND("_",$B275)-1),WP!$E$2:$E$23,0),2),IF(FIND("-",$B275)&gt;0,INDEX(WP!$A$2:$F$23,MATCH(LEFT($B275,FIND("_",$B275)-1),WP!$E$2:$E$23,0),2))),INDEX(WP!$A$2:$F$23,MATCH(Results!$B275,WP!$E$2:$E$23,0),2)),5),(IFERROR(IF(FIND("_",$B275)&gt;0,INDEX(WP!$A$2:$F$23,MATCH(LEFT($B275,FIND("_",$B275)-1),WP!$E$2:$E$23,0),2),IF(FIND("-",$B275)&gt;0,INDEX(WP!$A$2:$F$23,MATCH(LEFT($B275,FIND("_",$B275)-1),WP!$E$2:$E$23,0),2))),INDEX(WP!$A$2:$F$23,MATCH(Results!$B275,WP!$E$2:$E$23,0),2)))),IF(RIGHT(IFERROR(IF(FIND("_",$B275)&gt;0,INDEX(WP!$A$2:$F$23,MATCH(LEFT($B275,FIND("_",$B275)-1),WP!$E$2:$E$23,0),2),IF(FIND("-",$B275)&gt;0,INDEX(WP!$A$2:$F$23,MATCH(LEFT($B275,FIND("_",$B275)-1),WP!$E$2:$E$23,0),2))),INDEX(WP!$A$2:$F$23,MATCH(Results!$B275,WP!$E$2:$E$23,0),2)),6)="Series",LEFT(IFERROR(IF(FIND("_",$B275)&gt;0,INDEX(WP!$A$2:$F$23,MATCH(LEFT($B275,FIND("_",$B275)-1),WP!$E$2:$E$23,0),2),IF(FIND("-",$B275)&gt;0,INDEX(WP!$A$2:$F$23,MATCH(LEFT($B275,FIND("_",$B275)-1),WP!$E$2:$E$23,0),2))),INDEX(WP!$A$2:$F$23,MATCH(Results!$B275,WP!$E$2:$E$23,0),2)),5),(IFERROR(IF(FIND("_",$B275)&gt;0,INDEX(WP!$A$2:$F$23,MATCH(LEFT($B275,FIND("_",$B275)-1),WP!$E$2:$E$23,0),2),IF(FIND("-",$B275)&gt;0,INDEX(WP!$A$2:$F$23,MATCH(LEFT($B275,FIND("_",$B275)-1),WP!$E$2:$E$23,0),2))),INDEX(WP!$A$2:$F$23,MATCH(Results!$B275,WP!$E$2:$E$23,0),2))))&amp;"-"&amp;$I275),"")</f>
        <v/>
      </c>
      <c r="G275" s="17" t="str">
        <f>IF(LEN(_xlfn.IFNA(IF(IFERROR(IF(FIND("_",$B275)&gt;0,MID($B275,FIND("_",$B275)+1,LEN($B275)),IF(FIND("-",$B275)&gt;0,MID($B275,FIND("-",$B275)+1,LEN($B275)))),"")="",IFERROR(VLOOKUP($F275,WP!$B$2:$C$23,2,0),VLOOKUP($C275,Series!$A$3:$F$11,6,0)),IFERROR(VLOOKUP($F275,WP!$B$2:$C$23,2,0),VLOOKUP($C275,Series!$A$3:$F$11,6,0))&amp;" - "&amp;(IFERROR(IF(FIND("_",$B275)&gt;0,MID($B275,FIND("_",$B275)+1,LEN($B275)),IF(FIND("-",$B275)&gt;0,MID($B275,FIND("-",$B275)+1,LEN($B275)))),""))),""))&lt;64,_xlfn.IFNA(IF(IFERROR(IF(FIND("_",$B275)&gt;0,MID($B275,FIND("_",$B275)+1,LEN($B275)),IF(FIND("-",$B275)&gt;0,MID($B275,FIND("-",$B275)+1,LEN($B275)))),"")="",IFERROR(VLOOKUP($F275,WP!$B$2:$C$23,2,0),VLOOKUP($C275,Series!$A$3:$F$11,6,0)),IFERROR(VLOOKUP($F275,WP!$B$2:$C$23,2,0),VLOOKUP($C275,Series!$A$3:$F$11,6,0))&amp;" - "&amp;(IFERROR(IF(FIND("_",$B275)&gt;0,MID($B275,FIND("_",$B275)+1,LEN($B275)),IF(FIND("-",$B275)&gt;0,MID($B275,FIND("-",$B275)+1,LEN($B275)))),""))),""),LEFT((_xlfn.IFNA(IF(IFERROR(IF(FIND("_",$B275)&gt;0,MID($B275,FIND("_",$B275)+1,LEN($B275)),IF(FIND("-",$B275)&gt;0,MID($B275,FIND("-",$B275)+1,LEN($B275)))),"")="",IFERROR(VLOOKUP($F275,WP!$B$2:$C$23,2,0),VLOOKUP($C275,Series!$A$3:$F$11,6,0)),IFERROR(VLOOKUP($F275,WP!$B$2:$C$23,2,0),VLOOKUP($C275,Series!$A$3:$F$11,6,0))&amp;" - "&amp;(IFERROR(IF(FIND("_",$B275)&gt;0,MID($B275,FIND("_",$B275)+1,LEN($B275)),IF(FIND("-",$B275)&gt;0,MID($B275,FIND("-",$B275)+1,LEN($B275)))),""))),"")),64))</f>
        <v/>
      </c>
      <c r="H275" s="12"/>
      <c r="I275" s="12" t="str">
        <f>IF($D275&lt;&gt;"",COUNTIF($D$7:$D275,"="&amp;$D275),"")</f>
        <v/>
      </c>
      <c r="J275"/>
      <c r="K275" s="8"/>
      <c r="L275"/>
    </row>
    <row r="276" spans="1:12" x14ac:dyDescent="0.3">
      <c r="A276" s="1"/>
      <c r="B276" s="26"/>
      <c r="C276" s="12" t="str">
        <f>_xlfn.IFNA(IFERROR(IF(FIND("_",$B276)&gt;0,INDEX(WP!$A$2:$F$23,MATCH(LEFT($B276,FIND("_",$B276)-1),WP!$E$2:$E$23,0),1),IF(FIND("-",$B276)&gt;0,INDEX(WP!$A$2:$F$23,MATCH(LEFT($B276,FIND("_",$B276)-1),WP!$E$2:$E$23,0),1))),INDEX(WP!$A$2:$F$23,MATCH(Results!$B276,WP!$E$2:$E$23,0),1)),"")</f>
        <v/>
      </c>
      <c r="D276" s="12" t="str">
        <f>IFERROR(IFERROR(IF(RIGHT(INDEX(WP!$A$2:$F$23,MATCH(IF(FIND("_",$B276)&gt;0,LEFT($B276,FIND("_",$B276)-1)),WP!$E$2:$E$23,0),2),6)="Series",LEFT(INDEX(WP!$A$2:$F$23,MATCH(IF(FIND("_",$B276)&gt;0,LEFT($B276,FIND("_",$B276)-1)),WP!$E$2:$E$23,0),2),5),""),IF(RIGHT(INDEX(WP!$A$2:$F$23,MATCH($B276,WP!$E$2:$E$23,0),2),6)="Series",LEFT(INDEX(WP!$A$2:$F$23,MATCH($B276,WP!$E$2:$E$23,0),2),5),"")),"")</f>
        <v/>
      </c>
      <c r="E276" s="17" t="str">
        <f>IFERROR(VLOOKUP(VALUE($D276),Series!$B$3:$F$11,2,0),"")</f>
        <v/>
      </c>
      <c r="F276" s="12" t="str">
        <f>_xlfn.IFNA(IF(IF($D276&lt;&gt;"",COUNTIF($E:$E,"="&amp;$D276),"")="",IF(RIGHT(IFERROR(IF(FIND("_",$B276)&gt;0,INDEX(WP!$A$2:$F$23,MATCH(LEFT($B276,FIND("_",$B276)-1),WP!$E$2:$E$23,0),2),IF(FIND("-",$B276)&gt;0,INDEX(WP!$A$2:$F$23,MATCH(LEFT($B276,FIND("_",$B276)-1),WP!$E$2:$E$23,0),2))),INDEX(WP!$A$2:$F$23,MATCH(Results!$B276,WP!$E$2:$E$23,0),2)),6)="Series",LEFT(IFERROR(IF(FIND("_",$B276)&gt;0,INDEX(WP!$A$2:$F$23,MATCH(LEFT($B276,FIND("_",$B276)-1),WP!$E$2:$E$23,0),2),IF(FIND("-",$B276)&gt;0,INDEX(WP!$A$2:$F$23,MATCH(LEFT($B276,FIND("_",$B276)-1),WP!$E$2:$E$23,0),2))),INDEX(WP!$A$2:$F$23,MATCH(Results!$B276,WP!$E$2:$E$23,0),2)),5),(IFERROR(IF(FIND("_",$B276)&gt;0,INDEX(WP!$A$2:$F$23,MATCH(LEFT($B276,FIND("_",$B276)-1),WP!$E$2:$E$23,0),2),IF(FIND("-",$B276)&gt;0,INDEX(WP!$A$2:$F$23,MATCH(LEFT($B276,FIND("_",$B276)-1),WP!$E$2:$E$23,0),2))),INDEX(WP!$A$2:$F$23,MATCH(Results!$B276,WP!$E$2:$E$23,0),2)))),IF(RIGHT(IFERROR(IF(FIND("_",$B276)&gt;0,INDEX(WP!$A$2:$F$23,MATCH(LEFT($B276,FIND("_",$B276)-1),WP!$E$2:$E$23,0),2),IF(FIND("-",$B276)&gt;0,INDEX(WP!$A$2:$F$23,MATCH(LEFT($B276,FIND("_",$B276)-1),WP!$E$2:$E$23,0),2))),INDEX(WP!$A$2:$F$23,MATCH(Results!$B276,WP!$E$2:$E$23,0),2)),6)="Series",LEFT(IFERROR(IF(FIND("_",$B276)&gt;0,INDEX(WP!$A$2:$F$23,MATCH(LEFT($B276,FIND("_",$B276)-1),WP!$E$2:$E$23,0),2),IF(FIND("-",$B276)&gt;0,INDEX(WP!$A$2:$F$23,MATCH(LEFT($B276,FIND("_",$B276)-1),WP!$E$2:$E$23,0),2))),INDEX(WP!$A$2:$F$23,MATCH(Results!$B276,WP!$E$2:$E$23,0),2)),5),(IFERROR(IF(FIND("_",$B276)&gt;0,INDEX(WP!$A$2:$F$23,MATCH(LEFT($B276,FIND("_",$B276)-1),WP!$E$2:$E$23,0),2),IF(FIND("-",$B276)&gt;0,INDEX(WP!$A$2:$F$23,MATCH(LEFT($B276,FIND("_",$B276)-1),WP!$E$2:$E$23,0),2))),INDEX(WP!$A$2:$F$23,MATCH(Results!$B276,WP!$E$2:$E$23,0),2))))&amp;"-"&amp;$I276),"")</f>
        <v/>
      </c>
      <c r="G276" s="17" t="str">
        <f>IF(LEN(_xlfn.IFNA(IF(IFERROR(IF(FIND("_",$B276)&gt;0,MID($B276,FIND("_",$B276)+1,LEN($B276)),IF(FIND("-",$B276)&gt;0,MID($B276,FIND("-",$B276)+1,LEN($B276)))),"")="",IFERROR(VLOOKUP($F276,WP!$B$2:$C$23,2,0),VLOOKUP($C276,Series!$A$3:$F$11,6,0)),IFERROR(VLOOKUP($F276,WP!$B$2:$C$23,2,0),VLOOKUP($C276,Series!$A$3:$F$11,6,0))&amp;" - "&amp;(IFERROR(IF(FIND("_",$B276)&gt;0,MID($B276,FIND("_",$B276)+1,LEN($B276)),IF(FIND("-",$B276)&gt;0,MID($B276,FIND("-",$B276)+1,LEN($B276)))),""))),""))&lt;64,_xlfn.IFNA(IF(IFERROR(IF(FIND("_",$B276)&gt;0,MID($B276,FIND("_",$B276)+1,LEN($B276)),IF(FIND("-",$B276)&gt;0,MID($B276,FIND("-",$B276)+1,LEN($B276)))),"")="",IFERROR(VLOOKUP($F276,WP!$B$2:$C$23,2,0),VLOOKUP($C276,Series!$A$3:$F$11,6,0)),IFERROR(VLOOKUP($F276,WP!$B$2:$C$23,2,0),VLOOKUP($C276,Series!$A$3:$F$11,6,0))&amp;" - "&amp;(IFERROR(IF(FIND("_",$B276)&gt;0,MID($B276,FIND("_",$B276)+1,LEN($B276)),IF(FIND("-",$B276)&gt;0,MID($B276,FIND("-",$B276)+1,LEN($B276)))),""))),""),LEFT((_xlfn.IFNA(IF(IFERROR(IF(FIND("_",$B276)&gt;0,MID($B276,FIND("_",$B276)+1,LEN($B276)),IF(FIND("-",$B276)&gt;0,MID($B276,FIND("-",$B276)+1,LEN($B276)))),"")="",IFERROR(VLOOKUP($F276,WP!$B$2:$C$23,2,0),VLOOKUP($C276,Series!$A$3:$F$11,6,0)),IFERROR(VLOOKUP($F276,WP!$B$2:$C$23,2,0),VLOOKUP($C276,Series!$A$3:$F$11,6,0))&amp;" - "&amp;(IFERROR(IF(FIND("_",$B276)&gt;0,MID($B276,FIND("_",$B276)+1,LEN($B276)),IF(FIND("-",$B276)&gt;0,MID($B276,FIND("-",$B276)+1,LEN($B276)))),""))),"")),64))</f>
        <v/>
      </c>
      <c r="H276" s="12"/>
      <c r="I276" s="12" t="str">
        <f>IF($D276&lt;&gt;"",COUNTIF($D$7:$D276,"="&amp;$D276),"")</f>
        <v/>
      </c>
      <c r="J276"/>
      <c r="K276" s="8"/>
      <c r="L276"/>
    </row>
    <row r="277" spans="1:12" x14ac:dyDescent="0.3">
      <c r="A277" s="1"/>
      <c r="B277" s="26"/>
      <c r="C277" s="12" t="str">
        <f>_xlfn.IFNA(IFERROR(IF(FIND("_",$B277)&gt;0,INDEX(WP!$A$2:$F$23,MATCH(LEFT($B277,FIND("_",$B277)-1),WP!$E$2:$E$23,0),1),IF(FIND("-",$B277)&gt;0,INDEX(WP!$A$2:$F$23,MATCH(LEFT($B277,FIND("_",$B277)-1),WP!$E$2:$E$23,0),1))),INDEX(WP!$A$2:$F$23,MATCH(Results!$B277,WP!$E$2:$E$23,0),1)),"")</f>
        <v/>
      </c>
      <c r="D277" s="12" t="str">
        <f>IFERROR(IFERROR(IF(RIGHT(INDEX(WP!$A$2:$F$23,MATCH(IF(FIND("_",$B277)&gt;0,LEFT($B277,FIND("_",$B277)-1)),WP!$E$2:$E$23,0),2),6)="Series",LEFT(INDEX(WP!$A$2:$F$23,MATCH(IF(FIND("_",$B277)&gt;0,LEFT($B277,FIND("_",$B277)-1)),WP!$E$2:$E$23,0),2),5),""),IF(RIGHT(INDEX(WP!$A$2:$F$23,MATCH($B277,WP!$E$2:$E$23,0),2),6)="Series",LEFT(INDEX(WP!$A$2:$F$23,MATCH($B277,WP!$E$2:$E$23,0),2),5),"")),"")</f>
        <v/>
      </c>
      <c r="E277" s="17" t="str">
        <f>IFERROR(VLOOKUP(VALUE($D277),Series!$B$3:$F$11,2,0),"")</f>
        <v/>
      </c>
      <c r="F277" s="12" t="str">
        <f>_xlfn.IFNA(IF(IF($D277&lt;&gt;"",COUNTIF($E:$E,"="&amp;$D277),"")="",IF(RIGHT(IFERROR(IF(FIND("_",$B277)&gt;0,INDEX(WP!$A$2:$F$23,MATCH(LEFT($B277,FIND("_",$B277)-1),WP!$E$2:$E$23,0),2),IF(FIND("-",$B277)&gt;0,INDEX(WP!$A$2:$F$23,MATCH(LEFT($B277,FIND("_",$B277)-1),WP!$E$2:$E$23,0),2))),INDEX(WP!$A$2:$F$23,MATCH(Results!$B277,WP!$E$2:$E$23,0),2)),6)="Series",LEFT(IFERROR(IF(FIND("_",$B277)&gt;0,INDEX(WP!$A$2:$F$23,MATCH(LEFT($B277,FIND("_",$B277)-1),WP!$E$2:$E$23,0),2),IF(FIND("-",$B277)&gt;0,INDEX(WP!$A$2:$F$23,MATCH(LEFT($B277,FIND("_",$B277)-1),WP!$E$2:$E$23,0),2))),INDEX(WP!$A$2:$F$23,MATCH(Results!$B277,WP!$E$2:$E$23,0),2)),5),(IFERROR(IF(FIND("_",$B277)&gt;0,INDEX(WP!$A$2:$F$23,MATCH(LEFT($B277,FIND("_",$B277)-1),WP!$E$2:$E$23,0),2),IF(FIND("-",$B277)&gt;0,INDEX(WP!$A$2:$F$23,MATCH(LEFT($B277,FIND("_",$B277)-1),WP!$E$2:$E$23,0),2))),INDEX(WP!$A$2:$F$23,MATCH(Results!$B277,WP!$E$2:$E$23,0),2)))),IF(RIGHT(IFERROR(IF(FIND("_",$B277)&gt;0,INDEX(WP!$A$2:$F$23,MATCH(LEFT($B277,FIND("_",$B277)-1),WP!$E$2:$E$23,0),2),IF(FIND("-",$B277)&gt;0,INDEX(WP!$A$2:$F$23,MATCH(LEFT($B277,FIND("_",$B277)-1),WP!$E$2:$E$23,0),2))),INDEX(WP!$A$2:$F$23,MATCH(Results!$B277,WP!$E$2:$E$23,0),2)),6)="Series",LEFT(IFERROR(IF(FIND("_",$B277)&gt;0,INDEX(WP!$A$2:$F$23,MATCH(LEFT($B277,FIND("_",$B277)-1),WP!$E$2:$E$23,0),2),IF(FIND("-",$B277)&gt;0,INDEX(WP!$A$2:$F$23,MATCH(LEFT($B277,FIND("_",$B277)-1),WP!$E$2:$E$23,0),2))),INDEX(WP!$A$2:$F$23,MATCH(Results!$B277,WP!$E$2:$E$23,0),2)),5),(IFERROR(IF(FIND("_",$B277)&gt;0,INDEX(WP!$A$2:$F$23,MATCH(LEFT($B277,FIND("_",$B277)-1),WP!$E$2:$E$23,0),2),IF(FIND("-",$B277)&gt;0,INDEX(WP!$A$2:$F$23,MATCH(LEFT($B277,FIND("_",$B277)-1),WP!$E$2:$E$23,0),2))),INDEX(WP!$A$2:$F$23,MATCH(Results!$B277,WP!$E$2:$E$23,0),2))))&amp;"-"&amp;$I277),"")</f>
        <v/>
      </c>
      <c r="G277" s="17" t="str">
        <f>IF(LEN(_xlfn.IFNA(IF(IFERROR(IF(FIND("_",$B277)&gt;0,MID($B277,FIND("_",$B277)+1,LEN($B277)),IF(FIND("-",$B277)&gt;0,MID($B277,FIND("-",$B277)+1,LEN($B277)))),"")="",IFERROR(VLOOKUP($F277,WP!$B$2:$C$23,2,0),VLOOKUP($C277,Series!$A$3:$F$11,6,0)),IFERROR(VLOOKUP($F277,WP!$B$2:$C$23,2,0),VLOOKUP($C277,Series!$A$3:$F$11,6,0))&amp;" - "&amp;(IFERROR(IF(FIND("_",$B277)&gt;0,MID($B277,FIND("_",$B277)+1,LEN($B277)),IF(FIND("-",$B277)&gt;0,MID($B277,FIND("-",$B277)+1,LEN($B277)))),""))),""))&lt;64,_xlfn.IFNA(IF(IFERROR(IF(FIND("_",$B277)&gt;0,MID($B277,FIND("_",$B277)+1,LEN($B277)),IF(FIND("-",$B277)&gt;0,MID($B277,FIND("-",$B277)+1,LEN($B277)))),"")="",IFERROR(VLOOKUP($F277,WP!$B$2:$C$23,2,0),VLOOKUP($C277,Series!$A$3:$F$11,6,0)),IFERROR(VLOOKUP($F277,WP!$B$2:$C$23,2,0),VLOOKUP($C277,Series!$A$3:$F$11,6,0))&amp;" - "&amp;(IFERROR(IF(FIND("_",$B277)&gt;0,MID($B277,FIND("_",$B277)+1,LEN($B277)),IF(FIND("-",$B277)&gt;0,MID($B277,FIND("-",$B277)+1,LEN($B277)))),""))),""),LEFT((_xlfn.IFNA(IF(IFERROR(IF(FIND("_",$B277)&gt;0,MID($B277,FIND("_",$B277)+1,LEN($B277)),IF(FIND("-",$B277)&gt;0,MID($B277,FIND("-",$B277)+1,LEN($B277)))),"")="",IFERROR(VLOOKUP($F277,WP!$B$2:$C$23,2,0),VLOOKUP($C277,Series!$A$3:$F$11,6,0)),IFERROR(VLOOKUP($F277,WP!$B$2:$C$23,2,0),VLOOKUP($C277,Series!$A$3:$F$11,6,0))&amp;" - "&amp;(IFERROR(IF(FIND("_",$B277)&gt;0,MID($B277,FIND("_",$B277)+1,LEN($B277)),IF(FIND("-",$B277)&gt;0,MID($B277,FIND("-",$B277)+1,LEN($B277)))),""))),"")),64))</f>
        <v/>
      </c>
      <c r="H277" s="12"/>
      <c r="I277" s="12" t="str">
        <f>IF($D277&lt;&gt;"",COUNTIF($D$7:$D277,"="&amp;$D277),"")</f>
        <v/>
      </c>
      <c r="J277"/>
      <c r="K277" s="8"/>
      <c r="L277"/>
    </row>
    <row r="278" spans="1:12" x14ac:dyDescent="0.3">
      <c r="A278" s="1"/>
      <c r="B278" s="26"/>
      <c r="C278" s="12" t="str">
        <f>_xlfn.IFNA(IFERROR(IF(FIND("_",$B278)&gt;0,INDEX(WP!$A$2:$F$23,MATCH(LEFT($B278,FIND("_",$B278)-1),WP!$E$2:$E$23,0),1),IF(FIND("-",$B278)&gt;0,INDEX(WP!$A$2:$F$23,MATCH(LEFT($B278,FIND("_",$B278)-1),WP!$E$2:$E$23,0),1))),INDEX(WP!$A$2:$F$23,MATCH(Results!$B278,WP!$E$2:$E$23,0),1)),"")</f>
        <v/>
      </c>
      <c r="D278" s="12" t="str">
        <f>IFERROR(IFERROR(IF(RIGHT(INDEX(WP!$A$2:$F$23,MATCH(IF(FIND("_",$B278)&gt;0,LEFT($B278,FIND("_",$B278)-1)),WP!$E$2:$E$23,0),2),6)="Series",LEFT(INDEX(WP!$A$2:$F$23,MATCH(IF(FIND("_",$B278)&gt;0,LEFT($B278,FIND("_",$B278)-1)),WP!$E$2:$E$23,0),2),5),""),IF(RIGHT(INDEX(WP!$A$2:$F$23,MATCH($B278,WP!$E$2:$E$23,0),2),6)="Series",LEFT(INDEX(WP!$A$2:$F$23,MATCH($B278,WP!$E$2:$E$23,0),2),5),"")),"")</f>
        <v/>
      </c>
      <c r="E278" s="17" t="str">
        <f>IFERROR(VLOOKUP(VALUE($D278),Series!$B$3:$F$11,2,0),"")</f>
        <v/>
      </c>
      <c r="F278" s="12" t="str">
        <f>_xlfn.IFNA(IF(IF($D278&lt;&gt;"",COUNTIF($E:$E,"="&amp;$D278),"")="",IF(RIGHT(IFERROR(IF(FIND("_",$B278)&gt;0,INDEX(WP!$A$2:$F$23,MATCH(LEFT($B278,FIND("_",$B278)-1),WP!$E$2:$E$23,0),2),IF(FIND("-",$B278)&gt;0,INDEX(WP!$A$2:$F$23,MATCH(LEFT($B278,FIND("_",$B278)-1),WP!$E$2:$E$23,0),2))),INDEX(WP!$A$2:$F$23,MATCH(Results!$B278,WP!$E$2:$E$23,0),2)),6)="Series",LEFT(IFERROR(IF(FIND("_",$B278)&gt;0,INDEX(WP!$A$2:$F$23,MATCH(LEFT($B278,FIND("_",$B278)-1),WP!$E$2:$E$23,0),2),IF(FIND("-",$B278)&gt;0,INDEX(WP!$A$2:$F$23,MATCH(LEFT($B278,FIND("_",$B278)-1),WP!$E$2:$E$23,0),2))),INDEX(WP!$A$2:$F$23,MATCH(Results!$B278,WP!$E$2:$E$23,0),2)),5),(IFERROR(IF(FIND("_",$B278)&gt;0,INDEX(WP!$A$2:$F$23,MATCH(LEFT($B278,FIND("_",$B278)-1),WP!$E$2:$E$23,0),2),IF(FIND("-",$B278)&gt;0,INDEX(WP!$A$2:$F$23,MATCH(LEFT($B278,FIND("_",$B278)-1),WP!$E$2:$E$23,0),2))),INDEX(WP!$A$2:$F$23,MATCH(Results!$B278,WP!$E$2:$E$23,0),2)))),IF(RIGHT(IFERROR(IF(FIND("_",$B278)&gt;0,INDEX(WP!$A$2:$F$23,MATCH(LEFT($B278,FIND("_",$B278)-1),WP!$E$2:$E$23,0),2),IF(FIND("-",$B278)&gt;0,INDEX(WP!$A$2:$F$23,MATCH(LEFT($B278,FIND("_",$B278)-1),WP!$E$2:$E$23,0),2))),INDEX(WP!$A$2:$F$23,MATCH(Results!$B278,WP!$E$2:$E$23,0),2)),6)="Series",LEFT(IFERROR(IF(FIND("_",$B278)&gt;0,INDEX(WP!$A$2:$F$23,MATCH(LEFT($B278,FIND("_",$B278)-1),WP!$E$2:$E$23,0),2),IF(FIND("-",$B278)&gt;0,INDEX(WP!$A$2:$F$23,MATCH(LEFT($B278,FIND("_",$B278)-1),WP!$E$2:$E$23,0),2))),INDEX(WP!$A$2:$F$23,MATCH(Results!$B278,WP!$E$2:$E$23,0),2)),5),(IFERROR(IF(FIND("_",$B278)&gt;0,INDEX(WP!$A$2:$F$23,MATCH(LEFT($B278,FIND("_",$B278)-1),WP!$E$2:$E$23,0),2),IF(FIND("-",$B278)&gt;0,INDEX(WP!$A$2:$F$23,MATCH(LEFT($B278,FIND("_",$B278)-1),WP!$E$2:$E$23,0),2))),INDEX(WP!$A$2:$F$23,MATCH(Results!$B278,WP!$E$2:$E$23,0),2))))&amp;"-"&amp;$I278),"")</f>
        <v/>
      </c>
      <c r="G278" s="17" t="str">
        <f>IF(LEN(_xlfn.IFNA(IF(IFERROR(IF(FIND("_",$B278)&gt;0,MID($B278,FIND("_",$B278)+1,LEN($B278)),IF(FIND("-",$B278)&gt;0,MID($B278,FIND("-",$B278)+1,LEN($B278)))),"")="",IFERROR(VLOOKUP($F278,WP!$B$2:$C$23,2,0),VLOOKUP($C278,Series!$A$3:$F$11,6,0)),IFERROR(VLOOKUP($F278,WP!$B$2:$C$23,2,0),VLOOKUP($C278,Series!$A$3:$F$11,6,0))&amp;" - "&amp;(IFERROR(IF(FIND("_",$B278)&gt;0,MID($B278,FIND("_",$B278)+1,LEN($B278)),IF(FIND("-",$B278)&gt;0,MID($B278,FIND("-",$B278)+1,LEN($B278)))),""))),""))&lt;64,_xlfn.IFNA(IF(IFERROR(IF(FIND("_",$B278)&gt;0,MID($B278,FIND("_",$B278)+1,LEN($B278)),IF(FIND("-",$B278)&gt;0,MID($B278,FIND("-",$B278)+1,LEN($B278)))),"")="",IFERROR(VLOOKUP($F278,WP!$B$2:$C$23,2,0),VLOOKUP($C278,Series!$A$3:$F$11,6,0)),IFERROR(VLOOKUP($F278,WP!$B$2:$C$23,2,0),VLOOKUP($C278,Series!$A$3:$F$11,6,0))&amp;" - "&amp;(IFERROR(IF(FIND("_",$B278)&gt;0,MID($B278,FIND("_",$B278)+1,LEN($B278)),IF(FIND("-",$B278)&gt;0,MID($B278,FIND("-",$B278)+1,LEN($B278)))),""))),""),LEFT((_xlfn.IFNA(IF(IFERROR(IF(FIND("_",$B278)&gt;0,MID($B278,FIND("_",$B278)+1,LEN($B278)),IF(FIND("-",$B278)&gt;0,MID($B278,FIND("-",$B278)+1,LEN($B278)))),"")="",IFERROR(VLOOKUP($F278,WP!$B$2:$C$23,2,0),VLOOKUP($C278,Series!$A$3:$F$11,6,0)),IFERROR(VLOOKUP($F278,WP!$B$2:$C$23,2,0),VLOOKUP($C278,Series!$A$3:$F$11,6,0))&amp;" - "&amp;(IFERROR(IF(FIND("_",$B278)&gt;0,MID($B278,FIND("_",$B278)+1,LEN($B278)),IF(FIND("-",$B278)&gt;0,MID($B278,FIND("-",$B278)+1,LEN($B278)))),""))),"")),64))</f>
        <v/>
      </c>
      <c r="H278" s="12"/>
      <c r="I278" s="12" t="str">
        <f>IF($D278&lt;&gt;"",COUNTIF($D$7:$D278,"="&amp;$D278),"")</f>
        <v/>
      </c>
      <c r="J278"/>
      <c r="K278" s="8"/>
      <c r="L278"/>
    </row>
    <row r="279" spans="1:12" x14ac:dyDescent="0.3">
      <c r="A279" s="1"/>
      <c r="B279" s="26"/>
      <c r="C279" s="12" t="str">
        <f>_xlfn.IFNA(IFERROR(IF(FIND("_",$B279)&gt;0,INDEX(WP!$A$2:$F$23,MATCH(LEFT($B279,FIND("_",$B279)-1),WP!$E$2:$E$23,0),1),IF(FIND("-",$B279)&gt;0,INDEX(WP!$A$2:$F$23,MATCH(LEFT($B279,FIND("_",$B279)-1),WP!$E$2:$E$23,0),1))),INDEX(WP!$A$2:$F$23,MATCH(Results!$B279,WP!$E$2:$E$23,0),1)),"")</f>
        <v/>
      </c>
      <c r="D279" s="12" t="str">
        <f>IFERROR(IFERROR(IF(RIGHT(INDEX(WP!$A$2:$F$23,MATCH(IF(FIND("_",$B279)&gt;0,LEFT($B279,FIND("_",$B279)-1)),WP!$E$2:$E$23,0),2),6)="Series",LEFT(INDEX(WP!$A$2:$F$23,MATCH(IF(FIND("_",$B279)&gt;0,LEFT($B279,FIND("_",$B279)-1)),WP!$E$2:$E$23,0),2),5),""),IF(RIGHT(INDEX(WP!$A$2:$F$23,MATCH($B279,WP!$E$2:$E$23,0),2),6)="Series",LEFT(INDEX(WP!$A$2:$F$23,MATCH($B279,WP!$E$2:$E$23,0),2),5),"")),"")</f>
        <v/>
      </c>
      <c r="E279" s="17" t="str">
        <f>IFERROR(VLOOKUP(VALUE($D279),Series!$B$3:$F$11,2,0),"")</f>
        <v/>
      </c>
      <c r="F279" s="12" t="str">
        <f>_xlfn.IFNA(IF(IF($D279&lt;&gt;"",COUNTIF($E:$E,"="&amp;$D279),"")="",IF(RIGHT(IFERROR(IF(FIND("_",$B279)&gt;0,INDEX(WP!$A$2:$F$23,MATCH(LEFT($B279,FIND("_",$B279)-1),WP!$E$2:$E$23,0),2),IF(FIND("-",$B279)&gt;0,INDEX(WP!$A$2:$F$23,MATCH(LEFT($B279,FIND("_",$B279)-1),WP!$E$2:$E$23,0),2))),INDEX(WP!$A$2:$F$23,MATCH(Results!$B279,WP!$E$2:$E$23,0),2)),6)="Series",LEFT(IFERROR(IF(FIND("_",$B279)&gt;0,INDEX(WP!$A$2:$F$23,MATCH(LEFT($B279,FIND("_",$B279)-1),WP!$E$2:$E$23,0),2),IF(FIND("-",$B279)&gt;0,INDEX(WP!$A$2:$F$23,MATCH(LEFT($B279,FIND("_",$B279)-1),WP!$E$2:$E$23,0),2))),INDEX(WP!$A$2:$F$23,MATCH(Results!$B279,WP!$E$2:$E$23,0),2)),5),(IFERROR(IF(FIND("_",$B279)&gt;0,INDEX(WP!$A$2:$F$23,MATCH(LEFT($B279,FIND("_",$B279)-1),WP!$E$2:$E$23,0),2),IF(FIND("-",$B279)&gt;0,INDEX(WP!$A$2:$F$23,MATCH(LEFT($B279,FIND("_",$B279)-1),WP!$E$2:$E$23,0),2))),INDEX(WP!$A$2:$F$23,MATCH(Results!$B279,WP!$E$2:$E$23,0),2)))),IF(RIGHT(IFERROR(IF(FIND("_",$B279)&gt;0,INDEX(WP!$A$2:$F$23,MATCH(LEFT($B279,FIND("_",$B279)-1),WP!$E$2:$E$23,0),2),IF(FIND("-",$B279)&gt;0,INDEX(WP!$A$2:$F$23,MATCH(LEFT($B279,FIND("_",$B279)-1),WP!$E$2:$E$23,0),2))),INDEX(WP!$A$2:$F$23,MATCH(Results!$B279,WP!$E$2:$E$23,0),2)),6)="Series",LEFT(IFERROR(IF(FIND("_",$B279)&gt;0,INDEX(WP!$A$2:$F$23,MATCH(LEFT($B279,FIND("_",$B279)-1),WP!$E$2:$E$23,0),2),IF(FIND("-",$B279)&gt;0,INDEX(WP!$A$2:$F$23,MATCH(LEFT($B279,FIND("_",$B279)-1),WP!$E$2:$E$23,0),2))),INDEX(WP!$A$2:$F$23,MATCH(Results!$B279,WP!$E$2:$E$23,0),2)),5),(IFERROR(IF(FIND("_",$B279)&gt;0,INDEX(WP!$A$2:$F$23,MATCH(LEFT($B279,FIND("_",$B279)-1),WP!$E$2:$E$23,0),2),IF(FIND("-",$B279)&gt;0,INDEX(WP!$A$2:$F$23,MATCH(LEFT($B279,FIND("_",$B279)-1),WP!$E$2:$E$23,0),2))),INDEX(WP!$A$2:$F$23,MATCH(Results!$B279,WP!$E$2:$E$23,0),2))))&amp;"-"&amp;$I279),"")</f>
        <v/>
      </c>
      <c r="G279" s="17" t="str">
        <f>IF(LEN(_xlfn.IFNA(IF(IFERROR(IF(FIND("_",$B279)&gt;0,MID($B279,FIND("_",$B279)+1,LEN($B279)),IF(FIND("-",$B279)&gt;0,MID($B279,FIND("-",$B279)+1,LEN($B279)))),"")="",IFERROR(VLOOKUP($F279,WP!$B$2:$C$23,2,0),VLOOKUP($C279,Series!$A$3:$F$11,6,0)),IFERROR(VLOOKUP($F279,WP!$B$2:$C$23,2,0),VLOOKUP($C279,Series!$A$3:$F$11,6,0))&amp;" - "&amp;(IFERROR(IF(FIND("_",$B279)&gt;0,MID($B279,FIND("_",$B279)+1,LEN($B279)),IF(FIND("-",$B279)&gt;0,MID($B279,FIND("-",$B279)+1,LEN($B279)))),""))),""))&lt;64,_xlfn.IFNA(IF(IFERROR(IF(FIND("_",$B279)&gt;0,MID($B279,FIND("_",$B279)+1,LEN($B279)),IF(FIND("-",$B279)&gt;0,MID($B279,FIND("-",$B279)+1,LEN($B279)))),"")="",IFERROR(VLOOKUP($F279,WP!$B$2:$C$23,2,0),VLOOKUP($C279,Series!$A$3:$F$11,6,0)),IFERROR(VLOOKUP($F279,WP!$B$2:$C$23,2,0),VLOOKUP($C279,Series!$A$3:$F$11,6,0))&amp;" - "&amp;(IFERROR(IF(FIND("_",$B279)&gt;0,MID($B279,FIND("_",$B279)+1,LEN($B279)),IF(FIND("-",$B279)&gt;0,MID($B279,FIND("-",$B279)+1,LEN($B279)))),""))),""),LEFT((_xlfn.IFNA(IF(IFERROR(IF(FIND("_",$B279)&gt;0,MID($B279,FIND("_",$B279)+1,LEN($B279)),IF(FIND("-",$B279)&gt;0,MID($B279,FIND("-",$B279)+1,LEN($B279)))),"")="",IFERROR(VLOOKUP($F279,WP!$B$2:$C$23,2,0),VLOOKUP($C279,Series!$A$3:$F$11,6,0)),IFERROR(VLOOKUP($F279,WP!$B$2:$C$23,2,0),VLOOKUP($C279,Series!$A$3:$F$11,6,0))&amp;" - "&amp;(IFERROR(IF(FIND("_",$B279)&gt;0,MID($B279,FIND("_",$B279)+1,LEN($B279)),IF(FIND("-",$B279)&gt;0,MID($B279,FIND("-",$B279)+1,LEN($B279)))),""))),"")),64))</f>
        <v/>
      </c>
      <c r="H279" s="12"/>
      <c r="I279" s="12" t="str">
        <f>IF($D279&lt;&gt;"",COUNTIF($D$7:$D279,"="&amp;$D279),"")</f>
        <v/>
      </c>
      <c r="J279"/>
      <c r="K279" s="8"/>
      <c r="L279"/>
    </row>
    <row r="280" spans="1:12" x14ac:dyDescent="0.3">
      <c r="A280" s="1"/>
      <c r="B280" s="26"/>
      <c r="C280" s="12" t="str">
        <f>_xlfn.IFNA(IFERROR(IF(FIND("_",$B280)&gt;0,INDEX(WP!$A$2:$F$23,MATCH(LEFT($B280,FIND("_",$B280)-1),WP!$E$2:$E$23,0),1),IF(FIND("-",$B280)&gt;0,INDEX(WP!$A$2:$F$23,MATCH(LEFT($B280,FIND("_",$B280)-1),WP!$E$2:$E$23,0),1))),INDEX(WP!$A$2:$F$23,MATCH(Results!$B280,WP!$E$2:$E$23,0),1)),"")</f>
        <v/>
      </c>
      <c r="D280" s="12" t="str">
        <f>IFERROR(IFERROR(IF(RIGHT(INDEX(WP!$A$2:$F$23,MATCH(IF(FIND("_",$B280)&gt;0,LEFT($B280,FIND("_",$B280)-1)),WP!$E$2:$E$23,0),2),6)="Series",LEFT(INDEX(WP!$A$2:$F$23,MATCH(IF(FIND("_",$B280)&gt;0,LEFT($B280,FIND("_",$B280)-1)),WP!$E$2:$E$23,0),2),5),""),IF(RIGHT(INDEX(WP!$A$2:$F$23,MATCH($B280,WP!$E$2:$E$23,0),2),6)="Series",LEFT(INDEX(WP!$A$2:$F$23,MATCH($B280,WP!$E$2:$E$23,0),2),5),"")),"")</f>
        <v/>
      </c>
      <c r="E280" s="17" t="str">
        <f>IFERROR(VLOOKUP(VALUE($D280),Series!$B$3:$F$11,2,0),"")</f>
        <v/>
      </c>
      <c r="F280" s="12" t="str">
        <f>_xlfn.IFNA(IF(IF($D280&lt;&gt;"",COUNTIF($E:$E,"="&amp;$D280),"")="",IF(RIGHT(IFERROR(IF(FIND("_",$B280)&gt;0,INDEX(WP!$A$2:$F$23,MATCH(LEFT($B280,FIND("_",$B280)-1),WP!$E$2:$E$23,0),2),IF(FIND("-",$B280)&gt;0,INDEX(WP!$A$2:$F$23,MATCH(LEFT($B280,FIND("_",$B280)-1),WP!$E$2:$E$23,0),2))),INDEX(WP!$A$2:$F$23,MATCH(Results!$B280,WP!$E$2:$E$23,0),2)),6)="Series",LEFT(IFERROR(IF(FIND("_",$B280)&gt;0,INDEX(WP!$A$2:$F$23,MATCH(LEFT($B280,FIND("_",$B280)-1),WP!$E$2:$E$23,0),2),IF(FIND("-",$B280)&gt;0,INDEX(WP!$A$2:$F$23,MATCH(LEFT($B280,FIND("_",$B280)-1),WP!$E$2:$E$23,0),2))),INDEX(WP!$A$2:$F$23,MATCH(Results!$B280,WP!$E$2:$E$23,0),2)),5),(IFERROR(IF(FIND("_",$B280)&gt;0,INDEX(WP!$A$2:$F$23,MATCH(LEFT($B280,FIND("_",$B280)-1),WP!$E$2:$E$23,0),2),IF(FIND("-",$B280)&gt;0,INDEX(WP!$A$2:$F$23,MATCH(LEFT($B280,FIND("_",$B280)-1),WP!$E$2:$E$23,0),2))),INDEX(WP!$A$2:$F$23,MATCH(Results!$B280,WP!$E$2:$E$23,0),2)))),IF(RIGHT(IFERROR(IF(FIND("_",$B280)&gt;0,INDEX(WP!$A$2:$F$23,MATCH(LEFT($B280,FIND("_",$B280)-1),WP!$E$2:$E$23,0),2),IF(FIND("-",$B280)&gt;0,INDEX(WP!$A$2:$F$23,MATCH(LEFT($B280,FIND("_",$B280)-1),WP!$E$2:$E$23,0),2))),INDEX(WP!$A$2:$F$23,MATCH(Results!$B280,WP!$E$2:$E$23,0),2)),6)="Series",LEFT(IFERROR(IF(FIND("_",$B280)&gt;0,INDEX(WP!$A$2:$F$23,MATCH(LEFT($B280,FIND("_",$B280)-1),WP!$E$2:$E$23,0),2),IF(FIND("-",$B280)&gt;0,INDEX(WP!$A$2:$F$23,MATCH(LEFT($B280,FIND("_",$B280)-1),WP!$E$2:$E$23,0),2))),INDEX(WP!$A$2:$F$23,MATCH(Results!$B280,WP!$E$2:$E$23,0),2)),5),(IFERROR(IF(FIND("_",$B280)&gt;0,INDEX(WP!$A$2:$F$23,MATCH(LEFT($B280,FIND("_",$B280)-1),WP!$E$2:$E$23,0),2),IF(FIND("-",$B280)&gt;0,INDEX(WP!$A$2:$F$23,MATCH(LEFT($B280,FIND("_",$B280)-1),WP!$E$2:$E$23,0),2))),INDEX(WP!$A$2:$F$23,MATCH(Results!$B280,WP!$E$2:$E$23,0),2))))&amp;"-"&amp;$I280),"")</f>
        <v/>
      </c>
      <c r="G280" s="17" t="str">
        <f>IF(LEN(_xlfn.IFNA(IF(IFERROR(IF(FIND("_",$B280)&gt;0,MID($B280,FIND("_",$B280)+1,LEN($B280)),IF(FIND("-",$B280)&gt;0,MID($B280,FIND("-",$B280)+1,LEN($B280)))),"")="",IFERROR(VLOOKUP($F280,WP!$B$2:$C$23,2,0),VLOOKUP($C280,Series!$A$3:$F$11,6,0)),IFERROR(VLOOKUP($F280,WP!$B$2:$C$23,2,0),VLOOKUP($C280,Series!$A$3:$F$11,6,0))&amp;" - "&amp;(IFERROR(IF(FIND("_",$B280)&gt;0,MID($B280,FIND("_",$B280)+1,LEN($B280)),IF(FIND("-",$B280)&gt;0,MID($B280,FIND("-",$B280)+1,LEN($B280)))),""))),""))&lt;64,_xlfn.IFNA(IF(IFERROR(IF(FIND("_",$B280)&gt;0,MID($B280,FIND("_",$B280)+1,LEN($B280)),IF(FIND("-",$B280)&gt;0,MID($B280,FIND("-",$B280)+1,LEN($B280)))),"")="",IFERROR(VLOOKUP($F280,WP!$B$2:$C$23,2,0),VLOOKUP($C280,Series!$A$3:$F$11,6,0)),IFERROR(VLOOKUP($F280,WP!$B$2:$C$23,2,0),VLOOKUP($C280,Series!$A$3:$F$11,6,0))&amp;" - "&amp;(IFERROR(IF(FIND("_",$B280)&gt;0,MID($B280,FIND("_",$B280)+1,LEN($B280)),IF(FIND("-",$B280)&gt;0,MID($B280,FIND("-",$B280)+1,LEN($B280)))),""))),""),LEFT((_xlfn.IFNA(IF(IFERROR(IF(FIND("_",$B280)&gt;0,MID($B280,FIND("_",$B280)+1,LEN($B280)),IF(FIND("-",$B280)&gt;0,MID($B280,FIND("-",$B280)+1,LEN($B280)))),"")="",IFERROR(VLOOKUP($F280,WP!$B$2:$C$23,2,0),VLOOKUP($C280,Series!$A$3:$F$11,6,0)),IFERROR(VLOOKUP($F280,WP!$B$2:$C$23,2,0),VLOOKUP($C280,Series!$A$3:$F$11,6,0))&amp;" - "&amp;(IFERROR(IF(FIND("_",$B280)&gt;0,MID($B280,FIND("_",$B280)+1,LEN($B280)),IF(FIND("-",$B280)&gt;0,MID($B280,FIND("-",$B280)+1,LEN($B280)))),""))),"")),64))</f>
        <v/>
      </c>
      <c r="H280" s="12"/>
      <c r="I280" s="12" t="str">
        <f>IF($D280&lt;&gt;"",COUNTIF($D$7:$D280,"="&amp;$D280),"")</f>
        <v/>
      </c>
      <c r="J280"/>
      <c r="K280" s="8"/>
      <c r="L280"/>
    </row>
    <row r="281" spans="1:12" x14ac:dyDescent="0.3">
      <c r="A281" s="1"/>
      <c r="B281" s="26"/>
      <c r="C281" s="12" t="str">
        <f>_xlfn.IFNA(IFERROR(IF(FIND("_",$B281)&gt;0,INDEX(WP!$A$2:$F$23,MATCH(LEFT($B281,FIND("_",$B281)-1),WP!$E$2:$E$23,0),1),IF(FIND("-",$B281)&gt;0,INDEX(WP!$A$2:$F$23,MATCH(LEFT($B281,FIND("_",$B281)-1),WP!$E$2:$E$23,0),1))),INDEX(WP!$A$2:$F$23,MATCH(Results!$B281,WP!$E$2:$E$23,0),1)),"")</f>
        <v/>
      </c>
      <c r="D281" s="12" t="str">
        <f>IFERROR(IFERROR(IF(RIGHT(INDEX(WP!$A$2:$F$23,MATCH(IF(FIND("_",$B281)&gt;0,LEFT($B281,FIND("_",$B281)-1)),WP!$E$2:$E$23,0),2),6)="Series",LEFT(INDEX(WP!$A$2:$F$23,MATCH(IF(FIND("_",$B281)&gt;0,LEFT($B281,FIND("_",$B281)-1)),WP!$E$2:$E$23,0),2),5),""),IF(RIGHT(INDEX(WP!$A$2:$F$23,MATCH($B281,WP!$E$2:$E$23,0),2),6)="Series",LEFT(INDEX(WP!$A$2:$F$23,MATCH($B281,WP!$E$2:$E$23,0),2),5),"")),"")</f>
        <v/>
      </c>
      <c r="E281" s="17" t="str">
        <f>IFERROR(VLOOKUP(VALUE($D281),Series!$B$3:$F$11,2,0),"")</f>
        <v/>
      </c>
      <c r="F281" s="12" t="str">
        <f>_xlfn.IFNA(IF(IF($D281&lt;&gt;"",COUNTIF($E:$E,"="&amp;$D281),"")="",IF(RIGHT(IFERROR(IF(FIND("_",$B281)&gt;0,INDEX(WP!$A$2:$F$23,MATCH(LEFT($B281,FIND("_",$B281)-1),WP!$E$2:$E$23,0),2),IF(FIND("-",$B281)&gt;0,INDEX(WP!$A$2:$F$23,MATCH(LEFT($B281,FIND("_",$B281)-1),WP!$E$2:$E$23,0),2))),INDEX(WP!$A$2:$F$23,MATCH(Results!$B281,WP!$E$2:$E$23,0),2)),6)="Series",LEFT(IFERROR(IF(FIND("_",$B281)&gt;0,INDEX(WP!$A$2:$F$23,MATCH(LEFT($B281,FIND("_",$B281)-1),WP!$E$2:$E$23,0),2),IF(FIND("-",$B281)&gt;0,INDEX(WP!$A$2:$F$23,MATCH(LEFT($B281,FIND("_",$B281)-1),WP!$E$2:$E$23,0),2))),INDEX(WP!$A$2:$F$23,MATCH(Results!$B281,WP!$E$2:$E$23,0),2)),5),(IFERROR(IF(FIND("_",$B281)&gt;0,INDEX(WP!$A$2:$F$23,MATCH(LEFT($B281,FIND("_",$B281)-1),WP!$E$2:$E$23,0),2),IF(FIND("-",$B281)&gt;0,INDEX(WP!$A$2:$F$23,MATCH(LEFT($B281,FIND("_",$B281)-1),WP!$E$2:$E$23,0),2))),INDEX(WP!$A$2:$F$23,MATCH(Results!$B281,WP!$E$2:$E$23,0),2)))),IF(RIGHT(IFERROR(IF(FIND("_",$B281)&gt;0,INDEX(WP!$A$2:$F$23,MATCH(LEFT($B281,FIND("_",$B281)-1),WP!$E$2:$E$23,0),2),IF(FIND("-",$B281)&gt;0,INDEX(WP!$A$2:$F$23,MATCH(LEFT($B281,FIND("_",$B281)-1),WP!$E$2:$E$23,0),2))),INDEX(WP!$A$2:$F$23,MATCH(Results!$B281,WP!$E$2:$E$23,0),2)),6)="Series",LEFT(IFERROR(IF(FIND("_",$B281)&gt;0,INDEX(WP!$A$2:$F$23,MATCH(LEFT($B281,FIND("_",$B281)-1),WP!$E$2:$E$23,0),2),IF(FIND("-",$B281)&gt;0,INDEX(WP!$A$2:$F$23,MATCH(LEFT($B281,FIND("_",$B281)-1),WP!$E$2:$E$23,0),2))),INDEX(WP!$A$2:$F$23,MATCH(Results!$B281,WP!$E$2:$E$23,0),2)),5),(IFERROR(IF(FIND("_",$B281)&gt;0,INDEX(WP!$A$2:$F$23,MATCH(LEFT($B281,FIND("_",$B281)-1),WP!$E$2:$E$23,0),2),IF(FIND("-",$B281)&gt;0,INDEX(WP!$A$2:$F$23,MATCH(LEFT($B281,FIND("_",$B281)-1),WP!$E$2:$E$23,0),2))),INDEX(WP!$A$2:$F$23,MATCH(Results!$B281,WP!$E$2:$E$23,0),2))))&amp;"-"&amp;$I281),"")</f>
        <v/>
      </c>
      <c r="G281" s="17" t="str">
        <f>IF(LEN(_xlfn.IFNA(IF(IFERROR(IF(FIND("_",$B281)&gt;0,MID($B281,FIND("_",$B281)+1,LEN($B281)),IF(FIND("-",$B281)&gt;0,MID($B281,FIND("-",$B281)+1,LEN($B281)))),"")="",IFERROR(VLOOKUP($F281,WP!$B$2:$C$23,2,0),VLOOKUP($C281,Series!$A$3:$F$11,6,0)),IFERROR(VLOOKUP($F281,WP!$B$2:$C$23,2,0),VLOOKUP($C281,Series!$A$3:$F$11,6,0))&amp;" - "&amp;(IFERROR(IF(FIND("_",$B281)&gt;0,MID($B281,FIND("_",$B281)+1,LEN($B281)),IF(FIND("-",$B281)&gt;0,MID($B281,FIND("-",$B281)+1,LEN($B281)))),""))),""))&lt;64,_xlfn.IFNA(IF(IFERROR(IF(FIND("_",$B281)&gt;0,MID($B281,FIND("_",$B281)+1,LEN($B281)),IF(FIND("-",$B281)&gt;0,MID($B281,FIND("-",$B281)+1,LEN($B281)))),"")="",IFERROR(VLOOKUP($F281,WP!$B$2:$C$23,2,0),VLOOKUP($C281,Series!$A$3:$F$11,6,0)),IFERROR(VLOOKUP($F281,WP!$B$2:$C$23,2,0),VLOOKUP($C281,Series!$A$3:$F$11,6,0))&amp;" - "&amp;(IFERROR(IF(FIND("_",$B281)&gt;0,MID($B281,FIND("_",$B281)+1,LEN($B281)),IF(FIND("-",$B281)&gt;0,MID($B281,FIND("-",$B281)+1,LEN($B281)))),""))),""),LEFT((_xlfn.IFNA(IF(IFERROR(IF(FIND("_",$B281)&gt;0,MID($B281,FIND("_",$B281)+1,LEN($B281)),IF(FIND("-",$B281)&gt;0,MID($B281,FIND("-",$B281)+1,LEN($B281)))),"")="",IFERROR(VLOOKUP($F281,WP!$B$2:$C$23,2,0),VLOOKUP($C281,Series!$A$3:$F$11,6,0)),IFERROR(VLOOKUP($F281,WP!$B$2:$C$23,2,0),VLOOKUP($C281,Series!$A$3:$F$11,6,0))&amp;" - "&amp;(IFERROR(IF(FIND("_",$B281)&gt;0,MID($B281,FIND("_",$B281)+1,LEN($B281)),IF(FIND("-",$B281)&gt;0,MID($B281,FIND("-",$B281)+1,LEN($B281)))),""))),"")),64))</f>
        <v/>
      </c>
      <c r="H281" s="12"/>
      <c r="I281" s="12" t="str">
        <f>IF($D281&lt;&gt;"",COUNTIF($D$7:$D281,"="&amp;$D281),"")</f>
        <v/>
      </c>
      <c r="J281"/>
      <c r="K281" s="8"/>
      <c r="L281"/>
    </row>
    <row r="282" spans="1:12" x14ac:dyDescent="0.3">
      <c r="A282" s="1"/>
      <c r="B282" s="26"/>
      <c r="C282" s="12" t="str">
        <f>_xlfn.IFNA(IFERROR(IF(FIND("_",$B282)&gt;0,INDEX(WP!$A$2:$F$23,MATCH(LEFT($B282,FIND("_",$B282)-1),WP!$E$2:$E$23,0),1),IF(FIND("-",$B282)&gt;0,INDEX(WP!$A$2:$F$23,MATCH(LEFT($B282,FIND("_",$B282)-1),WP!$E$2:$E$23,0),1))),INDEX(WP!$A$2:$F$23,MATCH(Results!$B282,WP!$E$2:$E$23,0),1)),"")</f>
        <v/>
      </c>
      <c r="D282" s="12" t="str">
        <f>IFERROR(IFERROR(IF(RIGHT(INDEX(WP!$A$2:$F$23,MATCH(IF(FIND("_",$B282)&gt;0,LEFT($B282,FIND("_",$B282)-1)),WP!$E$2:$E$23,0),2),6)="Series",LEFT(INDEX(WP!$A$2:$F$23,MATCH(IF(FIND("_",$B282)&gt;0,LEFT($B282,FIND("_",$B282)-1)),WP!$E$2:$E$23,0),2),5),""),IF(RIGHT(INDEX(WP!$A$2:$F$23,MATCH($B282,WP!$E$2:$E$23,0),2),6)="Series",LEFT(INDEX(WP!$A$2:$F$23,MATCH($B282,WP!$E$2:$E$23,0),2),5),"")),"")</f>
        <v/>
      </c>
      <c r="E282" s="17" t="str">
        <f>IFERROR(VLOOKUP(VALUE($D282),Series!$B$3:$F$11,2,0),"")</f>
        <v/>
      </c>
      <c r="F282" s="12" t="str">
        <f>_xlfn.IFNA(IF(IF($D282&lt;&gt;"",COUNTIF($E:$E,"="&amp;$D282),"")="",IF(RIGHT(IFERROR(IF(FIND("_",$B282)&gt;0,INDEX(WP!$A$2:$F$23,MATCH(LEFT($B282,FIND("_",$B282)-1),WP!$E$2:$E$23,0),2),IF(FIND("-",$B282)&gt;0,INDEX(WP!$A$2:$F$23,MATCH(LEFT($B282,FIND("_",$B282)-1),WP!$E$2:$E$23,0),2))),INDEX(WP!$A$2:$F$23,MATCH(Results!$B282,WP!$E$2:$E$23,0),2)),6)="Series",LEFT(IFERROR(IF(FIND("_",$B282)&gt;0,INDEX(WP!$A$2:$F$23,MATCH(LEFT($B282,FIND("_",$B282)-1),WP!$E$2:$E$23,0),2),IF(FIND("-",$B282)&gt;0,INDEX(WP!$A$2:$F$23,MATCH(LEFT($B282,FIND("_",$B282)-1),WP!$E$2:$E$23,0),2))),INDEX(WP!$A$2:$F$23,MATCH(Results!$B282,WP!$E$2:$E$23,0),2)),5),(IFERROR(IF(FIND("_",$B282)&gt;0,INDEX(WP!$A$2:$F$23,MATCH(LEFT($B282,FIND("_",$B282)-1),WP!$E$2:$E$23,0),2),IF(FIND("-",$B282)&gt;0,INDEX(WP!$A$2:$F$23,MATCH(LEFT($B282,FIND("_",$B282)-1),WP!$E$2:$E$23,0),2))),INDEX(WP!$A$2:$F$23,MATCH(Results!$B282,WP!$E$2:$E$23,0),2)))),IF(RIGHT(IFERROR(IF(FIND("_",$B282)&gt;0,INDEX(WP!$A$2:$F$23,MATCH(LEFT($B282,FIND("_",$B282)-1),WP!$E$2:$E$23,0),2),IF(FIND("-",$B282)&gt;0,INDEX(WP!$A$2:$F$23,MATCH(LEFT($B282,FIND("_",$B282)-1),WP!$E$2:$E$23,0),2))),INDEX(WP!$A$2:$F$23,MATCH(Results!$B282,WP!$E$2:$E$23,0),2)),6)="Series",LEFT(IFERROR(IF(FIND("_",$B282)&gt;0,INDEX(WP!$A$2:$F$23,MATCH(LEFT($B282,FIND("_",$B282)-1),WP!$E$2:$E$23,0),2),IF(FIND("-",$B282)&gt;0,INDEX(WP!$A$2:$F$23,MATCH(LEFT($B282,FIND("_",$B282)-1),WP!$E$2:$E$23,0),2))),INDEX(WP!$A$2:$F$23,MATCH(Results!$B282,WP!$E$2:$E$23,0),2)),5),(IFERROR(IF(FIND("_",$B282)&gt;0,INDEX(WP!$A$2:$F$23,MATCH(LEFT($B282,FIND("_",$B282)-1),WP!$E$2:$E$23,0),2),IF(FIND("-",$B282)&gt;0,INDEX(WP!$A$2:$F$23,MATCH(LEFT($B282,FIND("_",$B282)-1),WP!$E$2:$E$23,0),2))),INDEX(WP!$A$2:$F$23,MATCH(Results!$B282,WP!$E$2:$E$23,0),2))))&amp;"-"&amp;$I282),"")</f>
        <v/>
      </c>
      <c r="G282" s="17" t="str">
        <f>IF(LEN(_xlfn.IFNA(IF(IFERROR(IF(FIND("_",$B282)&gt;0,MID($B282,FIND("_",$B282)+1,LEN($B282)),IF(FIND("-",$B282)&gt;0,MID($B282,FIND("-",$B282)+1,LEN($B282)))),"")="",IFERROR(VLOOKUP($F282,WP!$B$2:$C$23,2,0),VLOOKUP($C282,Series!$A$3:$F$11,6,0)),IFERROR(VLOOKUP($F282,WP!$B$2:$C$23,2,0),VLOOKUP($C282,Series!$A$3:$F$11,6,0))&amp;" - "&amp;(IFERROR(IF(FIND("_",$B282)&gt;0,MID($B282,FIND("_",$B282)+1,LEN($B282)),IF(FIND("-",$B282)&gt;0,MID($B282,FIND("-",$B282)+1,LEN($B282)))),""))),""))&lt;64,_xlfn.IFNA(IF(IFERROR(IF(FIND("_",$B282)&gt;0,MID($B282,FIND("_",$B282)+1,LEN($B282)),IF(FIND("-",$B282)&gt;0,MID($B282,FIND("-",$B282)+1,LEN($B282)))),"")="",IFERROR(VLOOKUP($F282,WP!$B$2:$C$23,2,0),VLOOKUP($C282,Series!$A$3:$F$11,6,0)),IFERROR(VLOOKUP($F282,WP!$B$2:$C$23,2,0),VLOOKUP($C282,Series!$A$3:$F$11,6,0))&amp;" - "&amp;(IFERROR(IF(FIND("_",$B282)&gt;0,MID($B282,FIND("_",$B282)+1,LEN($B282)),IF(FIND("-",$B282)&gt;0,MID($B282,FIND("-",$B282)+1,LEN($B282)))),""))),""),LEFT((_xlfn.IFNA(IF(IFERROR(IF(FIND("_",$B282)&gt;0,MID($B282,FIND("_",$B282)+1,LEN($B282)),IF(FIND("-",$B282)&gt;0,MID($B282,FIND("-",$B282)+1,LEN($B282)))),"")="",IFERROR(VLOOKUP($F282,WP!$B$2:$C$23,2,0),VLOOKUP($C282,Series!$A$3:$F$11,6,0)),IFERROR(VLOOKUP($F282,WP!$B$2:$C$23,2,0),VLOOKUP($C282,Series!$A$3:$F$11,6,0))&amp;" - "&amp;(IFERROR(IF(FIND("_",$B282)&gt;0,MID($B282,FIND("_",$B282)+1,LEN($B282)),IF(FIND("-",$B282)&gt;0,MID($B282,FIND("-",$B282)+1,LEN($B282)))),""))),"")),64))</f>
        <v/>
      </c>
      <c r="H282" s="12"/>
      <c r="I282" s="12" t="str">
        <f>IF($D282&lt;&gt;"",COUNTIF($D$7:$D282,"="&amp;$D282),"")</f>
        <v/>
      </c>
      <c r="J282"/>
      <c r="K282" s="8"/>
      <c r="L282"/>
    </row>
    <row r="283" spans="1:12" x14ac:dyDescent="0.3">
      <c r="A283" s="1"/>
      <c r="B283" s="26"/>
      <c r="C283" s="12" t="str">
        <f>_xlfn.IFNA(IFERROR(IF(FIND("_",$B283)&gt;0,INDEX(WP!$A$2:$F$23,MATCH(LEFT($B283,FIND("_",$B283)-1),WP!$E$2:$E$23,0),1),IF(FIND("-",$B283)&gt;0,INDEX(WP!$A$2:$F$23,MATCH(LEFT($B283,FIND("_",$B283)-1),WP!$E$2:$E$23,0),1))),INDEX(WP!$A$2:$F$23,MATCH(Results!$B283,WP!$E$2:$E$23,0),1)),"")</f>
        <v/>
      </c>
      <c r="D283" s="12" t="str">
        <f>IFERROR(IFERROR(IF(RIGHT(INDEX(WP!$A$2:$F$23,MATCH(IF(FIND("_",$B283)&gt;0,LEFT($B283,FIND("_",$B283)-1)),WP!$E$2:$E$23,0),2),6)="Series",LEFT(INDEX(WP!$A$2:$F$23,MATCH(IF(FIND("_",$B283)&gt;0,LEFT($B283,FIND("_",$B283)-1)),WP!$E$2:$E$23,0),2),5),""),IF(RIGHT(INDEX(WP!$A$2:$F$23,MATCH($B283,WP!$E$2:$E$23,0),2),6)="Series",LEFT(INDEX(WP!$A$2:$F$23,MATCH($B283,WP!$E$2:$E$23,0),2),5),"")),"")</f>
        <v/>
      </c>
      <c r="E283" s="17" t="str">
        <f>IFERROR(VLOOKUP(VALUE($D283),Series!$B$3:$F$11,2,0),"")</f>
        <v/>
      </c>
      <c r="F283" s="12" t="str">
        <f>_xlfn.IFNA(IF(IF($D283&lt;&gt;"",COUNTIF($E:$E,"="&amp;$D283),"")="",IF(RIGHT(IFERROR(IF(FIND("_",$B283)&gt;0,INDEX(WP!$A$2:$F$23,MATCH(LEFT($B283,FIND("_",$B283)-1),WP!$E$2:$E$23,0),2),IF(FIND("-",$B283)&gt;0,INDEX(WP!$A$2:$F$23,MATCH(LEFT($B283,FIND("_",$B283)-1),WP!$E$2:$E$23,0),2))),INDEX(WP!$A$2:$F$23,MATCH(Results!$B283,WP!$E$2:$E$23,0),2)),6)="Series",LEFT(IFERROR(IF(FIND("_",$B283)&gt;0,INDEX(WP!$A$2:$F$23,MATCH(LEFT($B283,FIND("_",$B283)-1),WP!$E$2:$E$23,0),2),IF(FIND("-",$B283)&gt;0,INDEX(WP!$A$2:$F$23,MATCH(LEFT($B283,FIND("_",$B283)-1),WP!$E$2:$E$23,0),2))),INDEX(WP!$A$2:$F$23,MATCH(Results!$B283,WP!$E$2:$E$23,0),2)),5),(IFERROR(IF(FIND("_",$B283)&gt;0,INDEX(WP!$A$2:$F$23,MATCH(LEFT($B283,FIND("_",$B283)-1),WP!$E$2:$E$23,0),2),IF(FIND("-",$B283)&gt;0,INDEX(WP!$A$2:$F$23,MATCH(LEFT($B283,FIND("_",$B283)-1),WP!$E$2:$E$23,0),2))),INDEX(WP!$A$2:$F$23,MATCH(Results!$B283,WP!$E$2:$E$23,0),2)))),IF(RIGHT(IFERROR(IF(FIND("_",$B283)&gt;0,INDEX(WP!$A$2:$F$23,MATCH(LEFT($B283,FIND("_",$B283)-1),WP!$E$2:$E$23,0),2),IF(FIND("-",$B283)&gt;0,INDEX(WP!$A$2:$F$23,MATCH(LEFT($B283,FIND("_",$B283)-1),WP!$E$2:$E$23,0),2))),INDEX(WP!$A$2:$F$23,MATCH(Results!$B283,WP!$E$2:$E$23,0),2)),6)="Series",LEFT(IFERROR(IF(FIND("_",$B283)&gt;0,INDEX(WP!$A$2:$F$23,MATCH(LEFT($B283,FIND("_",$B283)-1),WP!$E$2:$E$23,0),2),IF(FIND("-",$B283)&gt;0,INDEX(WP!$A$2:$F$23,MATCH(LEFT($B283,FIND("_",$B283)-1),WP!$E$2:$E$23,0),2))),INDEX(WP!$A$2:$F$23,MATCH(Results!$B283,WP!$E$2:$E$23,0),2)),5),(IFERROR(IF(FIND("_",$B283)&gt;0,INDEX(WP!$A$2:$F$23,MATCH(LEFT($B283,FIND("_",$B283)-1),WP!$E$2:$E$23,0),2),IF(FIND("-",$B283)&gt;0,INDEX(WP!$A$2:$F$23,MATCH(LEFT($B283,FIND("_",$B283)-1),WP!$E$2:$E$23,0),2))),INDEX(WP!$A$2:$F$23,MATCH(Results!$B283,WP!$E$2:$E$23,0),2))))&amp;"-"&amp;$I283),"")</f>
        <v/>
      </c>
      <c r="G283" s="17" t="str">
        <f>IF(LEN(_xlfn.IFNA(IF(IFERROR(IF(FIND("_",$B283)&gt;0,MID($B283,FIND("_",$B283)+1,LEN($B283)),IF(FIND("-",$B283)&gt;0,MID($B283,FIND("-",$B283)+1,LEN($B283)))),"")="",IFERROR(VLOOKUP($F283,WP!$B$2:$C$23,2,0),VLOOKUP($C283,Series!$A$3:$F$11,6,0)),IFERROR(VLOOKUP($F283,WP!$B$2:$C$23,2,0),VLOOKUP($C283,Series!$A$3:$F$11,6,0))&amp;" - "&amp;(IFERROR(IF(FIND("_",$B283)&gt;0,MID($B283,FIND("_",$B283)+1,LEN($B283)),IF(FIND("-",$B283)&gt;0,MID($B283,FIND("-",$B283)+1,LEN($B283)))),""))),""))&lt;64,_xlfn.IFNA(IF(IFERROR(IF(FIND("_",$B283)&gt;0,MID($B283,FIND("_",$B283)+1,LEN($B283)),IF(FIND("-",$B283)&gt;0,MID($B283,FIND("-",$B283)+1,LEN($B283)))),"")="",IFERROR(VLOOKUP($F283,WP!$B$2:$C$23,2,0),VLOOKUP($C283,Series!$A$3:$F$11,6,0)),IFERROR(VLOOKUP($F283,WP!$B$2:$C$23,2,0),VLOOKUP($C283,Series!$A$3:$F$11,6,0))&amp;" - "&amp;(IFERROR(IF(FIND("_",$B283)&gt;0,MID($B283,FIND("_",$B283)+1,LEN($B283)),IF(FIND("-",$B283)&gt;0,MID($B283,FIND("-",$B283)+1,LEN($B283)))),""))),""),LEFT((_xlfn.IFNA(IF(IFERROR(IF(FIND("_",$B283)&gt;0,MID($B283,FIND("_",$B283)+1,LEN($B283)),IF(FIND("-",$B283)&gt;0,MID($B283,FIND("-",$B283)+1,LEN($B283)))),"")="",IFERROR(VLOOKUP($F283,WP!$B$2:$C$23,2,0),VLOOKUP($C283,Series!$A$3:$F$11,6,0)),IFERROR(VLOOKUP($F283,WP!$B$2:$C$23,2,0),VLOOKUP($C283,Series!$A$3:$F$11,6,0))&amp;" - "&amp;(IFERROR(IF(FIND("_",$B283)&gt;0,MID($B283,FIND("_",$B283)+1,LEN($B283)),IF(FIND("-",$B283)&gt;0,MID($B283,FIND("-",$B283)+1,LEN($B283)))),""))),"")),64))</f>
        <v/>
      </c>
      <c r="H283" s="12"/>
      <c r="I283" s="12" t="str">
        <f>IF($D283&lt;&gt;"",COUNTIF($D$7:$D283,"="&amp;$D283),"")</f>
        <v/>
      </c>
      <c r="J283"/>
      <c r="K283" s="8"/>
      <c r="L283"/>
    </row>
    <row r="284" spans="1:12" x14ac:dyDescent="0.3">
      <c r="A284" s="1"/>
      <c r="B284" s="26"/>
      <c r="C284" s="12" t="str">
        <f>_xlfn.IFNA(IFERROR(IF(FIND("_",$B284)&gt;0,INDEX(WP!$A$2:$F$23,MATCH(LEFT($B284,FIND("_",$B284)-1),WP!$E$2:$E$23,0),1),IF(FIND("-",$B284)&gt;0,INDEX(WP!$A$2:$F$23,MATCH(LEFT($B284,FIND("_",$B284)-1),WP!$E$2:$E$23,0),1))),INDEX(WP!$A$2:$F$23,MATCH(Results!$B284,WP!$E$2:$E$23,0),1)),"")</f>
        <v/>
      </c>
      <c r="D284" s="12" t="str">
        <f>IFERROR(IFERROR(IF(RIGHT(INDEX(WP!$A$2:$F$23,MATCH(IF(FIND("_",$B284)&gt;0,LEFT($B284,FIND("_",$B284)-1)),WP!$E$2:$E$23,0),2),6)="Series",LEFT(INDEX(WP!$A$2:$F$23,MATCH(IF(FIND("_",$B284)&gt;0,LEFT($B284,FIND("_",$B284)-1)),WP!$E$2:$E$23,0),2),5),""),IF(RIGHT(INDEX(WP!$A$2:$F$23,MATCH($B284,WP!$E$2:$E$23,0),2),6)="Series",LEFT(INDEX(WP!$A$2:$F$23,MATCH($B284,WP!$E$2:$E$23,0),2),5),"")),"")</f>
        <v/>
      </c>
      <c r="E284" s="17" t="str">
        <f>IFERROR(VLOOKUP(VALUE($D284),Series!$B$3:$F$11,2,0),"")</f>
        <v/>
      </c>
      <c r="F284" s="12" t="str">
        <f>_xlfn.IFNA(IF(IF($D284&lt;&gt;"",COUNTIF($E:$E,"="&amp;$D284),"")="",IF(RIGHT(IFERROR(IF(FIND("_",$B284)&gt;0,INDEX(WP!$A$2:$F$23,MATCH(LEFT($B284,FIND("_",$B284)-1),WP!$E$2:$E$23,0),2),IF(FIND("-",$B284)&gt;0,INDEX(WP!$A$2:$F$23,MATCH(LEFT($B284,FIND("_",$B284)-1),WP!$E$2:$E$23,0),2))),INDEX(WP!$A$2:$F$23,MATCH(Results!$B284,WP!$E$2:$E$23,0),2)),6)="Series",LEFT(IFERROR(IF(FIND("_",$B284)&gt;0,INDEX(WP!$A$2:$F$23,MATCH(LEFT($B284,FIND("_",$B284)-1),WP!$E$2:$E$23,0),2),IF(FIND("-",$B284)&gt;0,INDEX(WP!$A$2:$F$23,MATCH(LEFT($B284,FIND("_",$B284)-1),WP!$E$2:$E$23,0),2))),INDEX(WP!$A$2:$F$23,MATCH(Results!$B284,WP!$E$2:$E$23,0),2)),5),(IFERROR(IF(FIND("_",$B284)&gt;0,INDEX(WP!$A$2:$F$23,MATCH(LEFT($B284,FIND("_",$B284)-1),WP!$E$2:$E$23,0),2),IF(FIND("-",$B284)&gt;0,INDEX(WP!$A$2:$F$23,MATCH(LEFT($B284,FIND("_",$B284)-1),WP!$E$2:$E$23,0),2))),INDEX(WP!$A$2:$F$23,MATCH(Results!$B284,WP!$E$2:$E$23,0),2)))),IF(RIGHT(IFERROR(IF(FIND("_",$B284)&gt;0,INDEX(WP!$A$2:$F$23,MATCH(LEFT($B284,FIND("_",$B284)-1),WP!$E$2:$E$23,0),2),IF(FIND("-",$B284)&gt;0,INDEX(WP!$A$2:$F$23,MATCH(LEFT($B284,FIND("_",$B284)-1),WP!$E$2:$E$23,0),2))),INDEX(WP!$A$2:$F$23,MATCH(Results!$B284,WP!$E$2:$E$23,0),2)),6)="Series",LEFT(IFERROR(IF(FIND("_",$B284)&gt;0,INDEX(WP!$A$2:$F$23,MATCH(LEFT($B284,FIND("_",$B284)-1),WP!$E$2:$E$23,0),2),IF(FIND("-",$B284)&gt;0,INDEX(WP!$A$2:$F$23,MATCH(LEFT($B284,FIND("_",$B284)-1),WP!$E$2:$E$23,0),2))),INDEX(WP!$A$2:$F$23,MATCH(Results!$B284,WP!$E$2:$E$23,0),2)),5),(IFERROR(IF(FIND("_",$B284)&gt;0,INDEX(WP!$A$2:$F$23,MATCH(LEFT($B284,FIND("_",$B284)-1),WP!$E$2:$E$23,0),2),IF(FIND("-",$B284)&gt;0,INDEX(WP!$A$2:$F$23,MATCH(LEFT($B284,FIND("_",$B284)-1),WP!$E$2:$E$23,0),2))),INDEX(WP!$A$2:$F$23,MATCH(Results!$B284,WP!$E$2:$E$23,0),2))))&amp;"-"&amp;$I284),"")</f>
        <v/>
      </c>
      <c r="G284" s="17" t="str">
        <f>IF(LEN(_xlfn.IFNA(IF(IFERROR(IF(FIND("_",$B284)&gt;0,MID($B284,FIND("_",$B284)+1,LEN($B284)),IF(FIND("-",$B284)&gt;0,MID($B284,FIND("-",$B284)+1,LEN($B284)))),"")="",IFERROR(VLOOKUP($F284,WP!$B$2:$C$23,2,0),VLOOKUP($C284,Series!$A$3:$F$11,6,0)),IFERROR(VLOOKUP($F284,WP!$B$2:$C$23,2,0),VLOOKUP($C284,Series!$A$3:$F$11,6,0))&amp;" - "&amp;(IFERROR(IF(FIND("_",$B284)&gt;0,MID($B284,FIND("_",$B284)+1,LEN($B284)),IF(FIND("-",$B284)&gt;0,MID($B284,FIND("-",$B284)+1,LEN($B284)))),""))),""))&lt;64,_xlfn.IFNA(IF(IFERROR(IF(FIND("_",$B284)&gt;0,MID($B284,FIND("_",$B284)+1,LEN($B284)),IF(FIND("-",$B284)&gt;0,MID($B284,FIND("-",$B284)+1,LEN($B284)))),"")="",IFERROR(VLOOKUP($F284,WP!$B$2:$C$23,2,0),VLOOKUP($C284,Series!$A$3:$F$11,6,0)),IFERROR(VLOOKUP($F284,WP!$B$2:$C$23,2,0),VLOOKUP($C284,Series!$A$3:$F$11,6,0))&amp;" - "&amp;(IFERROR(IF(FIND("_",$B284)&gt;0,MID($B284,FIND("_",$B284)+1,LEN($B284)),IF(FIND("-",$B284)&gt;0,MID($B284,FIND("-",$B284)+1,LEN($B284)))),""))),""),LEFT((_xlfn.IFNA(IF(IFERROR(IF(FIND("_",$B284)&gt;0,MID($B284,FIND("_",$B284)+1,LEN($B284)),IF(FIND("-",$B284)&gt;0,MID($B284,FIND("-",$B284)+1,LEN($B284)))),"")="",IFERROR(VLOOKUP($F284,WP!$B$2:$C$23,2,0),VLOOKUP($C284,Series!$A$3:$F$11,6,0)),IFERROR(VLOOKUP($F284,WP!$B$2:$C$23,2,0),VLOOKUP($C284,Series!$A$3:$F$11,6,0))&amp;" - "&amp;(IFERROR(IF(FIND("_",$B284)&gt;0,MID($B284,FIND("_",$B284)+1,LEN($B284)),IF(FIND("-",$B284)&gt;0,MID($B284,FIND("-",$B284)+1,LEN($B284)))),""))),"")),64))</f>
        <v/>
      </c>
      <c r="H284" s="12"/>
      <c r="I284" s="12" t="str">
        <f>IF($D284&lt;&gt;"",COUNTIF($D$7:$D284,"="&amp;$D284),"")</f>
        <v/>
      </c>
      <c r="J284"/>
      <c r="K284" s="8"/>
      <c r="L284"/>
    </row>
    <row r="285" spans="1:12" x14ac:dyDescent="0.3">
      <c r="A285" s="1"/>
      <c r="B285" s="26"/>
      <c r="C285" s="12" t="str">
        <f>_xlfn.IFNA(IFERROR(IF(FIND("_",$B285)&gt;0,INDEX(WP!$A$2:$F$23,MATCH(LEFT($B285,FIND("_",$B285)-1),WP!$E$2:$E$23,0),1),IF(FIND("-",$B285)&gt;0,INDEX(WP!$A$2:$F$23,MATCH(LEFT($B285,FIND("_",$B285)-1),WP!$E$2:$E$23,0),1))),INDEX(WP!$A$2:$F$23,MATCH(Results!$B285,WP!$E$2:$E$23,0),1)),"")</f>
        <v/>
      </c>
      <c r="D285" s="12" t="str">
        <f>IFERROR(IFERROR(IF(RIGHT(INDEX(WP!$A$2:$F$23,MATCH(IF(FIND("_",$B285)&gt;0,LEFT($B285,FIND("_",$B285)-1)),WP!$E$2:$E$23,0),2),6)="Series",LEFT(INDEX(WP!$A$2:$F$23,MATCH(IF(FIND("_",$B285)&gt;0,LEFT($B285,FIND("_",$B285)-1)),WP!$E$2:$E$23,0),2),5),""),IF(RIGHT(INDEX(WP!$A$2:$F$23,MATCH($B285,WP!$E$2:$E$23,0),2),6)="Series",LEFT(INDEX(WP!$A$2:$F$23,MATCH($B285,WP!$E$2:$E$23,0),2),5),"")),"")</f>
        <v/>
      </c>
      <c r="E285" s="17" t="str">
        <f>IFERROR(VLOOKUP(VALUE($D285),Series!$B$3:$F$11,2,0),"")</f>
        <v/>
      </c>
      <c r="F285" s="12" t="str">
        <f>_xlfn.IFNA(IF(IF($D285&lt;&gt;"",COUNTIF($E:$E,"="&amp;$D285),"")="",IF(RIGHT(IFERROR(IF(FIND("_",$B285)&gt;0,INDEX(WP!$A$2:$F$23,MATCH(LEFT($B285,FIND("_",$B285)-1),WP!$E$2:$E$23,0),2),IF(FIND("-",$B285)&gt;0,INDEX(WP!$A$2:$F$23,MATCH(LEFT($B285,FIND("_",$B285)-1),WP!$E$2:$E$23,0),2))),INDEX(WP!$A$2:$F$23,MATCH(Results!$B285,WP!$E$2:$E$23,0),2)),6)="Series",LEFT(IFERROR(IF(FIND("_",$B285)&gt;0,INDEX(WP!$A$2:$F$23,MATCH(LEFT($B285,FIND("_",$B285)-1),WP!$E$2:$E$23,0),2),IF(FIND("-",$B285)&gt;0,INDEX(WP!$A$2:$F$23,MATCH(LEFT($B285,FIND("_",$B285)-1),WP!$E$2:$E$23,0),2))),INDEX(WP!$A$2:$F$23,MATCH(Results!$B285,WP!$E$2:$E$23,0),2)),5),(IFERROR(IF(FIND("_",$B285)&gt;0,INDEX(WP!$A$2:$F$23,MATCH(LEFT($B285,FIND("_",$B285)-1),WP!$E$2:$E$23,0),2),IF(FIND("-",$B285)&gt;0,INDEX(WP!$A$2:$F$23,MATCH(LEFT($B285,FIND("_",$B285)-1),WP!$E$2:$E$23,0),2))),INDEX(WP!$A$2:$F$23,MATCH(Results!$B285,WP!$E$2:$E$23,0),2)))),IF(RIGHT(IFERROR(IF(FIND("_",$B285)&gt;0,INDEX(WP!$A$2:$F$23,MATCH(LEFT($B285,FIND("_",$B285)-1),WP!$E$2:$E$23,0),2),IF(FIND("-",$B285)&gt;0,INDEX(WP!$A$2:$F$23,MATCH(LEFT($B285,FIND("_",$B285)-1),WP!$E$2:$E$23,0),2))),INDEX(WP!$A$2:$F$23,MATCH(Results!$B285,WP!$E$2:$E$23,0),2)),6)="Series",LEFT(IFERROR(IF(FIND("_",$B285)&gt;0,INDEX(WP!$A$2:$F$23,MATCH(LEFT($B285,FIND("_",$B285)-1),WP!$E$2:$E$23,0),2),IF(FIND("-",$B285)&gt;0,INDEX(WP!$A$2:$F$23,MATCH(LEFT($B285,FIND("_",$B285)-1),WP!$E$2:$E$23,0),2))),INDEX(WP!$A$2:$F$23,MATCH(Results!$B285,WP!$E$2:$E$23,0),2)),5),(IFERROR(IF(FIND("_",$B285)&gt;0,INDEX(WP!$A$2:$F$23,MATCH(LEFT($B285,FIND("_",$B285)-1),WP!$E$2:$E$23,0),2),IF(FIND("-",$B285)&gt;0,INDEX(WP!$A$2:$F$23,MATCH(LEFT($B285,FIND("_",$B285)-1),WP!$E$2:$E$23,0),2))),INDEX(WP!$A$2:$F$23,MATCH(Results!$B285,WP!$E$2:$E$23,0),2))))&amp;"-"&amp;$I285),"")</f>
        <v/>
      </c>
      <c r="G285" s="17" t="str">
        <f>IF(LEN(_xlfn.IFNA(IF(IFERROR(IF(FIND("_",$B285)&gt;0,MID($B285,FIND("_",$B285)+1,LEN($B285)),IF(FIND("-",$B285)&gt;0,MID($B285,FIND("-",$B285)+1,LEN($B285)))),"")="",IFERROR(VLOOKUP($F285,WP!$B$2:$C$23,2,0),VLOOKUP($C285,Series!$A$3:$F$11,6,0)),IFERROR(VLOOKUP($F285,WP!$B$2:$C$23,2,0),VLOOKUP($C285,Series!$A$3:$F$11,6,0))&amp;" - "&amp;(IFERROR(IF(FIND("_",$B285)&gt;0,MID($B285,FIND("_",$B285)+1,LEN($B285)),IF(FIND("-",$B285)&gt;0,MID($B285,FIND("-",$B285)+1,LEN($B285)))),""))),""))&lt;64,_xlfn.IFNA(IF(IFERROR(IF(FIND("_",$B285)&gt;0,MID($B285,FIND("_",$B285)+1,LEN($B285)),IF(FIND("-",$B285)&gt;0,MID($B285,FIND("-",$B285)+1,LEN($B285)))),"")="",IFERROR(VLOOKUP($F285,WP!$B$2:$C$23,2,0),VLOOKUP($C285,Series!$A$3:$F$11,6,0)),IFERROR(VLOOKUP($F285,WP!$B$2:$C$23,2,0),VLOOKUP($C285,Series!$A$3:$F$11,6,0))&amp;" - "&amp;(IFERROR(IF(FIND("_",$B285)&gt;0,MID($B285,FIND("_",$B285)+1,LEN($B285)),IF(FIND("-",$B285)&gt;0,MID($B285,FIND("-",$B285)+1,LEN($B285)))),""))),""),LEFT((_xlfn.IFNA(IF(IFERROR(IF(FIND("_",$B285)&gt;0,MID($B285,FIND("_",$B285)+1,LEN($B285)),IF(FIND("-",$B285)&gt;0,MID($B285,FIND("-",$B285)+1,LEN($B285)))),"")="",IFERROR(VLOOKUP($F285,WP!$B$2:$C$23,2,0),VLOOKUP($C285,Series!$A$3:$F$11,6,0)),IFERROR(VLOOKUP($F285,WP!$B$2:$C$23,2,0),VLOOKUP($C285,Series!$A$3:$F$11,6,0))&amp;" - "&amp;(IFERROR(IF(FIND("_",$B285)&gt;0,MID($B285,FIND("_",$B285)+1,LEN($B285)),IF(FIND("-",$B285)&gt;0,MID($B285,FIND("-",$B285)+1,LEN($B285)))),""))),"")),64))</f>
        <v/>
      </c>
      <c r="H285" s="12"/>
      <c r="I285" s="12" t="str">
        <f>IF($D285&lt;&gt;"",COUNTIF($D$7:$D285,"="&amp;$D285),"")</f>
        <v/>
      </c>
      <c r="J285"/>
      <c r="K285" s="8"/>
      <c r="L285"/>
    </row>
    <row r="286" spans="1:12" x14ac:dyDescent="0.3">
      <c r="A286" s="1"/>
      <c r="B286" s="26"/>
      <c r="C286" s="12" t="str">
        <f>_xlfn.IFNA(IFERROR(IF(FIND("_",$B286)&gt;0,INDEX(WP!$A$2:$F$23,MATCH(LEFT($B286,FIND("_",$B286)-1),WP!$E$2:$E$23,0),1),IF(FIND("-",$B286)&gt;0,INDEX(WP!$A$2:$F$23,MATCH(LEFT($B286,FIND("_",$B286)-1),WP!$E$2:$E$23,0),1))),INDEX(WP!$A$2:$F$23,MATCH(Results!$B286,WP!$E$2:$E$23,0),1)),"")</f>
        <v/>
      </c>
      <c r="D286" s="12" t="str">
        <f>IFERROR(IFERROR(IF(RIGHT(INDEX(WP!$A$2:$F$23,MATCH(IF(FIND("_",$B286)&gt;0,LEFT($B286,FIND("_",$B286)-1)),WP!$E$2:$E$23,0),2),6)="Series",LEFT(INDEX(WP!$A$2:$F$23,MATCH(IF(FIND("_",$B286)&gt;0,LEFT($B286,FIND("_",$B286)-1)),WP!$E$2:$E$23,0),2),5),""),IF(RIGHT(INDEX(WP!$A$2:$F$23,MATCH($B286,WP!$E$2:$E$23,0),2),6)="Series",LEFT(INDEX(WP!$A$2:$F$23,MATCH($B286,WP!$E$2:$E$23,0),2),5),"")),"")</f>
        <v/>
      </c>
      <c r="E286" s="17" t="str">
        <f>IFERROR(VLOOKUP(VALUE($D286),Series!$B$3:$F$11,2,0),"")</f>
        <v/>
      </c>
      <c r="F286" s="12" t="str">
        <f>_xlfn.IFNA(IF(IF($D286&lt;&gt;"",COUNTIF($E:$E,"="&amp;$D286),"")="",IF(RIGHT(IFERROR(IF(FIND("_",$B286)&gt;0,INDEX(WP!$A$2:$F$23,MATCH(LEFT($B286,FIND("_",$B286)-1),WP!$E$2:$E$23,0),2),IF(FIND("-",$B286)&gt;0,INDEX(WP!$A$2:$F$23,MATCH(LEFT($B286,FIND("_",$B286)-1),WP!$E$2:$E$23,0),2))),INDEX(WP!$A$2:$F$23,MATCH(Results!$B286,WP!$E$2:$E$23,0),2)),6)="Series",LEFT(IFERROR(IF(FIND("_",$B286)&gt;0,INDEX(WP!$A$2:$F$23,MATCH(LEFT($B286,FIND("_",$B286)-1),WP!$E$2:$E$23,0),2),IF(FIND("-",$B286)&gt;0,INDEX(WP!$A$2:$F$23,MATCH(LEFT($B286,FIND("_",$B286)-1),WP!$E$2:$E$23,0),2))),INDEX(WP!$A$2:$F$23,MATCH(Results!$B286,WP!$E$2:$E$23,0),2)),5),(IFERROR(IF(FIND("_",$B286)&gt;0,INDEX(WP!$A$2:$F$23,MATCH(LEFT($B286,FIND("_",$B286)-1),WP!$E$2:$E$23,0),2),IF(FIND("-",$B286)&gt;0,INDEX(WP!$A$2:$F$23,MATCH(LEFT($B286,FIND("_",$B286)-1),WP!$E$2:$E$23,0),2))),INDEX(WP!$A$2:$F$23,MATCH(Results!$B286,WP!$E$2:$E$23,0),2)))),IF(RIGHT(IFERROR(IF(FIND("_",$B286)&gt;0,INDEX(WP!$A$2:$F$23,MATCH(LEFT($B286,FIND("_",$B286)-1),WP!$E$2:$E$23,0),2),IF(FIND("-",$B286)&gt;0,INDEX(WP!$A$2:$F$23,MATCH(LEFT($B286,FIND("_",$B286)-1),WP!$E$2:$E$23,0),2))),INDEX(WP!$A$2:$F$23,MATCH(Results!$B286,WP!$E$2:$E$23,0),2)),6)="Series",LEFT(IFERROR(IF(FIND("_",$B286)&gt;0,INDEX(WP!$A$2:$F$23,MATCH(LEFT($B286,FIND("_",$B286)-1),WP!$E$2:$E$23,0),2),IF(FIND("-",$B286)&gt;0,INDEX(WP!$A$2:$F$23,MATCH(LEFT($B286,FIND("_",$B286)-1),WP!$E$2:$E$23,0),2))),INDEX(WP!$A$2:$F$23,MATCH(Results!$B286,WP!$E$2:$E$23,0),2)),5),(IFERROR(IF(FIND("_",$B286)&gt;0,INDEX(WP!$A$2:$F$23,MATCH(LEFT($B286,FIND("_",$B286)-1),WP!$E$2:$E$23,0),2),IF(FIND("-",$B286)&gt;0,INDEX(WP!$A$2:$F$23,MATCH(LEFT($B286,FIND("_",$B286)-1),WP!$E$2:$E$23,0),2))),INDEX(WP!$A$2:$F$23,MATCH(Results!$B286,WP!$E$2:$E$23,0),2))))&amp;"-"&amp;$I286),"")</f>
        <v/>
      </c>
      <c r="G286" s="17" t="str">
        <f>IF(LEN(_xlfn.IFNA(IF(IFERROR(IF(FIND("_",$B286)&gt;0,MID($B286,FIND("_",$B286)+1,LEN($B286)),IF(FIND("-",$B286)&gt;0,MID($B286,FIND("-",$B286)+1,LEN($B286)))),"")="",IFERROR(VLOOKUP($F286,WP!$B$2:$C$23,2,0),VLOOKUP($C286,Series!$A$3:$F$11,6,0)),IFERROR(VLOOKUP($F286,WP!$B$2:$C$23,2,0),VLOOKUP($C286,Series!$A$3:$F$11,6,0))&amp;" - "&amp;(IFERROR(IF(FIND("_",$B286)&gt;0,MID($B286,FIND("_",$B286)+1,LEN($B286)),IF(FIND("-",$B286)&gt;0,MID($B286,FIND("-",$B286)+1,LEN($B286)))),""))),""))&lt;64,_xlfn.IFNA(IF(IFERROR(IF(FIND("_",$B286)&gt;0,MID($B286,FIND("_",$B286)+1,LEN($B286)),IF(FIND("-",$B286)&gt;0,MID($B286,FIND("-",$B286)+1,LEN($B286)))),"")="",IFERROR(VLOOKUP($F286,WP!$B$2:$C$23,2,0),VLOOKUP($C286,Series!$A$3:$F$11,6,0)),IFERROR(VLOOKUP($F286,WP!$B$2:$C$23,2,0),VLOOKUP($C286,Series!$A$3:$F$11,6,0))&amp;" - "&amp;(IFERROR(IF(FIND("_",$B286)&gt;0,MID($B286,FIND("_",$B286)+1,LEN($B286)),IF(FIND("-",$B286)&gt;0,MID($B286,FIND("-",$B286)+1,LEN($B286)))),""))),""),LEFT((_xlfn.IFNA(IF(IFERROR(IF(FIND("_",$B286)&gt;0,MID($B286,FIND("_",$B286)+1,LEN($B286)),IF(FIND("-",$B286)&gt;0,MID($B286,FIND("-",$B286)+1,LEN($B286)))),"")="",IFERROR(VLOOKUP($F286,WP!$B$2:$C$23,2,0),VLOOKUP($C286,Series!$A$3:$F$11,6,0)),IFERROR(VLOOKUP($F286,WP!$B$2:$C$23,2,0),VLOOKUP($C286,Series!$A$3:$F$11,6,0))&amp;" - "&amp;(IFERROR(IF(FIND("_",$B286)&gt;0,MID($B286,FIND("_",$B286)+1,LEN($B286)),IF(FIND("-",$B286)&gt;0,MID($B286,FIND("-",$B286)+1,LEN($B286)))),""))),"")),64))</f>
        <v/>
      </c>
      <c r="H286" s="12"/>
      <c r="I286" s="12" t="str">
        <f>IF($D286&lt;&gt;"",COUNTIF($D$7:$D286,"="&amp;$D286),"")</f>
        <v/>
      </c>
      <c r="J286"/>
      <c r="K286" s="8"/>
      <c r="L286"/>
    </row>
    <row r="287" spans="1:12" x14ac:dyDescent="0.3">
      <c r="A287" s="1"/>
      <c r="B287" s="26"/>
      <c r="C287" s="12" t="str">
        <f>_xlfn.IFNA(IFERROR(IF(FIND("_",$B287)&gt;0,INDEX(WP!$A$2:$F$23,MATCH(LEFT($B287,FIND("_",$B287)-1),WP!$E$2:$E$23,0),1),IF(FIND("-",$B287)&gt;0,INDEX(WP!$A$2:$F$23,MATCH(LEFT($B287,FIND("_",$B287)-1),WP!$E$2:$E$23,0),1))),INDEX(WP!$A$2:$F$23,MATCH(Results!$B287,WP!$E$2:$E$23,0),1)),"")</f>
        <v/>
      </c>
      <c r="D287" s="12" t="str">
        <f>IFERROR(IFERROR(IF(RIGHT(INDEX(WP!$A$2:$F$23,MATCH(IF(FIND("_",$B287)&gt;0,LEFT($B287,FIND("_",$B287)-1)),WP!$E$2:$E$23,0),2),6)="Series",LEFT(INDEX(WP!$A$2:$F$23,MATCH(IF(FIND("_",$B287)&gt;0,LEFT($B287,FIND("_",$B287)-1)),WP!$E$2:$E$23,0),2),5),""),IF(RIGHT(INDEX(WP!$A$2:$F$23,MATCH($B287,WP!$E$2:$E$23,0),2),6)="Series",LEFT(INDEX(WP!$A$2:$F$23,MATCH($B287,WP!$E$2:$E$23,0),2),5),"")),"")</f>
        <v/>
      </c>
      <c r="E287" s="17" t="str">
        <f>IFERROR(VLOOKUP(VALUE($D287),Series!$B$3:$F$11,2,0),"")</f>
        <v/>
      </c>
      <c r="F287" s="12" t="str">
        <f>_xlfn.IFNA(IF(IF($D287&lt;&gt;"",COUNTIF($E:$E,"="&amp;$D287),"")="",IF(RIGHT(IFERROR(IF(FIND("_",$B287)&gt;0,INDEX(WP!$A$2:$F$23,MATCH(LEFT($B287,FIND("_",$B287)-1),WP!$E$2:$E$23,0),2),IF(FIND("-",$B287)&gt;0,INDEX(WP!$A$2:$F$23,MATCH(LEFT($B287,FIND("_",$B287)-1),WP!$E$2:$E$23,0),2))),INDEX(WP!$A$2:$F$23,MATCH(Results!$B287,WP!$E$2:$E$23,0),2)),6)="Series",LEFT(IFERROR(IF(FIND("_",$B287)&gt;0,INDEX(WP!$A$2:$F$23,MATCH(LEFT($B287,FIND("_",$B287)-1),WP!$E$2:$E$23,0),2),IF(FIND("-",$B287)&gt;0,INDEX(WP!$A$2:$F$23,MATCH(LEFT($B287,FIND("_",$B287)-1),WP!$E$2:$E$23,0),2))),INDEX(WP!$A$2:$F$23,MATCH(Results!$B287,WP!$E$2:$E$23,0),2)),5),(IFERROR(IF(FIND("_",$B287)&gt;0,INDEX(WP!$A$2:$F$23,MATCH(LEFT($B287,FIND("_",$B287)-1),WP!$E$2:$E$23,0),2),IF(FIND("-",$B287)&gt;0,INDEX(WP!$A$2:$F$23,MATCH(LEFT($B287,FIND("_",$B287)-1),WP!$E$2:$E$23,0),2))),INDEX(WP!$A$2:$F$23,MATCH(Results!$B287,WP!$E$2:$E$23,0),2)))),IF(RIGHT(IFERROR(IF(FIND("_",$B287)&gt;0,INDEX(WP!$A$2:$F$23,MATCH(LEFT($B287,FIND("_",$B287)-1),WP!$E$2:$E$23,0),2),IF(FIND("-",$B287)&gt;0,INDEX(WP!$A$2:$F$23,MATCH(LEFT($B287,FIND("_",$B287)-1),WP!$E$2:$E$23,0),2))),INDEX(WP!$A$2:$F$23,MATCH(Results!$B287,WP!$E$2:$E$23,0),2)),6)="Series",LEFT(IFERROR(IF(FIND("_",$B287)&gt;0,INDEX(WP!$A$2:$F$23,MATCH(LEFT($B287,FIND("_",$B287)-1),WP!$E$2:$E$23,0),2),IF(FIND("-",$B287)&gt;0,INDEX(WP!$A$2:$F$23,MATCH(LEFT($B287,FIND("_",$B287)-1),WP!$E$2:$E$23,0),2))),INDEX(WP!$A$2:$F$23,MATCH(Results!$B287,WP!$E$2:$E$23,0),2)),5),(IFERROR(IF(FIND("_",$B287)&gt;0,INDEX(WP!$A$2:$F$23,MATCH(LEFT($B287,FIND("_",$B287)-1),WP!$E$2:$E$23,0),2),IF(FIND("-",$B287)&gt;0,INDEX(WP!$A$2:$F$23,MATCH(LEFT($B287,FIND("_",$B287)-1),WP!$E$2:$E$23,0),2))),INDEX(WP!$A$2:$F$23,MATCH(Results!$B287,WP!$E$2:$E$23,0),2))))&amp;"-"&amp;$I287),"")</f>
        <v/>
      </c>
      <c r="G287" s="17" t="str">
        <f>IF(LEN(_xlfn.IFNA(IF(IFERROR(IF(FIND("_",$B287)&gt;0,MID($B287,FIND("_",$B287)+1,LEN($B287)),IF(FIND("-",$B287)&gt;0,MID($B287,FIND("-",$B287)+1,LEN($B287)))),"")="",IFERROR(VLOOKUP($F287,WP!$B$2:$C$23,2,0),VLOOKUP($C287,Series!$A$3:$F$11,6,0)),IFERROR(VLOOKUP($F287,WP!$B$2:$C$23,2,0),VLOOKUP($C287,Series!$A$3:$F$11,6,0))&amp;" - "&amp;(IFERROR(IF(FIND("_",$B287)&gt;0,MID($B287,FIND("_",$B287)+1,LEN($B287)),IF(FIND("-",$B287)&gt;0,MID($B287,FIND("-",$B287)+1,LEN($B287)))),""))),""))&lt;64,_xlfn.IFNA(IF(IFERROR(IF(FIND("_",$B287)&gt;0,MID($B287,FIND("_",$B287)+1,LEN($B287)),IF(FIND("-",$B287)&gt;0,MID($B287,FIND("-",$B287)+1,LEN($B287)))),"")="",IFERROR(VLOOKUP($F287,WP!$B$2:$C$23,2,0),VLOOKUP($C287,Series!$A$3:$F$11,6,0)),IFERROR(VLOOKUP($F287,WP!$B$2:$C$23,2,0),VLOOKUP($C287,Series!$A$3:$F$11,6,0))&amp;" - "&amp;(IFERROR(IF(FIND("_",$B287)&gt;0,MID($B287,FIND("_",$B287)+1,LEN($B287)),IF(FIND("-",$B287)&gt;0,MID($B287,FIND("-",$B287)+1,LEN($B287)))),""))),""),LEFT((_xlfn.IFNA(IF(IFERROR(IF(FIND("_",$B287)&gt;0,MID($B287,FIND("_",$B287)+1,LEN($B287)),IF(FIND("-",$B287)&gt;0,MID($B287,FIND("-",$B287)+1,LEN($B287)))),"")="",IFERROR(VLOOKUP($F287,WP!$B$2:$C$23,2,0),VLOOKUP($C287,Series!$A$3:$F$11,6,0)),IFERROR(VLOOKUP($F287,WP!$B$2:$C$23,2,0),VLOOKUP($C287,Series!$A$3:$F$11,6,0))&amp;" - "&amp;(IFERROR(IF(FIND("_",$B287)&gt;0,MID($B287,FIND("_",$B287)+1,LEN($B287)),IF(FIND("-",$B287)&gt;0,MID($B287,FIND("-",$B287)+1,LEN($B287)))),""))),"")),64))</f>
        <v/>
      </c>
      <c r="H287" s="12"/>
      <c r="I287" s="12" t="str">
        <f>IF($D287&lt;&gt;"",COUNTIF($D$7:$D287,"="&amp;$D287),"")</f>
        <v/>
      </c>
      <c r="J287"/>
      <c r="K287" s="8"/>
      <c r="L287"/>
    </row>
    <row r="288" spans="1:12" x14ac:dyDescent="0.3">
      <c r="A288" s="1"/>
      <c r="B288" s="26"/>
      <c r="C288" s="12" t="str">
        <f>_xlfn.IFNA(IFERROR(IF(FIND("_",$B288)&gt;0,INDEX(WP!$A$2:$F$23,MATCH(LEFT($B288,FIND("_",$B288)-1),WP!$E$2:$E$23,0),1),IF(FIND("-",$B288)&gt;0,INDEX(WP!$A$2:$F$23,MATCH(LEFT($B288,FIND("_",$B288)-1),WP!$E$2:$E$23,0),1))),INDEX(WP!$A$2:$F$23,MATCH(Results!$B288,WP!$E$2:$E$23,0),1)),"")</f>
        <v/>
      </c>
      <c r="D288" s="12" t="str">
        <f>IFERROR(IFERROR(IF(RIGHT(INDEX(WP!$A$2:$F$23,MATCH(IF(FIND("_",$B288)&gt;0,LEFT($B288,FIND("_",$B288)-1)),WP!$E$2:$E$23,0),2),6)="Series",LEFT(INDEX(WP!$A$2:$F$23,MATCH(IF(FIND("_",$B288)&gt;0,LEFT($B288,FIND("_",$B288)-1)),WP!$E$2:$E$23,0),2),5),""),IF(RIGHT(INDEX(WP!$A$2:$F$23,MATCH($B288,WP!$E$2:$E$23,0),2),6)="Series",LEFT(INDEX(WP!$A$2:$F$23,MATCH($B288,WP!$E$2:$E$23,0),2),5),"")),"")</f>
        <v/>
      </c>
      <c r="E288" s="17" t="str">
        <f>IFERROR(VLOOKUP(VALUE($D288),Series!$B$3:$F$11,2,0),"")</f>
        <v/>
      </c>
      <c r="F288" s="12" t="str">
        <f>_xlfn.IFNA(IF(IF($D288&lt;&gt;"",COUNTIF($E:$E,"="&amp;$D288),"")="",IF(RIGHT(IFERROR(IF(FIND("_",$B288)&gt;0,INDEX(WP!$A$2:$F$23,MATCH(LEFT($B288,FIND("_",$B288)-1),WP!$E$2:$E$23,0),2),IF(FIND("-",$B288)&gt;0,INDEX(WP!$A$2:$F$23,MATCH(LEFT($B288,FIND("_",$B288)-1),WP!$E$2:$E$23,0),2))),INDEX(WP!$A$2:$F$23,MATCH(Results!$B288,WP!$E$2:$E$23,0),2)),6)="Series",LEFT(IFERROR(IF(FIND("_",$B288)&gt;0,INDEX(WP!$A$2:$F$23,MATCH(LEFT($B288,FIND("_",$B288)-1),WP!$E$2:$E$23,0),2),IF(FIND("-",$B288)&gt;0,INDEX(WP!$A$2:$F$23,MATCH(LEFT($B288,FIND("_",$B288)-1),WP!$E$2:$E$23,0),2))),INDEX(WP!$A$2:$F$23,MATCH(Results!$B288,WP!$E$2:$E$23,0),2)),5),(IFERROR(IF(FIND("_",$B288)&gt;0,INDEX(WP!$A$2:$F$23,MATCH(LEFT($B288,FIND("_",$B288)-1),WP!$E$2:$E$23,0),2),IF(FIND("-",$B288)&gt;0,INDEX(WP!$A$2:$F$23,MATCH(LEFT($B288,FIND("_",$B288)-1),WP!$E$2:$E$23,0),2))),INDEX(WP!$A$2:$F$23,MATCH(Results!$B288,WP!$E$2:$E$23,0),2)))),IF(RIGHT(IFERROR(IF(FIND("_",$B288)&gt;0,INDEX(WP!$A$2:$F$23,MATCH(LEFT($B288,FIND("_",$B288)-1),WP!$E$2:$E$23,0),2),IF(FIND("-",$B288)&gt;0,INDEX(WP!$A$2:$F$23,MATCH(LEFT($B288,FIND("_",$B288)-1),WP!$E$2:$E$23,0),2))),INDEX(WP!$A$2:$F$23,MATCH(Results!$B288,WP!$E$2:$E$23,0),2)),6)="Series",LEFT(IFERROR(IF(FIND("_",$B288)&gt;0,INDEX(WP!$A$2:$F$23,MATCH(LEFT($B288,FIND("_",$B288)-1),WP!$E$2:$E$23,0),2),IF(FIND("-",$B288)&gt;0,INDEX(WP!$A$2:$F$23,MATCH(LEFT($B288,FIND("_",$B288)-1),WP!$E$2:$E$23,0),2))),INDEX(WP!$A$2:$F$23,MATCH(Results!$B288,WP!$E$2:$E$23,0),2)),5),(IFERROR(IF(FIND("_",$B288)&gt;0,INDEX(WP!$A$2:$F$23,MATCH(LEFT($B288,FIND("_",$B288)-1),WP!$E$2:$E$23,0),2),IF(FIND("-",$B288)&gt;0,INDEX(WP!$A$2:$F$23,MATCH(LEFT($B288,FIND("_",$B288)-1),WP!$E$2:$E$23,0),2))),INDEX(WP!$A$2:$F$23,MATCH(Results!$B288,WP!$E$2:$E$23,0),2))))&amp;"-"&amp;$I288),"")</f>
        <v/>
      </c>
      <c r="G288" s="17" t="str">
        <f>IF(LEN(_xlfn.IFNA(IF(IFERROR(IF(FIND("_",$B288)&gt;0,MID($B288,FIND("_",$B288)+1,LEN($B288)),IF(FIND("-",$B288)&gt;0,MID($B288,FIND("-",$B288)+1,LEN($B288)))),"")="",IFERROR(VLOOKUP($F288,WP!$B$2:$C$23,2,0),VLOOKUP($C288,Series!$A$3:$F$11,6,0)),IFERROR(VLOOKUP($F288,WP!$B$2:$C$23,2,0),VLOOKUP($C288,Series!$A$3:$F$11,6,0))&amp;" - "&amp;(IFERROR(IF(FIND("_",$B288)&gt;0,MID($B288,FIND("_",$B288)+1,LEN($B288)),IF(FIND("-",$B288)&gt;0,MID($B288,FIND("-",$B288)+1,LEN($B288)))),""))),""))&lt;64,_xlfn.IFNA(IF(IFERROR(IF(FIND("_",$B288)&gt;0,MID($B288,FIND("_",$B288)+1,LEN($B288)),IF(FIND("-",$B288)&gt;0,MID($B288,FIND("-",$B288)+1,LEN($B288)))),"")="",IFERROR(VLOOKUP($F288,WP!$B$2:$C$23,2,0),VLOOKUP($C288,Series!$A$3:$F$11,6,0)),IFERROR(VLOOKUP($F288,WP!$B$2:$C$23,2,0),VLOOKUP($C288,Series!$A$3:$F$11,6,0))&amp;" - "&amp;(IFERROR(IF(FIND("_",$B288)&gt;0,MID($B288,FIND("_",$B288)+1,LEN($B288)),IF(FIND("-",$B288)&gt;0,MID($B288,FIND("-",$B288)+1,LEN($B288)))),""))),""),LEFT((_xlfn.IFNA(IF(IFERROR(IF(FIND("_",$B288)&gt;0,MID($B288,FIND("_",$B288)+1,LEN($B288)),IF(FIND("-",$B288)&gt;0,MID($B288,FIND("-",$B288)+1,LEN($B288)))),"")="",IFERROR(VLOOKUP($F288,WP!$B$2:$C$23,2,0),VLOOKUP($C288,Series!$A$3:$F$11,6,0)),IFERROR(VLOOKUP($F288,WP!$B$2:$C$23,2,0),VLOOKUP($C288,Series!$A$3:$F$11,6,0))&amp;" - "&amp;(IFERROR(IF(FIND("_",$B288)&gt;0,MID($B288,FIND("_",$B288)+1,LEN($B288)),IF(FIND("-",$B288)&gt;0,MID($B288,FIND("-",$B288)+1,LEN($B288)))),""))),"")),64))</f>
        <v/>
      </c>
      <c r="H288" s="12"/>
      <c r="I288" s="12" t="str">
        <f>IF($D288&lt;&gt;"",COUNTIF($D$7:$D288,"="&amp;$D288),"")</f>
        <v/>
      </c>
      <c r="J288"/>
      <c r="K288" s="8"/>
      <c r="L288"/>
    </row>
    <row r="289" spans="1:12" x14ac:dyDescent="0.3">
      <c r="A289" s="1"/>
      <c r="B289" s="26"/>
      <c r="C289" s="12" t="str">
        <f>_xlfn.IFNA(IFERROR(IF(FIND("_",$B289)&gt;0,INDEX(WP!$A$2:$F$23,MATCH(LEFT($B289,FIND("_",$B289)-1),WP!$E$2:$E$23,0),1),IF(FIND("-",$B289)&gt;0,INDEX(WP!$A$2:$F$23,MATCH(LEFT($B289,FIND("_",$B289)-1),WP!$E$2:$E$23,0),1))),INDEX(WP!$A$2:$F$23,MATCH(Results!$B289,WP!$E$2:$E$23,0),1)),"")</f>
        <v/>
      </c>
      <c r="D289" s="12" t="str">
        <f>IFERROR(IFERROR(IF(RIGHT(INDEX(WP!$A$2:$F$23,MATCH(IF(FIND("_",$B289)&gt;0,LEFT($B289,FIND("_",$B289)-1)),WP!$E$2:$E$23,0),2),6)="Series",LEFT(INDEX(WP!$A$2:$F$23,MATCH(IF(FIND("_",$B289)&gt;0,LEFT($B289,FIND("_",$B289)-1)),WP!$E$2:$E$23,0),2),5),""),IF(RIGHT(INDEX(WP!$A$2:$F$23,MATCH($B289,WP!$E$2:$E$23,0),2),6)="Series",LEFT(INDEX(WP!$A$2:$F$23,MATCH($B289,WP!$E$2:$E$23,0),2),5),"")),"")</f>
        <v/>
      </c>
      <c r="E289" s="17" t="str">
        <f>IFERROR(VLOOKUP(VALUE($D289),Series!$B$3:$F$11,2,0),"")</f>
        <v/>
      </c>
      <c r="F289" s="12" t="str">
        <f>_xlfn.IFNA(IF(IF($D289&lt;&gt;"",COUNTIF($E:$E,"="&amp;$D289),"")="",IF(RIGHT(IFERROR(IF(FIND("_",$B289)&gt;0,INDEX(WP!$A$2:$F$23,MATCH(LEFT($B289,FIND("_",$B289)-1),WP!$E$2:$E$23,0),2),IF(FIND("-",$B289)&gt;0,INDEX(WP!$A$2:$F$23,MATCH(LEFT($B289,FIND("_",$B289)-1),WP!$E$2:$E$23,0),2))),INDEX(WP!$A$2:$F$23,MATCH(Results!$B289,WP!$E$2:$E$23,0),2)),6)="Series",LEFT(IFERROR(IF(FIND("_",$B289)&gt;0,INDEX(WP!$A$2:$F$23,MATCH(LEFT($B289,FIND("_",$B289)-1),WP!$E$2:$E$23,0),2),IF(FIND("-",$B289)&gt;0,INDEX(WP!$A$2:$F$23,MATCH(LEFT($B289,FIND("_",$B289)-1),WP!$E$2:$E$23,0),2))),INDEX(WP!$A$2:$F$23,MATCH(Results!$B289,WP!$E$2:$E$23,0),2)),5),(IFERROR(IF(FIND("_",$B289)&gt;0,INDEX(WP!$A$2:$F$23,MATCH(LEFT($B289,FIND("_",$B289)-1),WP!$E$2:$E$23,0),2),IF(FIND("-",$B289)&gt;0,INDEX(WP!$A$2:$F$23,MATCH(LEFT($B289,FIND("_",$B289)-1),WP!$E$2:$E$23,0),2))),INDEX(WP!$A$2:$F$23,MATCH(Results!$B289,WP!$E$2:$E$23,0),2)))),IF(RIGHT(IFERROR(IF(FIND("_",$B289)&gt;0,INDEX(WP!$A$2:$F$23,MATCH(LEFT($B289,FIND("_",$B289)-1),WP!$E$2:$E$23,0),2),IF(FIND("-",$B289)&gt;0,INDEX(WP!$A$2:$F$23,MATCH(LEFT($B289,FIND("_",$B289)-1),WP!$E$2:$E$23,0),2))),INDEX(WP!$A$2:$F$23,MATCH(Results!$B289,WP!$E$2:$E$23,0),2)),6)="Series",LEFT(IFERROR(IF(FIND("_",$B289)&gt;0,INDEX(WP!$A$2:$F$23,MATCH(LEFT($B289,FIND("_",$B289)-1),WP!$E$2:$E$23,0),2),IF(FIND("-",$B289)&gt;0,INDEX(WP!$A$2:$F$23,MATCH(LEFT($B289,FIND("_",$B289)-1),WP!$E$2:$E$23,0),2))),INDEX(WP!$A$2:$F$23,MATCH(Results!$B289,WP!$E$2:$E$23,0),2)),5),(IFERROR(IF(FIND("_",$B289)&gt;0,INDEX(WP!$A$2:$F$23,MATCH(LEFT($B289,FIND("_",$B289)-1),WP!$E$2:$E$23,0),2),IF(FIND("-",$B289)&gt;0,INDEX(WP!$A$2:$F$23,MATCH(LEFT($B289,FIND("_",$B289)-1),WP!$E$2:$E$23,0),2))),INDEX(WP!$A$2:$F$23,MATCH(Results!$B289,WP!$E$2:$E$23,0),2))))&amp;"-"&amp;$I289),"")</f>
        <v/>
      </c>
      <c r="G289" s="17" t="str">
        <f>IF(LEN(_xlfn.IFNA(IF(IFERROR(IF(FIND("_",$B289)&gt;0,MID($B289,FIND("_",$B289)+1,LEN($B289)),IF(FIND("-",$B289)&gt;0,MID($B289,FIND("-",$B289)+1,LEN($B289)))),"")="",IFERROR(VLOOKUP($F289,WP!$B$2:$C$23,2,0),VLOOKUP($C289,Series!$A$3:$F$11,6,0)),IFERROR(VLOOKUP($F289,WP!$B$2:$C$23,2,0),VLOOKUP($C289,Series!$A$3:$F$11,6,0))&amp;" - "&amp;(IFERROR(IF(FIND("_",$B289)&gt;0,MID($B289,FIND("_",$B289)+1,LEN($B289)),IF(FIND("-",$B289)&gt;0,MID($B289,FIND("-",$B289)+1,LEN($B289)))),""))),""))&lt;64,_xlfn.IFNA(IF(IFERROR(IF(FIND("_",$B289)&gt;0,MID($B289,FIND("_",$B289)+1,LEN($B289)),IF(FIND("-",$B289)&gt;0,MID($B289,FIND("-",$B289)+1,LEN($B289)))),"")="",IFERROR(VLOOKUP($F289,WP!$B$2:$C$23,2,0),VLOOKUP($C289,Series!$A$3:$F$11,6,0)),IFERROR(VLOOKUP($F289,WP!$B$2:$C$23,2,0),VLOOKUP($C289,Series!$A$3:$F$11,6,0))&amp;" - "&amp;(IFERROR(IF(FIND("_",$B289)&gt;0,MID($B289,FIND("_",$B289)+1,LEN($B289)),IF(FIND("-",$B289)&gt;0,MID($B289,FIND("-",$B289)+1,LEN($B289)))),""))),""),LEFT((_xlfn.IFNA(IF(IFERROR(IF(FIND("_",$B289)&gt;0,MID($B289,FIND("_",$B289)+1,LEN($B289)),IF(FIND("-",$B289)&gt;0,MID($B289,FIND("-",$B289)+1,LEN($B289)))),"")="",IFERROR(VLOOKUP($F289,WP!$B$2:$C$23,2,0),VLOOKUP($C289,Series!$A$3:$F$11,6,0)),IFERROR(VLOOKUP($F289,WP!$B$2:$C$23,2,0),VLOOKUP($C289,Series!$A$3:$F$11,6,0))&amp;" - "&amp;(IFERROR(IF(FIND("_",$B289)&gt;0,MID($B289,FIND("_",$B289)+1,LEN($B289)),IF(FIND("-",$B289)&gt;0,MID($B289,FIND("-",$B289)+1,LEN($B289)))),""))),"")),64))</f>
        <v/>
      </c>
      <c r="H289" s="12"/>
      <c r="I289" s="12" t="str">
        <f>IF($D289&lt;&gt;"",COUNTIF($D$7:$D289,"="&amp;$D289),"")</f>
        <v/>
      </c>
      <c r="J289"/>
      <c r="K289" s="8"/>
      <c r="L289"/>
    </row>
    <row r="290" spans="1:12" x14ac:dyDescent="0.3">
      <c r="A290" s="1"/>
      <c r="B290" s="26"/>
      <c r="C290" s="12" t="str">
        <f>_xlfn.IFNA(IFERROR(IF(FIND("_",$B290)&gt;0,INDEX(WP!$A$2:$F$23,MATCH(LEFT($B290,FIND("_",$B290)-1),WP!$E$2:$E$23,0),1),IF(FIND("-",$B290)&gt;0,INDEX(WP!$A$2:$F$23,MATCH(LEFT($B290,FIND("_",$B290)-1),WP!$E$2:$E$23,0),1))),INDEX(WP!$A$2:$F$23,MATCH(Results!$B290,WP!$E$2:$E$23,0),1)),"")</f>
        <v/>
      </c>
      <c r="D290" s="12" t="str">
        <f>IFERROR(IFERROR(IF(RIGHT(INDEX(WP!$A$2:$F$23,MATCH(IF(FIND("_",$B290)&gt;0,LEFT($B290,FIND("_",$B290)-1)),WP!$E$2:$E$23,0),2),6)="Series",LEFT(INDEX(WP!$A$2:$F$23,MATCH(IF(FIND("_",$B290)&gt;0,LEFT($B290,FIND("_",$B290)-1)),WP!$E$2:$E$23,0),2),5),""),IF(RIGHT(INDEX(WP!$A$2:$F$23,MATCH($B290,WP!$E$2:$E$23,0),2),6)="Series",LEFT(INDEX(WP!$A$2:$F$23,MATCH($B290,WP!$E$2:$E$23,0),2),5),"")),"")</f>
        <v/>
      </c>
      <c r="E290" s="17" t="str">
        <f>IFERROR(VLOOKUP(VALUE($D290),Series!$B$3:$F$11,2,0),"")</f>
        <v/>
      </c>
      <c r="F290" s="12" t="str">
        <f>_xlfn.IFNA(IF(IF($D290&lt;&gt;"",COUNTIF($E:$E,"="&amp;$D290),"")="",IF(RIGHT(IFERROR(IF(FIND("_",$B290)&gt;0,INDEX(WP!$A$2:$F$23,MATCH(LEFT($B290,FIND("_",$B290)-1),WP!$E$2:$E$23,0),2),IF(FIND("-",$B290)&gt;0,INDEX(WP!$A$2:$F$23,MATCH(LEFT($B290,FIND("_",$B290)-1),WP!$E$2:$E$23,0),2))),INDEX(WP!$A$2:$F$23,MATCH(Results!$B290,WP!$E$2:$E$23,0),2)),6)="Series",LEFT(IFERROR(IF(FIND("_",$B290)&gt;0,INDEX(WP!$A$2:$F$23,MATCH(LEFT($B290,FIND("_",$B290)-1),WP!$E$2:$E$23,0),2),IF(FIND("-",$B290)&gt;0,INDEX(WP!$A$2:$F$23,MATCH(LEFT($B290,FIND("_",$B290)-1),WP!$E$2:$E$23,0),2))),INDEX(WP!$A$2:$F$23,MATCH(Results!$B290,WP!$E$2:$E$23,0),2)),5),(IFERROR(IF(FIND("_",$B290)&gt;0,INDEX(WP!$A$2:$F$23,MATCH(LEFT($B290,FIND("_",$B290)-1),WP!$E$2:$E$23,0),2),IF(FIND("-",$B290)&gt;0,INDEX(WP!$A$2:$F$23,MATCH(LEFT($B290,FIND("_",$B290)-1),WP!$E$2:$E$23,0),2))),INDEX(WP!$A$2:$F$23,MATCH(Results!$B290,WP!$E$2:$E$23,0),2)))),IF(RIGHT(IFERROR(IF(FIND("_",$B290)&gt;0,INDEX(WP!$A$2:$F$23,MATCH(LEFT($B290,FIND("_",$B290)-1),WP!$E$2:$E$23,0),2),IF(FIND("-",$B290)&gt;0,INDEX(WP!$A$2:$F$23,MATCH(LEFT($B290,FIND("_",$B290)-1),WP!$E$2:$E$23,0),2))),INDEX(WP!$A$2:$F$23,MATCH(Results!$B290,WP!$E$2:$E$23,0),2)),6)="Series",LEFT(IFERROR(IF(FIND("_",$B290)&gt;0,INDEX(WP!$A$2:$F$23,MATCH(LEFT($B290,FIND("_",$B290)-1),WP!$E$2:$E$23,0),2),IF(FIND("-",$B290)&gt;0,INDEX(WP!$A$2:$F$23,MATCH(LEFT($B290,FIND("_",$B290)-1),WP!$E$2:$E$23,0),2))),INDEX(WP!$A$2:$F$23,MATCH(Results!$B290,WP!$E$2:$E$23,0),2)),5),(IFERROR(IF(FIND("_",$B290)&gt;0,INDEX(WP!$A$2:$F$23,MATCH(LEFT($B290,FIND("_",$B290)-1),WP!$E$2:$E$23,0),2),IF(FIND("-",$B290)&gt;0,INDEX(WP!$A$2:$F$23,MATCH(LEFT($B290,FIND("_",$B290)-1),WP!$E$2:$E$23,0),2))),INDEX(WP!$A$2:$F$23,MATCH(Results!$B290,WP!$E$2:$E$23,0),2))))&amp;"-"&amp;$I290),"")</f>
        <v/>
      </c>
      <c r="G290" s="17" t="str">
        <f>IF(LEN(_xlfn.IFNA(IF(IFERROR(IF(FIND("_",$B290)&gt;0,MID($B290,FIND("_",$B290)+1,LEN($B290)),IF(FIND("-",$B290)&gt;0,MID($B290,FIND("-",$B290)+1,LEN($B290)))),"")="",IFERROR(VLOOKUP($F290,WP!$B$2:$C$23,2,0),VLOOKUP($C290,Series!$A$3:$F$11,6,0)),IFERROR(VLOOKUP($F290,WP!$B$2:$C$23,2,0),VLOOKUP($C290,Series!$A$3:$F$11,6,0))&amp;" - "&amp;(IFERROR(IF(FIND("_",$B290)&gt;0,MID($B290,FIND("_",$B290)+1,LEN($B290)),IF(FIND("-",$B290)&gt;0,MID($B290,FIND("-",$B290)+1,LEN($B290)))),""))),""))&lt;64,_xlfn.IFNA(IF(IFERROR(IF(FIND("_",$B290)&gt;0,MID($B290,FIND("_",$B290)+1,LEN($B290)),IF(FIND("-",$B290)&gt;0,MID($B290,FIND("-",$B290)+1,LEN($B290)))),"")="",IFERROR(VLOOKUP($F290,WP!$B$2:$C$23,2,0),VLOOKUP($C290,Series!$A$3:$F$11,6,0)),IFERROR(VLOOKUP($F290,WP!$B$2:$C$23,2,0),VLOOKUP($C290,Series!$A$3:$F$11,6,0))&amp;" - "&amp;(IFERROR(IF(FIND("_",$B290)&gt;0,MID($B290,FIND("_",$B290)+1,LEN($B290)),IF(FIND("-",$B290)&gt;0,MID($B290,FIND("-",$B290)+1,LEN($B290)))),""))),""),LEFT((_xlfn.IFNA(IF(IFERROR(IF(FIND("_",$B290)&gt;0,MID($B290,FIND("_",$B290)+1,LEN($B290)),IF(FIND("-",$B290)&gt;0,MID($B290,FIND("-",$B290)+1,LEN($B290)))),"")="",IFERROR(VLOOKUP($F290,WP!$B$2:$C$23,2,0),VLOOKUP($C290,Series!$A$3:$F$11,6,0)),IFERROR(VLOOKUP($F290,WP!$B$2:$C$23,2,0),VLOOKUP($C290,Series!$A$3:$F$11,6,0))&amp;" - "&amp;(IFERROR(IF(FIND("_",$B290)&gt;0,MID($B290,FIND("_",$B290)+1,LEN($B290)),IF(FIND("-",$B290)&gt;0,MID($B290,FIND("-",$B290)+1,LEN($B290)))),""))),"")),64))</f>
        <v/>
      </c>
      <c r="H290" s="12"/>
      <c r="I290" s="12" t="str">
        <f>IF($D290&lt;&gt;"",COUNTIF($D$7:$D290,"="&amp;$D290),"")</f>
        <v/>
      </c>
      <c r="J290"/>
      <c r="K290" s="8"/>
      <c r="L290"/>
    </row>
    <row r="291" spans="1:12" x14ac:dyDescent="0.3">
      <c r="A291" s="1"/>
      <c r="B291" s="26"/>
      <c r="C291" s="12" t="str">
        <f>_xlfn.IFNA(IFERROR(IF(FIND("_",$B291)&gt;0,INDEX(WP!$A$2:$F$23,MATCH(LEFT($B291,FIND("_",$B291)-1),WP!$E$2:$E$23,0),1),IF(FIND("-",$B291)&gt;0,INDEX(WP!$A$2:$F$23,MATCH(LEFT($B291,FIND("_",$B291)-1),WP!$E$2:$E$23,0),1))),INDEX(WP!$A$2:$F$23,MATCH(Results!$B291,WP!$E$2:$E$23,0),1)),"")</f>
        <v/>
      </c>
      <c r="D291" s="12" t="str">
        <f>IFERROR(IFERROR(IF(RIGHT(INDEX(WP!$A$2:$F$23,MATCH(IF(FIND("_",$B291)&gt;0,LEFT($B291,FIND("_",$B291)-1)),WP!$E$2:$E$23,0),2),6)="Series",LEFT(INDEX(WP!$A$2:$F$23,MATCH(IF(FIND("_",$B291)&gt;0,LEFT($B291,FIND("_",$B291)-1)),WP!$E$2:$E$23,0),2),5),""),IF(RIGHT(INDEX(WP!$A$2:$F$23,MATCH($B291,WP!$E$2:$E$23,0),2),6)="Series",LEFT(INDEX(WP!$A$2:$F$23,MATCH($B291,WP!$E$2:$E$23,0),2),5),"")),"")</f>
        <v/>
      </c>
      <c r="E291" s="17" t="str">
        <f>IFERROR(VLOOKUP(VALUE($D291),Series!$B$3:$F$11,2,0),"")</f>
        <v/>
      </c>
      <c r="F291" s="12" t="str">
        <f>_xlfn.IFNA(IF(IF($D291&lt;&gt;"",COUNTIF($E:$E,"="&amp;$D291),"")="",IF(RIGHT(IFERROR(IF(FIND("_",$B291)&gt;0,INDEX(WP!$A$2:$F$23,MATCH(LEFT($B291,FIND("_",$B291)-1),WP!$E$2:$E$23,0),2),IF(FIND("-",$B291)&gt;0,INDEX(WP!$A$2:$F$23,MATCH(LEFT($B291,FIND("_",$B291)-1),WP!$E$2:$E$23,0),2))),INDEX(WP!$A$2:$F$23,MATCH(Results!$B291,WP!$E$2:$E$23,0),2)),6)="Series",LEFT(IFERROR(IF(FIND("_",$B291)&gt;0,INDEX(WP!$A$2:$F$23,MATCH(LEFT($B291,FIND("_",$B291)-1),WP!$E$2:$E$23,0),2),IF(FIND("-",$B291)&gt;0,INDEX(WP!$A$2:$F$23,MATCH(LEFT($B291,FIND("_",$B291)-1),WP!$E$2:$E$23,0),2))),INDEX(WP!$A$2:$F$23,MATCH(Results!$B291,WP!$E$2:$E$23,0),2)),5),(IFERROR(IF(FIND("_",$B291)&gt;0,INDEX(WP!$A$2:$F$23,MATCH(LEFT($B291,FIND("_",$B291)-1),WP!$E$2:$E$23,0),2),IF(FIND("-",$B291)&gt;0,INDEX(WP!$A$2:$F$23,MATCH(LEFT($B291,FIND("_",$B291)-1),WP!$E$2:$E$23,0),2))),INDEX(WP!$A$2:$F$23,MATCH(Results!$B291,WP!$E$2:$E$23,0),2)))),IF(RIGHT(IFERROR(IF(FIND("_",$B291)&gt;0,INDEX(WP!$A$2:$F$23,MATCH(LEFT($B291,FIND("_",$B291)-1),WP!$E$2:$E$23,0),2),IF(FIND("-",$B291)&gt;0,INDEX(WP!$A$2:$F$23,MATCH(LEFT($B291,FIND("_",$B291)-1),WP!$E$2:$E$23,0),2))),INDEX(WP!$A$2:$F$23,MATCH(Results!$B291,WP!$E$2:$E$23,0),2)),6)="Series",LEFT(IFERROR(IF(FIND("_",$B291)&gt;0,INDEX(WP!$A$2:$F$23,MATCH(LEFT($B291,FIND("_",$B291)-1),WP!$E$2:$E$23,0),2),IF(FIND("-",$B291)&gt;0,INDEX(WP!$A$2:$F$23,MATCH(LEFT($B291,FIND("_",$B291)-1),WP!$E$2:$E$23,0),2))),INDEX(WP!$A$2:$F$23,MATCH(Results!$B291,WP!$E$2:$E$23,0),2)),5),(IFERROR(IF(FIND("_",$B291)&gt;0,INDEX(WP!$A$2:$F$23,MATCH(LEFT($B291,FIND("_",$B291)-1),WP!$E$2:$E$23,0),2),IF(FIND("-",$B291)&gt;0,INDEX(WP!$A$2:$F$23,MATCH(LEFT($B291,FIND("_",$B291)-1),WP!$E$2:$E$23,0),2))),INDEX(WP!$A$2:$F$23,MATCH(Results!$B291,WP!$E$2:$E$23,0),2))))&amp;"-"&amp;$I291),"")</f>
        <v/>
      </c>
      <c r="G291" s="17" t="str">
        <f>IF(LEN(_xlfn.IFNA(IF(IFERROR(IF(FIND("_",$B291)&gt;0,MID($B291,FIND("_",$B291)+1,LEN($B291)),IF(FIND("-",$B291)&gt;0,MID($B291,FIND("-",$B291)+1,LEN($B291)))),"")="",IFERROR(VLOOKUP($F291,WP!$B$2:$C$23,2,0),VLOOKUP($C291,Series!$A$3:$F$11,6,0)),IFERROR(VLOOKUP($F291,WP!$B$2:$C$23,2,0),VLOOKUP($C291,Series!$A$3:$F$11,6,0))&amp;" - "&amp;(IFERROR(IF(FIND("_",$B291)&gt;0,MID($B291,FIND("_",$B291)+1,LEN($B291)),IF(FIND("-",$B291)&gt;0,MID($B291,FIND("-",$B291)+1,LEN($B291)))),""))),""))&lt;64,_xlfn.IFNA(IF(IFERROR(IF(FIND("_",$B291)&gt;0,MID($B291,FIND("_",$B291)+1,LEN($B291)),IF(FIND("-",$B291)&gt;0,MID($B291,FIND("-",$B291)+1,LEN($B291)))),"")="",IFERROR(VLOOKUP($F291,WP!$B$2:$C$23,2,0),VLOOKUP($C291,Series!$A$3:$F$11,6,0)),IFERROR(VLOOKUP($F291,WP!$B$2:$C$23,2,0),VLOOKUP($C291,Series!$A$3:$F$11,6,0))&amp;" - "&amp;(IFERROR(IF(FIND("_",$B291)&gt;0,MID($B291,FIND("_",$B291)+1,LEN($B291)),IF(FIND("-",$B291)&gt;0,MID($B291,FIND("-",$B291)+1,LEN($B291)))),""))),""),LEFT((_xlfn.IFNA(IF(IFERROR(IF(FIND("_",$B291)&gt;0,MID($B291,FIND("_",$B291)+1,LEN($B291)),IF(FIND("-",$B291)&gt;0,MID($B291,FIND("-",$B291)+1,LEN($B291)))),"")="",IFERROR(VLOOKUP($F291,WP!$B$2:$C$23,2,0),VLOOKUP($C291,Series!$A$3:$F$11,6,0)),IFERROR(VLOOKUP($F291,WP!$B$2:$C$23,2,0),VLOOKUP($C291,Series!$A$3:$F$11,6,0))&amp;" - "&amp;(IFERROR(IF(FIND("_",$B291)&gt;0,MID($B291,FIND("_",$B291)+1,LEN($B291)),IF(FIND("-",$B291)&gt;0,MID($B291,FIND("-",$B291)+1,LEN($B291)))),""))),"")),64))</f>
        <v/>
      </c>
      <c r="H291" s="12"/>
      <c r="I291" s="12" t="str">
        <f>IF($D291&lt;&gt;"",COUNTIF($D$7:$D291,"="&amp;$D291),"")</f>
        <v/>
      </c>
      <c r="J291"/>
      <c r="K291" s="8"/>
      <c r="L291"/>
    </row>
    <row r="292" spans="1:12" x14ac:dyDescent="0.3">
      <c r="A292" s="1"/>
      <c r="B292" s="26"/>
      <c r="C292" s="12" t="str">
        <f>_xlfn.IFNA(IFERROR(IF(FIND("_",$B292)&gt;0,INDEX(WP!$A$2:$F$23,MATCH(LEFT($B292,FIND("_",$B292)-1),WP!$E$2:$E$23,0),1),IF(FIND("-",$B292)&gt;0,INDEX(WP!$A$2:$F$23,MATCH(LEFT($B292,FIND("_",$B292)-1),WP!$E$2:$E$23,0),1))),INDEX(WP!$A$2:$F$23,MATCH(Results!$B292,WP!$E$2:$E$23,0),1)),"")</f>
        <v/>
      </c>
      <c r="D292" s="12" t="str">
        <f>IFERROR(IFERROR(IF(RIGHT(INDEX(WP!$A$2:$F$23,MATCH(IF(FIND("_",$B292)&gt;0,LEFT($B292,FIND("_",$B292)-1)),WP!$E$2:$E$23,0),2),6)="Series",LEFT(INDEX(WP!$A$2:$F$23,MATCH(IF(FIND("_",$B292)&gt;0,LEFT($B292,FIND("_",$B292)-1)),WP!$E$2:$E$23,0),2),5),""),IF(RIGHT(INDEX(WP!$A$2:$F$23,MATCH($B292,WP!$E$2:$E$23,0),2),6)="Series",LEFT(INDEX(WP!$A$2:$F$23,MATCH($B292,WP!$E$2:$E$23,0),2),5),"")),"")</f>
        <v/>
      </c>
      <c r="E292" s="17" t="str">
        <f>IFERROR(VLOOKUP(VALUE($D292),Series!$B$3:$F$11,2,0),"")</f>
        <v/>
      </c>
      <c r="F292" s="12" t="str">
        <f>_xlfn.IFNA(IF(IF($D292&lt;&gt;"",COUNTIF($E:$E,"="&amp;$D292),"")="",IF(RIGHT(IFERROR(IF(FIND("_",$B292)&gt;0,INDEX(WP!$A$2:$F$23,MATCH(LEFT($B292,FIND("_",$B292)-1),WP!$E$2:$E$23,0),2),IF(FIND("-",$B292)&gt;0,INDEX(WP!$A$2:$F$23,MATCH(LEFT($B292,FIND("_",$B292)-1),WP!$E$2:$E$23,0),2))),INDEX(WP!$A$2:$F$23,MATCH(Results!$B292,WP!$E$2:$E$23,0),2)),6)="Series",LEFT(IFERROR(IF(FIND("_",$B292)&gt;0,INDEX(WP!$A$2:$F$23,MATCH(LEFT($B292,FIND("_",$B292)-1),WP!$E$2:$E$23,0),2),IF(FIND("-",$B292)&gt;0,INDEX(WP!$A$2:$F$23,MATCH(LEFT($B292,FIND("_",$B292)-1),WP!$E$2:$E$23,0),2))),INDEX(WP!$A$2:$F$23,MATCH(Results!$B292,WP!$E$2:$E$23,0),2)),5),(IFERROR(IF(FIND("_",$B292)&gt;0,INDEX(WP!$A$2:$F$23,MATCH(LEFT($B292,FIND("_",$B292)-1),WP!$E$2:$E$23,0),2),IF(FIND("-",$B292)&gt;0,INDEX(WP!$A$2:$F$23,MATCH(LEFT($B292,FIND("_",$B292)-1),WP!$E$2:$E$23,0),2))),INDEX(WP!$A$2:$F$23,MATCH(Results!$B292,WP!$E$2:$E$23,0),2)))),IF(RIGHT(IFERROR(IF(FIND("_",$B292)&gt;0,INDEX(WP!$A$2:$F$23,MATCH(LEFT($B292,FIND("_",$B292)-1),WP!$E$2:$E$23,0),2),IF(FIND("-",$B292)&gt;0,INDEX(WP!$A$2:$F$23,MATCH(LEFT($B292,FIND("_",$B292)-1),WP!$E$2:$E$23,0),2))),INDEX(WP!$A$2:$F$23,MATCH(Results!$B292,WP!$E$2:$E$23,0),2)),6)="Series",LEFT(IFERROR(IF(FIND("_",$B292)&gt;0,INDEX(WP!$A$2:$F$23,MATCH(LEFT($B292,FIND("_",$B292)-1),WP!$E$2:$E$23,0),2),IF(FIND("-",$B292)&gt;0,INDEX(WP!$A$2:$F$23,MATCH(LEFT($B292,FIND("_",$B292)-1),WP!$E$2:$E$23,0),2))),INDEX(WP!$A$2:$F$23,MATCH(Results!$B292,WP!$E$2:$E$23,0),2)),5),(IFERROR(IF(FIND("_",$B292)&gt;0,INDEX(WP!$A$2:$F$23,MATCH(LEFT($B292,FIND("_",$B292)-1),WP!$E$2:$E$23,0),2),IF(FIND("-",$B292)&gt;0,INDEX(WP!$A$2:$F$23,MATCH(LEFT($B292,FIND("_",$B292)-1),WP!$E$2:$E$23,0),2))),INDEX(WP!$A$2:$F$23,MATCH(Results!$B292,WP!$E$2:$E$23,0),2))))&amp;"-"&amp;$I292),"")</f>
        <v/>
      </c>
      <c r="G292" s="17" t="str">
        <f>IF(LEN(_xlfn.IFNA(IF(IFERROR(IF(FIND("_",$B292)&gt;0,MID($B292,FIND("_",$B292)+1,LEN($B292)),IF(FIND("-",$B292)&gt;0,MID($B292,FIND("-",$B292)+1,LEN($B292)))),"")="",IFERROR(VLOOKUP($F292,WP!$B$2:$C$23,2,0),VLOOKUP($C292,Series!$A$3:$F$11,6,0)),IFERROR(VLOOKUP($F292,WP!$B$2:$C$23,2,0),VLOOKUP($C292,Series!$A$3:$F$11,6,0))&amp;" - "&amp;(IFERROR(IF(FIND("_",$B292)&gt;0,MID($B292,FIND("_",$B292)+1,LEN($B292)),IF(FIND("-",$B292)&gt;0,MID($B292,FIND("-",$B292)+1,LEN($B292)))),""))),""))&lt;64,_xlfn.IFNA(IF(IFERROR(IF(FIND("_",$B292)&gt;0,MID($B292,FIND("_",$B292)+1,LEN($B292)),IF(FIND("-",$B292)&gt;0,MID($B292,FIND("-",$B292)+1,LEN($B292)))),"")="",IFERROR(VLOOKUP($F292,WP!$B$2:$C$23,2,0),VLOOKUP($C292,Series!$A$3:$F$11,6,0)),IFERROR(VLOOKUP($F292,WP!$B$2:$C$23,2,0),VLOOKUP($C292,Series!$A$3:$F$11,6,0))&amp;" - "&amp;(IFERROR(IF(FIND("_",$B292)&gt;0,MID($B292,FIND("_",$B292)+1,LEN($B292)),IF(FIND("-",$B292)&gt;0,MID($B292,FIND("-",$B292)+1,LEN($B292)))),""))),""),LEFT((_xlfn.IFNA(IF(IFERROR(IF(FIND("_",$B292)&gt;0,MID($B292,FIND("_",$B292)+1,LEN($B292)),IF(FIND("-",$B292)&gt;0,MID($B292,FIND("-",$B292)+1,LEN($B292)))),"")="",IFERROR(VLOOKUP($F292,WP!$B$2:$C$23,2,0),VLOOKUP($C292,Series!$A$3:$F$11,6,0)),IFERROR(VLOOKUP($F292,WP!$B$2:$C$23,2,0),VLOOKUP($C292,Series!$A$3:$F$11,6,0))&amp;" - "&amp;(IFERROR(IF(FIND("_",$B292)&gt;0,MID($B292,FIND("_",$B292)+1,LEN($B292)),IF(FIND("-",$B292)&gt;0,MID($B292,FIND("-",$B292)+1,LEN($B292)))),""))),"")),64))</f>
        <v/>
      </c>
      <c r="H292" s="12"/>
      <c r="I292" s="12" t="str">
        <f>IF($D292&lt;&gt;"",COUNTIF($D$7:$D292,"="&amp;$D292),"")</f>
        <v/>
      </c>
      <c r="J292"/>
      <c r="K292" s="8"/>
      <c r="L292"/>
    </row>
    <row r="293" spans="1:12" x14ac:dyDescent="0.3">
      <c r="A293" s="1"/>
      <c r="B293" s="26"/>
      <c r="C293" s="12" t="str">
        <f>_xlfn.IFNA(IFERROR(IF(FIND("_",$B293)&gt;0,INDEX(WP!$A$2:$F$23,MATCH(LEFT($B293,FIND("_",$B293)-1),WP!$E$2:$E$23,0),1),IF(FIND("-",$B293)&gt;0,INDEX(WP!$A$2:$F$23,MATCH(LEFT($B293,FIND("_",$B293)-1),WP!$E$2:$E$23,0),1))),INDEX(WP!$A$2:$F$23,MATCH(Results!$B293,WP!$E$2:$E$23,0),1)),"")</f>
        <v/>
      </c>
      <c r="D293" s="12" t="str">
        <f>IFERROR(IFERROR(IF(RIGHT(INDEX(WP!$A$2:$F$23,MATCH(IF(FIND("_",$B293)&gt;0,LEFT($B293,FIND("_",$B293)-1)),WP!$E$2:$E$23,0),2),6)="Series",LEFT(INDEX(WP!$A$2:$F$23,MATCH(IF(FIND("_",$B293)&gt;0,LEFT($B293,FIND("_",$B293)-1)),WP!$E$2:$E$23,0),2),5),""),IF(RIGHT(INDEX(WP!$A$2:$F$23,MATCH($B293,WP!$E$2:$E$23,0),2),6)="Series",LEFT(INDEX(WP!$A$2:$F$23,MATCH($B293,WP!$E$2:$E$23,0),2),5),"")),"")</f>
        <v/>
      </c>
      <c r="E293" s="17" t="str">
        <f>IFERROR(VLOOKUP(VALUE($D293),Series!$B$3:$F$11,2,0),"")</f>
        <v/>
      </c>
      <c r="F293" s="12" t="str">
        <f>_xlfn.IFNA(IF(IF($D293&lt;&gt;"",COUNTIF($E:$E,"="&amp;$D293),"")="",IF(RIGHT(IFERROR(IF(FIND("_",$B293)&gt;0,INDEX(WP!$A$2:$F$23,MATCH(LEFT($B293,FIND("_",$B293)-1),WP!$E$2:$E$23,0),2),IF(FIND("-",$B293)&gt;0,INDEX(WP!$A$2:$F$23,MATCH(LEFT($B293,FIND("_",$B293)-1),WP!$E$2:$E$23,0),2))),INDEX(WP!$A$2:$F$23,MATCH(Results!$B293,WP!$E$2:$E$23,0),2)),6)="Series",LEFT(IFERROR(IF(FIND("_",$B293)&gt;0,INDEX(WP!$A$2:$F$23,MATCH(LEFT($B293,FIND("_",$B293)-1),WP!$E$2:$E$23,0),2),IF(FIND("-",$B293)&gt;0,INDEX(WP!$A$2:$F$23,MATCH(LEFT($B293,FIND("_",$B293)-1),WP!$E$2:$E$23,0),2))),INDEX(WP!$A$2:$F$23,MATCH(Results!$B293,WP!$E$2:$E$23,0),2)),5),(IFERROR(IF(FIND("_",$B293)&gt;0,INDEX(WP!$A$2:$F$23,MATCH(LEFT($B293,FIND("_",$B293)-1),WP!$E$2:$E$23,0),2),IF(FIND("-",$B293)&gt;0,INDEX(WP!$A$2:$F$23,MATCH(LEFT($B293,FIND("_",$B293)-1),WP!$E$2:$E$23,0),2))),INDEX(WP!$A$2:$F$23,MATCH(Results!$B293,WP!$E$2:$E$23,0),2)))),IF(RIGHT(IFERROR(IF(FIND("_",$B293)&gt;0,INDEX(WP!$A$2:$F$23,MATCH(LEFT($B293,FIND("_",$B293)-1),WP!$E$2:$E$23,0),2),IF(FIND("-",$B293)&gt;0,INDEX(WP!$A$2:$F$23,MATCH(LEFT($B293,FIND("_",$B293)-1),WP!$E$2:$E$23,0),2))),INDEX(WP!$A$2:$F$23,MATCH(Results!$B293,WP!$E$2:$E$23,0),2)),6)="Series",LEFT(IFERROR(IF(FIND("_",$B293)&gt;0,INDEX(WP!$A$2:$F$23,MATCH(LEFT($B293,FIND("_",$B293)-1),WP!$E$2:$E$23,0),2),IF(FIND("-",$B293)&gt;0,INDEX(WP!$A$2:$F$23,MATCH(LEFT($B293,FIND("_",$B293)-1),WP!$E$2:$E$23,0),2))),INDEX(WP!$A$2:$F$23,MATCH(Results!$B293,WP!$E$2:$E$23,0),2)),5),(IFERROR(IF(FIND("_",$B293)&gt;0,INDEX(WP!$A$2:$F$23,MATCH(LEFT($B293,FIND("_",$B293)-1),WP!$E$2:$E$23,0),2),IF(FIND("-",$B293)&gt;0,INDEX(WP!$A$2:$F$23,MATCH(LEFT($B293,FIND("_",$B293)-1),WP!$E$2:$E$23,0),2))),INDEX(WP!$A$2:$F$23,MATCH(Results!$B293,WP!$E$2:$E$23,0),2))))&amp;"-"&amp;$I293),"")</f>
        <v/>
      </c>
      <c r="G293" s="17" t="str">
        <f>IF(LEN(_xlfn.IFNA(IF(IFERROR(IF(FIND("_",$B293)&gt;0,MID($B293,FIND("_",$B293)+1,LEN($B293)),IF(FIND("-",$B293)&gt;0,MID($B293,FIND("-",$B293)+1,LEN($B293)))),"")="",IFERROR(VLOOKUP($F293,WP!$B$2:$C$23,2,0),VLOOKUP($C293,Series!$A$3:$F$11,6,0)),IFERROR(VLOOKUP($F293,WP!$B$2:$C$23,2,0),VLOOKUP($C293,Series!$A$3:$F$11,6,0))&amp;" - "&amp;(IFERROR(IF(FIND("_",$B293)&gt;0,MID($B293,FIND("_",$B293)+1,LEN($B293)),IF(FIND("-",$B293)&gt;0,MID($B293,FIND("-",$B293)+1,LEN($B293)))),""))),""))&lt;64,_xlfn.IFNA(IF(IFERROR(IF(FIND("_",$B293)&gt;0,MID($B293,FIND("_",$B293)+1,LEN($B293)),IF(FIND("-",$B293)&gt;0,MID($B293,FIND("-",$B293)+1,LEN($B293)))),"")="",IFERROR(VLOOKUP($F293,WP!$B$2:$C$23,2,0),VLOOKUP($C293,Series!$A$3:$F$11,6,0)),IFERROR(VLOOKUP($F293,WP!$B$2:$C$23,2,0),VLOOKUP($C293,Series!$A$3:$F$11,6,0))&amp;" - "&amp;(IFERROR(IF(FIND("_",$B293)&gt;0,MID($B293,FIND("_",$B293)+1,LEN($B293)),IF(FIND("-",$B293)&gt;0,MID($B293,FIND("-",$B293)+1,LEN($B293)))),""))),""),LEFT((_xlfn.IFNA(IF(IFERROR(IF(FIND("_",$B293)&gt;0,MID($B293,FIND("_",$B293)+1,LEN($B293)),IF(FIND("-",$B293)&gt;0,MID($B293,FIND("-",$B293)+1,LEN($B293)))),"")="",IFERROR(VLOOKUP($F293,WP!$B$2:$C$23,2,0),VLOOKUP($C293,Series!$A$3:$F$11,6,0)),IFERROR(VLOOKUP($F293,WP!$B$2:$C$23,2,0),VLOOKUP($C293,Series!$A$3:$F$11,6,0))&amp;" - "&amp;(IFERROR(IF(FIND("_",$B293)&gt;0,MID($B293,FIND("_",$B293)+1,LEN($B293)),IF(FIND("-",$B293)&gt;0,MID($B293,FIND("-",$B293)+1,LEN($B293)))),""))),"")),64))</f>
        <v/>
      </c>
      <c r="H293" s="12"/>
      <c r="I293" s="12" t="str">
        <f>IF($D293&lt;&gt;"",COUNTIF($D$7:$D293,"="&amp;$D293),"")</f>
        <v/>
      </c>
      <c r="J293"/>
      <c r="K293" s="8"/>
      <c r="L293"/>
    </row>
    <row r="294" spans="1:12" x14ac:dyDescent="0.3">
      <c r="A294" s="1"/>
      <c r="B294" s="26"/>
      <c r="C294" s="12" t="str">
        <f>_xlfn.IFNA(IFERROR(IF(FIND("_",$B294)&gt;0,INDEX(WP!$A$2:$F$23,MATCH(LEFT($B294,FIND("_",$B294)-1),WP!$E$2:$E$23,0),1),IF(FIND("-",$B294)&gt;0,INDEX(WP!$A$2:$F$23,MATCH(LEFT($B294,FIND("_",$B294)-1),WP!$E$2:$E$23,0),1))),INDEX(WP!$A$2:$F$23,MATCH(Results!$B294,WP!$E$2:$E$23,0),1)),"")</f>
        <v/>
      </c>
      <c r="D294" s="12" t="str">
        <f>IFERROR(IFERROR(IF(RIGHT(INDEX(WP!$A$2:$F$23,MATCH(IF(FIND("_",$B294)&gt;0,LEFT($B294,FIND("_",$B294)-1)),WP!$E$2:$E$23,0),2),6)="Series",LEFT(INDEX(WP!$A$2:$F$23,MATCH(IF(FIND("_",$B294)&gt;0,LEFT($B294,FIND("_",$B294)-1)),WP!$E$2:$E$23,0),2),5),""),IF(RIGHT(INDEX(WP!$A$2:$F$23,MATCH($B294,WP!$E$2:$E$23,0),2),6)="Series",LEFT(INDEX(WP!$A$2:$F$23,MATCH($B294,WP!$E$2:$E$23,0),2),5),"")),"")</f>
        <v/>
      </c>
      <c r="E294" s="17" t="str">
        <f>IFERROR(VLOOKUP(VALUE($D294),Series!$B$3:$F$11,2,0),"")</f>
        <v/>
      </c>
      <c r="F294" s="12" t="str">
        <f>_xlfn.IFNA(IF(IF($D294&lt;&gt;"",COUNTIF($E:$E,"="&amp;$D294),"")="",IF(RIGHT(IFERROR(IF(FIND("_",$B294)&gt;0,INDEX(WP!$A$2:$F$23,MATCH(LEFT($B294,FIND("_",$B294)-1),WP!$E$2:$E$23,0),2),IF(FIND("-",$B294)&gt;0,INDEX(WP!$A$2:$F$23,MATCH(LEFT($B294,FIND("_",$B294)-1),WP!$E$2:$E$23,0),2))),INDEX(WP!$A$2:$F$23,MATCH(Results!$B294,WP!$E$2:$E$23,0),2)),6)="Series",LEFT(IFERROR(IF(FIND("_",$B294)&gt;0,INDEX(WP!$A$2:$F$23,MATCH(LEFT($B294,FIND("_",$B294)-1),WP!$E$2:$E$23,0),2),IF(FIND("-",$B294)&gt;0,INDEX(WP!$A$2:$F$23,MATCH(LEFT($B294,FIND("_",$B294)-1),WP!$E$2:$E$23,0),2))),INDEX(WP!$A$2:$F$23,MATCH(Results!$B294,WP!$E$2:$E$23,0),2)),5),(IFERROR(IF(FIND("_",$B294)&gt;0,INDEX(WP!$A$2:$F$23,MATCH(LEFT($B294,FIND("_",$B294)-1),WP!$E$2:$E$23,0),2),IF(FIND("-",$B294)&gt;0,INDEX(WP!$A$2:$F$23,MATCH(LEFT($B294,FIND("_",$B294)-1),WP!$E$2:$E$23,0),2))),INDEX(WP!$A$2:$F$23,MATCH(Results!$B294,WP!$E$2:$E$23,0),2)))),IF(RIGHT(IFERROR(IF(FIND("_",$B294)&gt;0,INDEX(WP!$A$2:$F$23,MATCH(LEFT($B294,FIND("_",$B294)-1),WP!$E$2:$E$23,0),2),IF(FIND("-",$B294)&gt;0,INDEX(WP!$A$2:$F$23,MATCH(LEFT($B294,FIND("_",$B294)-1),WP!$E$2:$E$23,0),2))),INDEX(WP!$A$2:$F$23,MATCH(Results!$B294,WP!$E$2:$E$23,0),2)),6)="Series",LEFT(IFERROR(IF(FIND("_",$B294)&gt;0,INDEX(WP!$A$2:$F$23,MATCH(LEFT($B294,FIND("_",$B294)-1),WP!$E$2:$E$23,0),2),IF(FIND("-",$B294)&gt;0,INDEX(WP!$A$2:$F$23,MATCH(LEFT($B294,FIND("_",$B294)-1),WP!$E$2:$E$23,0),2))),INDEX(WP!$A$2:$F$23,MATCH(Results!$B294,WP!$E$2:$E$23,0),2)),5),(IFERROR(IF(FIND("_",$B294)&gt;0,INDEX(WP!$A$2:$F$23,MATCH(LEFT($B294,FIND("_",$B294)-1),WP!$E$2:$E$23,0),2),IF(FIND("-",$B294)&gt;0,INDEX(WP!$A$2:$F$23,MATCH(LEFT($B294,FIND("_",$B294)-1),WP!$E$2:$E$23,0),2))),INDEX(WP!$A$2:$F$23,MATCH(Results!$B294,WP!$E$2:$E$23,0),2))))&amp;"-"&amp;$I294),"")</f>
        <v/>
      </c>
      <c r="G294" s="17" t="str">
        <f>IF(LEN(_xlfn.IFNA(IF(IFERROR(IF(FIND("_",$B294)&gt;0,MID($B294,FIND("_",$B294)+1,LEN($B294)),IF(FIND("-",$B294)&gt;0,MID($B294,FIND("-",$B294)+1,LEN($B294)))),"")="",IFERROR(VLOOKUP($F294,WP!$B$2:$C$23,2,0),VLOOKUP($C294,Series!$A$3:$F$11,6,0)),IFERROR(VLOOKUP($F294,WP!$B$2:$C$23,2,0),VLOOKUP($C294,Series!$A$3:$F$11,6,0))&amp;" - "&amp;(IFERROR(IF(FIND("_",$B294)&gt;0,MID($B294,FIND("_",$B294)+1,LEN($B294)),IF(FIND("-",$B294)&gt;0,MID($B294,FIND("-",$B294)+1,LEN($B294)))),""))),""))&lt;64,_xlfn.IFNA(IF(IFERROR(IF(FIND("_",$B294)&gt;0,MID($B294,FIND("_",$B294)+1,LEN($B294)),IF(FIND("-",$B294)&gt;0,MID($B294,FIND("-",$B294)+1,LEN($B294)))),"")="",IFERROR(VLOOKUP($F294,WP!$B$2:$C$23,2,0),VLOOKUP($C294,Series!$A$3:$F$11,6,0)),IFERROR(VLOOKUP($F294,WP!$B$2:$C$23,2,0),VLOOKUP($C294,Series!$A$3:$F$11,6,0))&amp;" - "&amp;(IFERROR(IF(FIND("_",$B294)&gt;0,MID($B294,FIND("_",$B294)+1,LEN($B294)),IF(FIND("-",$B294)&gt;0,MID($B294,FIND("-",$B294)+1,LEN($B294)))),""))),""),LEFT((_xlfn.IFNA(IF(IFERROR(IF(FIND("_",$B294)&gt;0,MID($B294,FIND("_",$B294)+1,LEN($B294)),IF(FIND("-",$B294)&gt;0,MID($B294,FIND("-",$B294)+1,LEN($B294)))),"")="",IFERROR(VLOOKUP($F294,WP!$B$2:$C$23,2,0),VLOOKUP($C294,Series!$A$3:$F$11,6,0)),IFERROR(VLOOKUP($F294,WP!$B$2:$C$23,2,0),VLOOKUP($C294,Series!$A$3:$F$11,6,0))&amp;" - "&amp;(IFERROR(IF(FIND("_",$B294)&gt;0,MID($B294,FIND("_",$B294)+1,LEN($B294)),IF(FIND("-",$B294)&gt;0,MID($B294,FIND("-",$B294)+1,LEN($B294)))),""))),"")),64))</f>
        <v/>
      </c>
      <c r="H294" s="12"/>
      <c r="I294" s="12" t="str">
        <f>IF($D294&lt;&gt;"",COUNTIF($D$7:$D294,"="&amp;$D294),"")</f>
        <v/>
      </c>
      <c r="J294"/>
      <c r="K294" s="8"/>
      <c r="L294"/>
    </row>
    <row r="295" spans="1:12" x14ac:dyDescent="0.3">
      <c r="A295" s="1"/>
      <c r="B295" s="26"/>
      <c r="C295" s="12" t="str">
        <f>_xlfn.IFNA(IFERROR(IF(FIND("_",$B295)&gt;0,INDEX(WP!$A$2:$F$23,MATCH(LEFT($B295,FIND("_",$B295)-1),WP!$E$2:$E$23,0),1),IF(FIND("-",$B295)&gt;0,INDEX(WP!$A$2:$F$23,MATCH(LEFT($B295,FIND("_",$B295)-1),WP!$E$2:$E$23,0),1))),INDEX(WP!$A$2:$F$23,MATCH(Results!$B295,WP!$E$2:$E$23,0),1)),"")</f>
        <v/>
      </c>
      <c r="D295" s="12" t="str">
        <f>IFERROR(IFERROR(IF(RIGHT(INDEX(WP!$A$2:$F$23,MATCH(IF(FIND("_",$B295)&gt;0,LEFT($B295,FIND("_",$B295)-1)),WP!$E$2:$E$23,0),2),6)="Series",LEFT(INDEX(WP!$A$2:$F$23,MATCH(IF(FIND("_",$B295)&gt;0,LEFT($B295,FIND("_",$B295)-1)),WP!$E$2:$E$23,0),2),5),""),IF(RIGHT(INDEX(WP!$A$2:$F$23,MATCH($B295,WP!$E$2:$E$23,0),2),6)="Series",LEFT(INDEX(WP!$A$2:$F$23,MATCH($B295,WP!$E$2:$E$23,0),2),5),"")),"")</f>
        <v/>
      </c>
      <c r="E295" s="17" t="str">
        <f>IFERROR(VLOOKUP(VALUE($D295),Series!$B$3:$F$11,2,0),"")</f>
        <v/>
      </c>
      <c r="F295" s="12" t="str">
        <f>_xlfn.IFNA(IF(IF($D295&lt;&gt;"",COUNTIF($E:$E,"="&amp;$D295),"")="",IF(RIGHT(IFERROR(IF(FIND("_",$B295)&gt;0,INDEX(WP!$A$2:$F$23,MATCH(LEFT($B295,FIND("_",$B295)-1),WP!$E$2:$E$23,0),2),IF(FIND("-",$B295)&gt;0,INDEX(WP!$A$2:$F$23,MATCH(LEFT($B295,FIND("_",$B295)-1),WP!$E$2:$E$23,0),2))),INDEX(WP!$A$2:$F$23,MATCH(Results!$B295,WP!$E$2:$E$23,0),2)),6)="Series",LEFT(IFERROR(IF(FIND("_",$B295)&gt;0,INDEX(WP!$A$2:$F$23,MATCH(LEFT($B295,FIND("_",$B295)-1),WP!$E$2:$E$23,0),2),IF(FIND("-",$B295)&gt;0,INDEX(WP!$A$2:$F$23,MATCH(LEFT($B295,FIND("_",$B295)-1),WP!$E$2:$E$23,0),2))),INDEX(WP!$A$2:$F$23,MATCH(Results!$B295,WP!$E$2:$E$23,0),2)),5),(IFERROR(IF(FIND("_",$B295)&gt;0,INDEX(WP!$A$2:$F$23,MATCH(LEFT($B295,FIND("_",$B295)-1),WP!$E$2:$E$23,0),2),IF(FIND("-",$B295)&gt;0,INDEX(WP!$A$2:$F$23,MATCH(LEFT($B295,FIND("_",$B295)-1),WP!$E$2:$E$23,0),2))),INDEX(WP!$A$2:$F$23,MATCH(Results!$B295,WP!$E$2:$E$23,0),2)))),IF(RIGHT(IFERROR(IF(FIND("_",$B295)&gt;0,INDEX(WP!$A$2:$F$23,MATCH(LEFT($B295,FIND("_",$B295)-1),WP!$E$2:$E$23,0),2),IF(FIND("-",$B295)&gt;0,INDEX(WP!$A$2:$F$23,MATCH(LEFT($B295,FIND("_",$B295)-1),WP!$E$2:$E$23,0),2))),INDEX(WP!$A$2:$F$23,MATCH(Results!$B295,WP!$E$2:$E$23,0),2)),6)="Series",LEFT(IFERROR(IF(FIND("_",$B295)&gt;0,INDEX(WP!$A$2:$F$23,MATCH(LEFT($B295,FIND("_",$B295)-1),WP!$E$2:$E$23,0),2),IF(FIND("-",$B295)&gt;0,INDEX(WP!$A$2:$F$23,MATCH(LEFT($B295,FIND("_",$B295)-1),WP!$E$2:$E$23,0),2))),INDEX(WP!$A$2:$F$23,MATCH(Results!$B295,WP!$E$2:$E$23,0),2)),5),(IFERROR(IF(FIND("_",$B295)&gt;0,INDEX(WP!$A$2:$F$23,MATCH(LEFT($B295,FIND("_",$B295)-1),WP!$E$2:$E$23,0),2),IF(FIND("-",$B295)&gt;0,INDEX(WP!$A$2:$F$23,MATCH(LEFT($B295,FIND("_",$B295)-1),WP!$E$2:$E$23,0),2))),INDEX(WP!$A$2:$F$23,MATCH(Results!$B295,WP!$E$2:$E$23,0),2))))&amp;"-"&amp;$I295),"")</f>
        <v/>
      </c>
      <c r="G295" s="17" t="str">
        <f>IF(LEN(_xlfn.IFNA(IF(IFERROR(IF(FIND("_",$B295)&gt;0,MID($B295,FIND("_",$B295)+1,LEN($B295)),IF(FIND("-",$B295)&gt;0,MID($B295,FIND("-",$B295)+1,LEN($B295)))),"")="",IFERROR(VLOOKUP($F295,WP!$B$2:$C$23,2,0),VLOOKUP($C295,Series!$A$3:$F$11,6,0)),IFERROR(VLOOKUP($F295,WP!$B$2:$C$23,2,0),VLOOKUP($C295,Series!$A$3:$F$11,6,0))&amp;" - "&amp;(IFERROR(IF(FIND("_",$B295)&gt;0,MID($B295,FIND("_",$B295)+1,LEN($B295)),IF(FIND("-",$B295)&gt;0,MID($B295,FIND("-",$B295)+1,LEN($B295)))),""))),""))&lt;64,_xlfn.IFNA(IF(IFERROR(IF(FIND("_",$B295)&gt;0,MID($B295,FIND("_",$B295)+1,LEN($B295)),IF(FIND("-",$B295)&gt;0,MID($B295,FIND("-",$B295)+1,LEN($B295)))),"")="",IFERROR(VLOOKUP($F295,WP!$B$2:$C$23,2,0),VLOOKUP($C295,Series!$A$3:$F$11,6,0)),IFERROR(VLOOKUP($F295,WP!$B$2:$C$23,2,0),VLOOKUP($C295,Series!$A$3:$F$11,6,0))&amp;" - "&amp;(IFERROR(IF(FIND("_",$B295)&gt;0,MID($B295,FIND("_",$B295)+1,LEN($B295)),IF(FIND("-",$B295)&gt;0,MID($B295,FIND("-",$B295)+1,LEN($B295)))),""))),""),LEFT((_xlfn.IFNA(IF(IFERROR(IF(FIND("_",$B295)&gt;0,MID($B295,FIND("_",$B295)+1,LEN($B295)),IF(FIND("-",$B295)&gt;0,MID($B295,FIND("-",$B295)+1,LEN($B295)))),"")="",IFERROR(VLOOKUP($F295,WP!$B$2:$C$23,2,0),VLOOKUP($C295,Series!$A$3:$F$11,6,0)),IFERROR(VLOOKUP($F295,WP!$B$2:$C$23,2,0),VLOOKUP($C295,Series!$A$3:$F$11,6,0))&amp;" - "&amp;(IFERROR(IF(FIND("_",$B295)&gt;0,MID($B295,FIND("_",$B295)+1,LEN($B295)),IF(FIND("-",$B295)&gt;0,MID($B295,FIND("-",$B295)+1,LEN($B295)))),""))),"")),64))</f>
        <v/>
      </c>
      <c r="H295" s="12"/>
      <c r="I295" s="12" t="str">
        <f>IF($D295&lt;&gt;"",COUNTIF($D$7:$D295,"="&amp;$D295),"")</f>
        <v/>
      </c>
      <c r="J295"/>
      <c r="K295" s="8"/>
      <c r="L295"/>
    </row>
    <row r="296" spans="1:12" x14ac:dyDescent="0.3">
      <c r="A296" s="1"/>
      <c r="B296" s="26"/>
      <c r="C296" s="12" t="str">
        <f>_xlfn.IFNA(IFERROR(IF(FIND("_",$B296)&gt;0,INDEX(WP!$A$2:$F$23,MATCH(LEFT($B296,FIND("_",$B296)-1),WP!$E$2:$E$23,0),1),IF(FIND("-",$B296)&gt;0,INDEX(WP!$A$2:$F$23,MATCH(LEFT($B296,FIND("_",$B296)-1),WP!$E$2:$E$23,0),1))),INDEX(WP!$A$2:$F$23,MATCH(Results!$B296,WP!$E$2:$E$23,0),1)),"")</f>
        <v/>
      </c>
      <c r="D296" s="12" t="str">
        <f>IFERROR(IFERROR(IF(RIGHT(INDEX(WP!$A$2:$F$23,MATCH(IF(FIND("_",$B296)&gt;0,LEFT($B296,FIND("_",$B296)-1)),WP!$E$2:$E$23,0),2),6)="Series",LEFT(INDEX(WP!$A$2:$F$23,MATCH(IF(FIND("_",$B296)&gt;0,LEFT($B296,FIND("_",$B296)-1)),WP!$E$2:$E$23,0),2),5),""),IF(RIGHT(INDEX(WP!$A$2:$F$23,MATCH($B296,WP!$E$2:$E$23,0),2),6)="Series",LEFT(INDEX(WP!$A$2:$F$23,MATCH($B296,WP!$E$2:$E$23,0),2),5),"")),"")</f>
        <v/>
      </c>
      <c r="E296" s="17" t="str">
        <f>IFERROR(VLOOKUP(VALUE($D296),Series!$B$3:$F$11,2,0),"")</f>
        <v/>
      </c>
      <c r="F296" s="12" t="str">
        <f>_xlfn.IFNA(IF(IF($D296&lt;&gt;"",COUNTIF($E:$E,"="&amp;$D296),"")="",IF(RIGHT(IFERROR(IF(FIND("_",$B296)&gt;0,INDEX(WP!$A$2:$F$23,MATCH(LEFT($B296,FIND("_",$B296)-1),WP!$E$2:$E$23,0),2),IF(FIND("-",$B296)&gt;0,INDEX(WP!$A$2:$F$23,MATCH(LEFT($B296,FIND("_",$B296)-1),WP!$E$2:$E$23,0),2))),INDEX(WP!$A$2:$F$23,MATCH(Results!$B296,WP!$E$2:$E$23,0),2)),6)="Series",LEFT(IFERROR(IF(FIND("_",$B296)&gt;0,INDEX(WP!$A$2:$F$23,MATCH(LEFT($B296,FIND("_",$B296)-1),WP!$E$2:$E$23,0),2),IF(FIND("-",$B296)&gt;0,INDEX(WP!$A$2:$F$23,MATCH(LEFT($B296,FIND("_",$B296)-1),WP!$E$2:$E$23,0),2))),INDEX(WP!$A$2:$F$23,MATCH(Results!$B296,WP!$E$2:$E$23,0),2)),5),(IFERROR(IF(FIND("_",$B296)&gt;0,INDEX(WP!$A$2:$F$23,MATCH(LEFT($B296,FIND("_",$B296)-1),WP!$E$2:$E$23,0),2),IF(FIND("-",$B296)&gt;0,INDEX(WP!$A$2:$F$23,MATCH(LEFT($B296,FIND("_",$B296)-1),WP!$E$2:$E$23,0),2))),INDEX(WP!$A$2:$F$23,MATCH(Results!$B296,WP!$E$2:$E$23,0),2)))),IF(RIGHT(IFERROR(IF(FIND("_",$B296)&gt;0,INDEX(WP!$A$2:$F$23,MATCH(LEFT($B296,FIND("_",$B296)-1),WP!$E$2:$E$23,0),2),IF(FIND("-",$B296)&gt;0,INDEX(WP!$A$2:$F$23,MATCH(LEFT($B296,FIND("_",$B296)-1),WP!$E$2:$E$23,0),2))),INDEX(WP!$A$2:$F$23,MATCH(Results!$B296,WP!$E$2:$E$23,0),2)),6)="Series",LEFT(IFERROR(IF(FIND("_",$B296)&gt;0,INDEX(WP!$A$2:$F$23,MATCH(LEFT($B296,FIND("_",$B296)-1),WP!$E$2:$E$23,0),2),IF(FIND("-",$B296)&gt;0,INDEX(WP!$A$2:$F$23,MATCH(LEFT($B296,FIND("_",$B296)-1),WP!$E$2:$E$23,0),2))),INDEX(WP!$A$2:$F$23,MATCH(Results!$B296,WP!$E$2:$E$23,0),2)),5),(IFERROR(IF(FIND("_",$B296)&gt;0,INDEX(WP!$A$2:$F$23,MATCH(LEFT($B296,FIND("_",$B296)-1),WP!$E$2:$E$23,0),2),IF(FIND("-",$B296)&gt;0,INDEX(WP!$A$2:$F$23,MATCH(LEFT($B296,FIND("_",$B296)-1),WP!$E$2:$E$23,0),2))),INDEX(WP!$A$2:$F$23,MATCH(Results!$B296,WP!$E$2:$E$23,0),2))))&amp;"-"&amp;$I296),"")</f>
        <v/>
      </c>
      <c r="G296" s="17" t="str">
        <f>IF(LEN(_xlfn.IFNA(IF(IFERROR(IF(FIND("_",$B296)&gt;0,MID($B296,FIND("_",$B296)+1,LEN($B296)),IF(FIND("-",$B296)&gt;0,MID($B296,FIND("-",$B296)+1,LEN($B296)))),"")="",IFERROR(VLOOKUP($F296,WP!$B$2:$C$23,2,0),VLOOKUP($C296,Series!$A$3:$F$11,6,0)),IFERROR(VLOOKUP($F296,WP!$B$2:$C$23,2,0),VLOOKUP($C296,Series!$A$3:$F$11,6,0))&amp;" - "&amp;(IFERROR(IF(FIND("_",$B296)&gt;0,MID($B296,FIND("_",$B296)+1,LEN($B296)),IF(FIND("-",$B296)&gt;0,MID($B296,FIND("-",$B296)+1,LEN($B296)))),""))),""))&lt;64,_xlfn.IFNA(IF(IFERROR(IF(FIND("_",$B296)&gt;0,MID($B296,FIND("_",$B296)+1,LEN($B296)),IF(FIND("-",$B296)&gt;0,MID($B296,FIND("-",$B296)+1,LEN($B296)))),"")="",IFERROR(VLOOKUP($F296,WP!$B$2:$C$23,2,0),VLOOKUP($C296,Series!$A$3:$F$11,6,0)),IFERROR(VLOOKUP($F296,WP!$B$2:$C$23,2,0),VLOOKUP($C296,Series!$A$3:$F$11,6,0))&amp;" - "&amp;(IFERROR(IF(FIND("_",$B296)&gt;0,MID($B296,FIND("_",$B296)+1,LEN($B296)),IF(FIND("-",$B296)&gt;0,MID($B296,FIND("-",$B296)+1,LEN($B296)))),""))),""),LEFT((_xlfn.IFNA(IF(IFERROR(IF(FIND("_",$B296)&gt;0,MID($B296,FIND("_",$B296)+1,LEN($B296)),IF(FIND("-",$B296)&gt;0,MID($B296,FIND("-",$B296)+1,LEN($B296)))),"")="",IFERROR(VLOOKUP($F296,WP!$B$2:$C$23,2,0),VLOOKUP($C296,Series!$A$3:$F$11,6,0)),IFERROR(VLOOKUP($F296,WP!$B$2:$C$23,2,0),VLOOKUP($C296,Series!$A$3:$F$11,6,0))&amp;" - "&amp;(IFERROR(IF(FIND("_",$B296)&gt;0,MID($B296,FIND("_",$B296)+1,LEN($B296)),IF(FIND("-",$B296)&gt;0,MID($B296,FIND("-",$B296)+1,LEN($B296)))),""))),"")),64))</f>
        <v/>
      </c>
      <c r="H296" s="12"/>
      <c r="I296" s="12" t="str">
        <f>IF($D296&lt;&gt;"",COUNTIF($D$7:$D296,"="&amp;$D296),"")</f>
        <v/>
      </c>
      <c r="J296"/>
      <c r="K296" s="8"/>
      <c r="L296"/>
    </row>
    <row r="297" spans="1:12" x14ac:dyDescent="0.3">
      <c r="A297" s="1"/>
      <c r="B297" s="26"/>
      <c r="C297" s="12" t="str">
        <f>_xlfn.IFNA(IFERROR(IF(FIND("_",$B297)&gt;0,INDEX(WP!$A$2:$F$23,MATCH(LEFT($B297,FIND("_",$B297)-1),WP!$E$2:$E$23,0),1),IF(FIND("-",$B297)&gt;0,INDEX(WP!$A$2:$F$23,MATCH(LEFT($B297,FIND("_",$B297)-1),WP!$E$2:$E$23,0),1))),INDEX(WP!$A$2:$F$23,MATCH(Results!$B297,WP!$E$2:$E$23,0),1)),"")</f>
        <v/>
      </c>
      <c r="D297" s="12" t="str">
        <f>IFERROR(IFERROR(IF(RIGHT(INDEX(WP!$A$2:$F$23,MATCH(IF(FIND("_",$B297)&gt;0,LEFT($B297,FIND("_",$B297)-1)),WP!$E$2:$E$23,0),2),6)="Series",LEFT(INDEX(WP!$A$2:$F$23,MATCH(IF(FIND("_",$B297)&gt;0,LEFT($B297,FIND("_",$B297)-1)),WP!$E$2:$E$23,0),2),5),""),IF(RIGHT(INDEX(WP!$A$2:$F$23,MATCH($B297,WP!$E$2:$E$23,0),2),6)="Series",LEFT(INDEX(WP!$A$2:$F$23,MATCH($B297,WP!$E$2:$E$23,0),2),5),"")),"")</f>
        <v/>
      </c>
      <c r="E297" s="17" t="str">
        <f>IFERROR(VLOOKUP(VALUE($D297),Series!$B$3:$F$11,2,0),"")</f>
        <v/>
      </c>
      <c r="F297" s="12" t="str">
        <f>_xlfn.IFNA(IF(IF($D297&lt;&gt;"",COUNTIF($E:$E,"="&amp;$D297),"")="",IF(RIGHT(IFERROR(IF(FIND("_",$B297)&gt;0,INDEX(WP!$A$2:$F$23,MATCH(LEFT($B297,FIND("_",$B297)-1),WP!$E$2:$E$23,0),2),IF(FIND("-",$B297)&gt;0,INDEX(WP!$A$2:$F$23,MATCH(LEFT($B297,FIND("_",$B297)-1),WP!$E$2:$E$23,0),2))),INDEX(WP!$A$2:$F$23,MATCH(Results!$B297,WP!$E$2:$E$23,0),2)),6)="Series",LEFT(IFERROR(IF(FIND("_",$B297)&gt;0,INDEX(WP!$A$2:$F$23,MATCH(LEFT($B297,FIND("_",$B297)-1),WP!$E$2:$E$23,0),2),IF(FIND("-",$B297)&gt;0,INDEX(WP!$A$2:$F$23,MATCH(LEFT($B297,FIND("_",$B297)-1),WP!$E$2:$E$23,0),2))),INDEX(WP!$A$2:$F$23,MATCH(Results!$B297,WP!$E$2:$E$23,0),2)),5),(IFERROR(IF(FIND("_",$B297)&gt;0,INDEX(WP!$A$2:$F$23,MATCH(LEFT($B297,FIND("_",$B297)-1),WP!$E$2:$E$23,0),2),IF(FIND("-",$B297)&gt;0,INDEX(WP!$A$2:$F$23,MATCH(LEFT($B297,FIND("_",$B297)-1),WP!$E$2:$E$23,0),2))),INDEX(WP!$A$2:$F$23,MATCH(Results!$B297,WP!$E$2:$E$23,0),2)))),IF(RIGHT(IFERROR(IF(FIND("_",$B297)&gt;0,INDEX(WP!$A$2:$F$23,MATCH(LEFT($B297,FIND("_",$B297)-1),WP!$E$2:$E$23,0),2),IF(FIND("-",$B297)&gt;0,INDEX(WP!$A$2:$F$23,MATCH(LEFT($B297,FIND("_",$B297)-1),WP!$E$2:$E$23,0),2))),INDEX(WP!$A$2:$F$23,MATCH(Results!$B297,WP!$E$2:$E$23,0),2)),6)="Series",LEFT(IFERROR(IF(FIND("_",$B297)&gt;0,INDEX(WP!$A$2:$F$23,MATCH(LEFT($B297,FIND("_",$B297)-1),WP!$E$2:$E$23,0),2),IF(FIND("-",$B297)&gt;0,INDEX(WP!$A$2:$F$23,MATCH(LEFT($B297,FIND("_",$B297)-1),WP!$E$2:$E$23,0),2))),INDEX(WP!$A$2:$F$23,MATCH(Results!$B297,WP!$E$2:$E$23,0),2)),5),(IFERROR(IF(FIND("_",$B297)&gt;0,INDEX(WP!$A$2:$F$23,MATCH(LEFT($B297,FIND("_",$B297)-1),WP!$E$2:$E$23,0),2),IF(FIND("-",$B297)&gt;0,INDEX(WP!$A$2:$F$23,MATCH(LEFT($B297,FIND("_",$B297)-1),WP!$E$2:$E$23,0),2))),INDEX(WP!$A$2:$F$23,MATCH(Results!$B297,WP!$E$2:$E$23,0),2))))&amp;"-"&amp;$I297),"")</f>
        <v/>
      </c>
      <c r="G297" s="17" t="str">
        <f>IF(LEN(_xlfn.IFNA(IF(IFERROR(IF(FIND("_",$B297)&gt;0,MID($B297,FIND("_",$B297)+1,LEN($B297)),IF(FIND("-",$B297)&gt;0,MID($B297,FIND("-",$B297)+1,LEN($B297)))),"")="",IFERROR(VLOOKUP($F297,WP!$B$2:$C$23,2,0),VLOOKUP($C297,Series!$A$3:$F$11,6,0)),IFERROR(VLOOKUP($F297,WP!$B$2:$C$23,2,0),VLOOKUP($C297,Series!$A$3:$F$11,6,0))&amp;" - "&amp;(IFERROR(IF(FIND("_",$B297)&gt;0,MID($B297,FIND("_",$B297)+1,LEN($B297)),IF(FIND("-",$B297)&gt;0,MID($B297,FIND("-",$B297)+1,LEN($B297)))),""))),""))&lt;64,_xlfn.IFNA(IF(IFERROR(IF(FIND("_",$B297)&gt;0,MID($B297,FIND("_",$B297)+1,LEN($B297)),IF(FIND("-",$B297)&gt;0,MID($B297,FIND("-",$B297)+1,LEN($B297)))),"")="",IFERROR(VLOOKUP($F297,WP!$B$2:$C$23,2,0),VLOOKUP($C297,Series!$A$3:$F$11,6,0)),IFERROR(VLOOKUP($F297,WP!$B$2:$C$23,2,0),VLOOKUP($C297,Series!$A$3:$F$11,6,0))&amp;" - "&amp;(IFERROR(IF(FIND("_",$B297)&gt;0,MID($B297,FIND("_",$B297)+1,LEN($B297)),IF(FIND("-",$B297)&gt;0,MID($B297,FIND("-",$B297)+1,LEN($B297)))),""))),""),LEFT((_xlfn.IFNA(IF(IFERROR(IF(FIND("_",$B297)&gt;0,MID($B297,FIND("_",$B297)+1,LEN($B297)),IF(FIND("-",$B297)&gt;0,MID($B297,FIND("-",$B297)+1,LEN($B297)))),"")="",IFERROR(VLOOKUP($F297,WP!$B$2:$C$23,2,0),VLOOKUP($C297,Series!$A$3:$F$11,6,0)),IFERROR(VLOOKUP($F297,WP!$B$2:$C$23,2,0),VLOOKUP($C297,Series!$A$3:$F$11,6,0))&amp;" - "&amp;(IFERROR(IF(FIND("_",$B297)&gt;0,MID($B297,FIND("_",$B297)+1,LEN($B297)),IF(FIND("-",$B297)&gt;0,MID($B297,FIND("-",$B297)+1,LEN($B297)))),""))),"")),64))</f>
        <v/>
      </c>
      <c r="H297" s="12"/>
      <c r="I297" s="12" t="str">
        <f>IF($D297&lt;&gt;"",COUNTIF($D$7:$D297,"="&amp;$D297),"")</f>
        <v/>
      </c>
      <c r="J297"/>
      <c r="K297" s="8"/>
      <c r="L297"/>
    </row>
    <row r="298" spans="1:12" x14ac:dyDescent="0.3">
      <c r="A298" s="1"/>
      <c r="B298" s="26"/>
      <c r="C298" s="12" t="str">
        <f>_xlfn.IFNA(IFERROR(IF(FIND("_",$B298)&gt;0,INDEX(WP!$A$2:$F$23,MATCH(LEFT($B298,FIND("_",$B298)-1),WP!$E$2:$E$23,0),1),IF(FIND("-",$B298)&gt;0,INDEX(WP!$A$2:$F$23,MATCH(LEFT($B298,FIND("_",$B298)-1),WP!$E$2:$E$23,0),1))),INDEX(WP!$A$2:$F$23,MATCH(Results!$B298,WP!$E$2:$E$23,0),1)),"")</f>
        <v/>
      </c>
      <c r="D298" s="12" t="str">
        <f>IFERROR(IFERROR(IF(RIGHT(INDEX(WP!$A$2:$F$23,MATCH(IF(FIND("_",$B298)&gt;0,LEFT($B298,FIND("_",$B298)-1)),WP!$E$2:$E$23,0),2),6)="Series",LEFT(INDEX(WP!$A$2:$F$23,MATCH(IF(FIND("_",$B298)&gt;0,LEFT($B298,FIND("_",$B298)-1)),WP!$E$2:$E$23,0),2),5),""),IF(RIGHT(INDEX(WP!$A$2:$F$23,MATCH($B298,WP!$E$2:$E$23,0),2),6)="Series",LEFT(INDEX(WP!$A$2:$F$23,MATCH($B298,WP!$E$2:$E$23,0),2),5),"")),"")</f>
        <v/>
      </c>
      <c r="E298" s="17" t="str">
        <f>IFERROR(VLOOKUP(VALUE($D298),Series!$B$3:$F$11,2,0),"")</f>
        <v/>
      </c>
      <c r="F298" s="12" t="str">
        <f>_xlfn.IFNA(IF(IF($D298&lt;&gt;"",COUNTIF($E:$E,"="&amp;$D298),"")="",IF(RIGHT(IFERROR(IF(FIND("_",$B298)&gt;0,INDEX(WP!$A$2:$F$23,MATCH(LEFT($B298,FIND("_",$B298)-1),WP!$E$2:$E$23,0),2),IF(FIND("-",$B298)&gt;0,INDEX(WP!$A$2:$F$23,MATCH(LEFT($B298,FIND("_",$B298)-1),WP!$E$2:$E$23,0),2))),INDEX(WP!$A$2:$F$23,MATCH(Results!$B298,WP!$E$2:$E$23,0),2)),6)="Series",LEFT(IFERROR(IF(FIND("_",$B298)&gt;0,INDEX(WP!$A$2:$F$23,MATCH(LEFT($B298,FIND("_",$B298)-1),WP!$E$2:$E$23,0),2),IF(FIND("-",$B298)&gt;0,INDEX(WP!$A$2:$F$23,MATCH(LEFT($B298,FIND("_",$B298)-1),WP!$E$2:$E$23,0),2))),INDEX(WP!$A$2:$F$23,MATCH(Results!$B298,WP!$E$2:$E$23,0),2)),5),(IFERROR(IF(FIND("_",$B298)&gt;0,INDEX(WP!$A$2:$F$23,MATCH(LEFT($B298,FIND("_",$B298)-1),WP!$E$2:$E$23,0),2),IF(FIND("-",$B298)&gt;0,INDEX(WP!$A$2:$F$23,MATCH(LEFT($B298,FIND("_",$B298)-1),WP!$E$2:$E$23,0),2))),INDEX(WP!$A$2:$F$23,MATCH(Results!$B298,WP!$E$2:$E$23,0),2)))),IF(RIGHT(IFERROR(IF(FIND("_",$B298)&gt;0,INDEX(WP!$A$2:$F$23,MATCH(LEFT($B298,FIND("_",$B298)-1),WP!$E$2:$E$23,0),2),IF(FIND("-",$B298)&gt;0,INDEX(WP!$A$2:$F$23,MATCH(LEFT($B298,FIND("_",$B298)-1),WP!$E$2:$E$23,0),2))),INDEX(WP!$A$2:$F$23,MATCH(Results!$B298,WP!$E$2:$E$23,0),2)),6)="Series",LEFT(IFERROR(IF(FIND("_",$B298)&gt;0,INDEX(WP!$A$2:$F$23,MATCH(LEFT($B298,FIND("_",$B298)-1),WP!$E$2:$E$23,0),2),IF(FIND("-",$B298)&gt;0,INDEX(WP!$A$2:$F$23,MATCH(LEFT($B298,FIND("_",$B298)-1),WP!$E$2:$E$23,0),2))),INDEX(WP!$A$2:$F$23,MATCH(Results!$B298,WP!$E$2:$E$23,0),2)),5),(IFERROR(IF(FIND("_",$B298)&gt;0,INDEX(WP!$A$2:$F$23,MATCH(LEFT($B298,FIND("_",$B298)-1),WP!$E$2:$E$23,0),2),IF(FIND("-",$B298)&gt;0,INDEX(WP!$A$2:$F$23,MATCH(LEFT($B298,FIND("_",$B298)-1),WP!$E$2:$E$23,0),2))),INDEX(WP!$A$2:$F$23,MATCH(Results!$B298,WP!$E$2:$E$23,0),2))))&amp;"-"&amp;$I298),"")</f>
        <v/>
      </c>
      <c r="G298" s="17" t="str">
        <f>IF(LEN(_xlfn.IFNA(IF(IFERROR(IF(FIND("_",$B298)&gt;0,MID($B298,FIND("_",$B298)+1,LEN($B298)),IF(FIND("-",$B298)&gt;0,MID($B298,FIND("-",$B298)+1,LEN($B298)))),"")="",IFERROR(VLOOKUP($F298,WP!$B$2:$C$23,2,0),VLOOKUP($C298,Series!$A$3:$F$11,6,0)),IFERROR(VLOOKUP($F298,WP!$B$2:$C$23,2,0),VLOOKUP($C298,Series!$A$3:$F$11,6,0))&amp;" - "&amp;(IFERROR(IF(FIND("_",$B298)&gt;0,MID($B298,FIND("_",$B298)+1,LEN($B298)),IF(FIND("-",$B298)&gt;0,MID($B298,FIND("-",$B298)+1,LEN($B298)))),""))),""))&lt;64,_xlfn.IFNA(IF(IFERROR(IF(FIND("_",$B298)&gt;0,MID($B298,FIND("_",$B298)+1,LEN($B298)),IF(FIND("-",$B298)&gt;0,MID($B298,FIND("-",$B298)+1,LEN($B298)))),"")="",IFERROR(VLOOKUP($F298,WP!$B$2:$C$23,2,0),VLOOKUP($C298,Series!$A$3:$F$11,6,0)),IFERROR(VLOOKUP($F298,WP!$B$2:$C$23,2,0),VLOOKUP($C298,Series!$A$3:$F$11,6,0))&amp;" - "&amp;(IFERROR(IF(FIND("_",$B298)&gt;0,MID($B298,FIND("_",$B298)+1,LEN($B298)),IF(FIND("-",$B298)&gt;0,MID($B298,FIND("-",$B298)+1,LEN($B298)))),""))),""),LEFT((_xlfn.IFNA(IF(IFERROR(IF(FIND("_",$B298)&gt;0,MID($B298,FIND("_",$B298)+1,LEN($B298)),IF(FIND("-",$B298)&gt;0,MID($B298,FIND("-",$B298)+1,LEN($B298)))),"")="",IFERROR(VLOOKUP($F298,WP!$B$2:$C$23,2,0),VLOOKUP($C298,Series!$A$3:$F$11,6,0)),IFERROR(VLOOKUP($F298,WP!$B$2:$C$23,2,0),VLOOKUP($C298,Series!$A$3:$F$11,6,0))&amp;" - "&amp;(IFERROR(IF(FIND("_",$B298)&gt;0,MID($B298,FIND("_",$B298)+1,LEN($B298)),IF(FIND("-",$B298)&gt;0,MID($B298,FIND("-",$B298)+1,LEN($B298)))),""))),"")),64))</f>
        <v/>
      </c>
      <c r="H298" s="12"/>
      <c r="I298" s="12" t="str">
        <f>IF($D298&lt;&gt;"",COUNTIF($D$7:$D298,"="&amp;$D298),"")</f>
        <v/>
      </c>
      <c r="J298"/>
      <c r="K298" s="8"/>
      <c r="L298"/>
    </row>
    <row r="299" spans="1:12" x14ac:dyDescent="0.3">
      <c r="A299" s="1"/>
      <c r="B299" s="26"/>
      <c r="C299" s="12" t="str">
        <f>_xlfn.IFNA(IFERROR(IF(FIND("_",$B299)&gt;0,INDEX(WP!$A$2:$F$23,MATCH(LEFT($B299,FIND("_",$B299)-1),WP!$E$2:$E$23,0),1),IF(FIND("-",$B299)&gt;0,INDEX(WP!$A$2:$F$23,MATCH(LEFT($B299,FIND("_",$B299)-1),WP!$E$2:$E$23,0),1))),INDEX(WP!$A$2:$F$23,MATCH(Results!$B299,WP!$E$2:$E$23,0),1)),"")</f>
        <v/>
      </c>
      <c r="D299" s="12" t="str">
        <f>IFERROR(IFERROR(IF(RIGHT(INDEX(WP!$A$2:$F$23,MATCH(IF(FIND("_",$B299)&gt;0,LEFT($B299,FIND("_",$B299)-1)),WP!$E$2:$E$23,0),2),6)="Series",LEFT(INDEX(WP!$A$2:$F$23,MATCH(IF(FIND("_",$B299)&gt;0,LEFT($B299,FIND("_",$B299)-1)),WP!$E$2:$E$23,0),2),5),""),IF(RIGHT(INDEX(WP!$A$2:$F$23,MATCH($B299,WP!$E$2:$E$23,0),2),6)="Series",LEFT(INDEX(WP!$A$2:$F$23,MATCH($B299,WP!$E$2:$E$23,0),2),5),"")),"")</f>
        <v/>
      </c>
      <c r="E299" s="17" t="str">
        <f>IFERROR(VLOOKUP(VALUE($D299),Series!$B$3:$F$11,2,0),"")</f>
        <v/>
      </c>
      <c r="F299" s="12" t="str">
        <f>_xlfn.IFNA(IF(IF($D299&lt;&gt;"",COUNTIF($E:$E,"="&amp;$D299),"")="",IF(RIGHT(IFERROR(IF(FIND("_",$B299)&gt;0,INDEX(WP!$A$2:$F$23,MATCH(LEFT($B299,FIND("_",$B299)-1),WP!$E$2:$E$23,0),2),IF(FIND("-",$B299)&gt;0,INDEX(WP!$A$2:$F$23,MATCH(LEFT($B299,FIND("_",$B299)-1),WP!$E$2:$E$23,0),2))),INDEX(WP!$A$2:$F$23,MATCH(Results!$B299,WP!$E$2:$E$23,0),2)),6)="Series",LEFT(IFERROR(IF(FIND("_",$B299)&gt;0,INDEX(WP!$A$2:$F$23,MATCH(LEFT($B299,FIND("_",$B299)-1),WP!$E$2:$E$23,0),2),IF(FIND("-",$B299)&gt;0,INDEX(WP!$A$2:$F$23,MATCH(LEFT($B299,FIND("_",$B299)-1),WP!$E$2:$E$23,0),2))),INDEX(WP!$A$2:$F$23,MATCH(Results!$B299,WP!$E$2:$E$23,0),2)),5),(IFERROR(IF(FIND("_",$B299)&gt;0,INDEX(WP!$A$2:$F$23,MATCH(LEFT($B299,FIND("_",$B299)-1),WP!$E$2:$E$23,0),2),IF(FIND("-",$B299)&gt;0,INDEX(WP!$A$2:$F$23,MATCH(LEFT($B299,FIND("_",$B299)-1),WP!$E$2:$E$23,0),2))),INDEX(WP!$A$2:$F$23,MATCH(Results!$B299,WP!$E$2:$E$23,0),2)))),IF(RIGHT(IFERROR(IF(FIND("_",$B299)&gt;0,INDEX(WP!$A$2:$F$23,MATCH(LEFT($B299,FIND("_",$B299)-1),WP!$E$2:$E$23,0),2),IF(FIND("-",$B299)&gt;0,INDEX(WP!$A$2:$F$23,MATCH(LEFT($B299,FIND("_",$B299)-1),WP!$E$2:$E$23,0),2))),INDEX(WP!$A$2:$F$23,MATCH(Results!$B299,WP!$E$2:$E$23,0),2)),6)="Series",LEFT(IFERROR(IF(FIND("_",$B299)&gt;0,INDEX(WP!$A$2:$F$23,MATCH(LEFT($B299,FIND("_",$B299)-1),WP!$E$2:$E$23,0),2),IF(FIND("-",$B299)&gt;0,INDEX(WP!$A$2:$F$23,MATCH(LEFT($B299,FIND("_",$B299)-1),WP!$E$2:$E$23,0),2))),INDEX(WP!$A$2:$F$23,MATCH(Results!$B299,WP!$E$2:$E$23,0),2)),5),(IFERROR(IF(FIND("_",$B299)&gt;0,INDEX(WP!$A$2:$F$23,MATCH(LEFT($B299,FIND("_",$B299)-1),WP!$E$2:$E$23,0),2),IF(FIND("-",$B299)&gt;0,INDEX(WP!$A$2:$F$23,MATCH(LEFT($B299,FIND("_",$B299)-1),WP!$E$2:$E$23,0),2))),INDEX(WP!$A$2:$F$23,MATCH(Results!$B299,WP!$E$2:$E$23,0),2))))&amp;"-"&amp;$I299),"")</f>
        <v/>
      </c>
      <c r="G299" s="17" t="str">
        <f>IF(LEN(_xlfn.IFNA(IF(IFERROR(IF(FIND("_",$B299)&gt;0,MID($B299,FIND("_",$B299)+1,LEN($B299)),IF(FIND("-",$B299)&gt;0,MID($B299,FIND("-",$B299)+1,LEN($B299)))),"")="",IFERROR(VLOOKUP($F299,WP!$B$2:$C$23,2,0),VLOOKUP($C299,Series!$A$3:$F$11,6,0)),IFERROR(VLOOKUP($F299,WP!$B$2:$C$23,2,0),VLOOKUP($C299,Series!$A$3:$F$11,6,0))&amp;" - "&amp;(IFERROR(IF(FIND("_",$B299)&gt;0,MID($B299,FIND("_",$B299)+1,LEN($B299)),IF(FIND("-",$B299)&gt;0,MID($B299,FIND("-",$B299)+1,LEN($B299)))),""))),""))&lt;64,_xlfn.IFNA(IF(IFERROR(IF(FIND("_",$B299)&gt;0,MID($B299,FIND("_",$B299)+1,LEN($B299)),IF(FIND("-",$B299)&gt;0,MID($B299,FIND("-",$B299)+1,LEN($B299)))),"")="",IFERROR(VLOOKUP($F299,WP!$B$2:$C$23,2,0),VLOOKUP($C299,Series!$A$3:$F$11,6,0)),IFERROR(VLOOKUP($F299,WP!$B$2:$C$23,2,0),VLOOKUP($C299,Series!$A$3:$F$11,6,0))&amp;" - "&amp;(IFERROR(IF(FIND("_",$B299)&gt;0,MID($B299,FIND("_",$B299)+1,LEN($B299)),IF(FIND("-",$B299)&gt;0,MID($B299,FIND("-",$B299)+1,LEN($B299)))),""))),""),LEFT((_xlfn.IFNA(IF(IFERROR(IF(FIND("_",$B299)&gt;0,MID($B299,FIND("_",$B299)+1,LEN($B299)),IF(FIND("-",$B299)&gt;0,MID($B299,FIND("-",$B299)+1,LEN($B299)))),"")="",IFERROR(VLOOKUP($F299,WP!$B$2:$C$23,2,0),VLOOKUP($C299,Series!$A$3:$F$11,6,0)),IFERROR(VLOOKUP($F299,WP!$B$2:$C$23,2,0),VLOOKUP($C299,Series!$A$3:$F$11,6,0))&amp;" - "&amp;(IFERROR(IF(FIND("_",$B299)&gt;0,MID($B299,FIND("_",$B299)+1,LEN($B299)),IF(FIND("-",$B299)&gt;0,MID($B299,FIND("-",$B299)+1,LEN($B299)))),""))),"")),64))</f>
        <v/>
      </c>
      <c r="H299" s="12"/>
      <c r="I299" s="12" t="str">
        <f>IF($D299&lt;&gt;"",COUNTIF($D$7:$D299,"="&amp;$D299),"")</f>
        <v/>
      </c>
      <c r="J299"/>
      <c r="K299" s="8"/>
      <c r="L299"/>
    </row>
    <row r="300" spans="1:12" x14ac:dyDescent="0.3">
      <c r="A300" s="1"/>
      <c r="B300" s="26"/>
      <c r="C300" s="12" t="str">
        <f>_xlfn.IFNA(IFERROR(IF(FIND("_",$B300)&gt;0,INDEX(WP!$A$2:$F$23,MATCH(LEFT($B300,FIND("_",$B300)-1),WP!$E$2:$E$23,0),1),IF(FIND("-",$B300)&gt;0,INDEX(WP!$A$2:$F$23,MATCH(LEFT($B300,FIND("_",$B300)-1),WP!$E$2:$E$23,0),1))),INDEX(WP!$A$2:$F$23,MATCH(Results!$B300,WP!$E$2:$E$23,0),1)),"")</f>
        <v/>
      </c>
      <c r="D300" s="12" t="str">
        <f>IFERROR(IFERROR(IF(RIGHT(INDEX(WP!$A$2:$F$23,MATCH(IF(FIND("_",$B300)&gt;0,LEFT($B300,FIND("_",$B300)-1)),WP!$E$2:$E$23,0),2),6)="Series",LEFT(INDEX(WP!$A$2:$F$23,MATCH(IF(FIND("_",$B300)&gt;0,LEFT($B300,FIND("_",$B300)-1)),WP!$E$2:$E$23,0),2),5),""),IF(RIGHT(INDEX(WP!$A$2:$F$23,MATCH($B300,WP!$E$2:$E$23,0),2),6)="Series",LEFT(INDEX(WP!$A$2:$F$23,MATCH($B300,WP!$E$2:$E$23,0),2),5),"")),"")</f>
        <v/>
      </c>
      <c r="E300" s="17" t="str">
        <f>IFERROR(VLOOKUP(VALUE($D300),Series!$B$3:$F$11,2,0),"")</f>
        <v/>
      </c>
      <c r="F300" s="12" t="str">
        <f>_xlfn.IFNA(IF(IF($D300&lt;&gt;"",COUNTIF($E:$E,"="&amp;$D300),"")="",IF(RIGHT(IFERROR(IF(FIND("_",$B300)&gt;0,INDEX(WP!$A$2:$F$23,MATCH(LEFT($B300,FIND("_",$B300)-1),WP!$E$2:$E$23,0),2),IF(FIND("-",$B300)&gt;0,INDEX(WP!$A$2:$F$23,MATCH(LEFT($B300,FIND("_",$B300)-1),WP!$E$2:$E$23,0),2))),INDEX(WP!$A$2:$F$23,MATCH(Results!$B300,WP!$E$2:$E$23,0),2)),6)="Series",LEFT(IFERROR(IF(FIND("_",$B300)&gt;0,INDEX(WP!$A$2:$F$23,MATCH(LEFT($B300,FIND("_",$B300)-1),WP!$E$2:$E$23,0),2),IF(FIND("-",$B300)&gt;0,INDEX(WP!$A$2:$F$23,MATCH(LEFT($B300,FIND("_",$B300)-1),WP!$E$2:$E$23,0),2))),INDEX(WP!$A$2:$F$23,MATCH(Results!$B300,WP!$E$2:$E$23,0),2)),5),(IFERROR(IF(FIND("_",$B300)&gt;0,INDEX(WP!$A$2:$F$23,MATCH(LEFT($B300,FIND("_",$B300)-1),WP!$E$2:$E$23,0),2),IF(FIND("-",$B300)&gt;0,INDEX(WP!$A$2:$F$23,MATCH(LEFT($B300,FIND("_",$B300)-1),WP!$E$2:$E$23,0),2))),INDEX(WP!$A$2:$F$23,MATCH(Results!$B300,WP!$E$2:$E$23,0),2)))),IF(RIGHT(IFERROR(IF(FIND("_",$B300)&gt;0,INDEX(WP!$A$2:$F$23,MATCH(LEFT($B300,FIND("_",$B300)-1),WP!$E$2:$E$23,0),2),IF(FIND("-",$B300)&gt;0,INDEX(WP!$A$2:$F$23,MATCH(LEFT($B300,FIND("_",$B300)-1),WP!$E$2:$E$23,0),2))),INDEX(WP!$A$2:$F$23,MATCH(Results!$B300,WP!$E$2:$E$23,0),2)),6)="Series",LEFT(IFERROR(IF(FIND("_",$B300)&gt;0,INDEX(WP!$A$2:$F$23,MATCH(LEFT($B300,FIND("_",$B300)-1),WP!$E$2:$E$23,0),2),IF(FIND("-",$B300)&gt;0,INDEX(WP!$A$2:$F$23,MATCH(LEFT($B300,FIND("_",$B300)-1),WP!$E$2:$E$23,0),2))),INDEX(WP!$A$2:$F$23,MATCH(Results!$B300,WP!$E$2:$E$23,0),2)),5),(IFERROR(IF(FIND("_",$B300)&gt;0,INDEX(WP!$A$2:$F$23,MATCH(LEFT($B300,FIND("_",$B300)-1),WP!$E$2:$E$23,0),2),IF(FIND("-",$B300)&gt;0,INDEX(WP!$A$2:$F$23,MATCH(LEFT($B300,FIND("_",$B300)-1),WP!$E$2:$E$23,0),2))),INDEX(WP!$A$2:$F$23,MATCH(Results!$B300,WP!$E$2:$E$23,0),2))))&amp;"-"&amp;$I300),"")</f>
        <v/>
      </c>
      <c r="G300" s="17" t="str">
        <f>IF(LEN(_xlfn.IFNA(IF(IFERROR(IF(FIND("_",$B300)&gt;0,MID($B300,FIND("_",$B300)+1,LEN($B300)),IF(FIND("-",$B300)&gt;0,MID($B300,FIND("-",$B300)+1,LEN($B300)))),"")="",IFERROR(VLOOKUP($F300,WP!$B$2:$C$23,2,0),VLOOKUP($C300,Series!$A$3:$F$11,6,0)),IFERROR(VLOOKUP($F300,WP!$B$2:$C$23,2,0),VLOOKUP($C300,Series!$A$3:$F$11,6,0))&amp;" - "&amp;(IFERROR(IF(FIND("_",$B300)&gt;0,MID($B300,FIND("_",$B300)+1,LEN($B300)),IF(FIND("-",$B300)&gt;0,MID($B300,FIND("-",$B300)+1,LEN($B300)))),""))),""))&lt;64,_xlfn.IFNA(IF(IFERROR(IF(FIND("_",$B300)&gt;0,MID($B300,FIND("_",$B300)+1,LEN($B300)),IF(FIND("-",$B300)&gt;0,MID($B300,FIND("-",$B300)+1,LEN($B300)))),"")="",IFERROR(VLOOKUP($F300,WP!$B$2:$C$23,2,0),VLOOKUP($C300,Series!$A$3:$F$11,6,0)),IFERROR(VLOOKUP($F300,WP!$B$2:$C$23,2,0),VLOOKUP($C300,Series!$A$3:$F$11,6,0))&amp;" - "&amp;(IFERROR(IF(FIND("_",$B300)&gt;0,MID($B300,FIND("_",$B300)+1,LEN($B300)),IF(FIND("-",$B300)&gt;0,MID($B300,FIND("-",$B300)+1,LEN($B300)))),""))),""),LEFT((_xlfn.IFNA(IF(IFERROR(IF(FIND("_",$B300)&gt;0,MID($B300,FIND("_",$B300)+1,LEN($B300)),IF(FIND("-",$B300)&gt;0,MID($B300,FIND("-",$B300)+1,LEN($B300)))),"")="",IFERROR(VLOOKUP($F300,WP!$B$2:$C$23,2,0),VLOOKUP($C300,Series!$A$3:$F$11,6,0)),IFERROR(VLOOKUP($F300,WP!$B$2:$C$23,2,0),VLOOKUP($C300,Series!$A$3:$F$11,6,0))&amp;" - "&amp;(IFERROR(IF(FIND("_",$B300)&gt;0,MID($B300,FIND("_",$B300)+1,LEN($B300)),IF(FIND("-",$B300)&gt;0,MID($B300,FIND("-",$B300)+1,LEN($B300)))),""))),"")),64))</f>
        <v/>
      </c>
      <c r="H300" s="12"/>
      <c r="I300" s="12" t="str">
        <f>IF($D300&lt;&gt;"",COUNTIF($D$7:$D300,"="&amp;$D300),"")</f>
        <v/>
      </c>
      <c r="J300"/>
      <c r="K300" s="8"/>
      <c r="L300"/>
    </row>
    <row r="301" spans="1:12" x14ac:dyDescent="0.3">
      <c r="A301" s="1"/>
      <c r="B301" s="26"/>
      <c r="C301" s="12" t="str">
        <f>_xlfn.IFNA(IFERROR(IF(FIND("_",$B301)&gt;0,INDEX(WP!$A$2:$F$23,MATCH(LEFT($B301,FIND("_",$B301)-1),WP!$E$2:$E$23,0),1),IF(FIND("-",$B301)&gt;0,INDEX(WP!$A$2:$F$23,MATCH(LEFT($B301,FIND("_",$B301)-1),WP!$E$2:$E$23,0),1))),INDEX(WP!$A$2:$F$23,MATCH(Results!$B301,WP!$E$2:$E$23,0),1)),"")</f>
        <v/>
      </c>
      <c r="D301" s="12" t="str">
        <f>IFERROR(IFERROR(IF(RIGHT(INDEX(WP!$A$2:$F$23,MATCH(IF(FIND("_",$B301)&gt;0,LEFT($B301,FIND("_",$B301)-1)),WP!$E$2:$E$23,0),2),6)="Series",LEFT(INDEX(WP!$A$2:$F$23,MATCH(IF(FIND("_",$B301)&gt;0,LEFT($B301,FIND("_",$B301)-1)),WP!$E$2:$E$23,0),2),5),""),IF(RIGHT(INDEX(WP!$A$2:$F$23,MATCH($B301,WP!$E$2:$E$23,0),2),6)="Series",LEFT(INDEX(WP!$A$2:$F$23,MATCH($B301,WP!$E$2:$E$23,0),2),5),"")),"")</f>
        <v/>
      </c>
      <c r="E301" s="17" t="str">
        <f>IFERROR(VLOOKUP(VALUE($D301),Series!$B$3:$F$11,2,0),"")</f>
        <v/>
      </c>
      <c r="F301" s="12" t="str">
        <f>_xlfn.IFNA(IF(IF($D301&lt;&gt;"",COUNTIF($E:$E,"="&amp;$D301),"")="",IF(RIGHT(IFERROR(IF(FIND("_",$B301)&gt;0,INDEX(WP!$A$2:$F$23,MATCH(LEFT($B301,FIND("_",$B301)-1),WP!$E$2:$E$23,0),2),IF(FIND("-",$B301)&gt;0,INDEX(WP!$A$2:$F$23,MATCH(LEFT($B301,FIND("_",$B301)-1),WP!$E$2:$E$23,0),2))),INDEX(WP!$A$2:$F$23,MATCH(Results!$B301,WP!$E$2:$E$23,0),2)),6)="Series",LEFT(IFERROR(IF(FIND("_",$B301)&gt;0,INDEX(WP!$A$2:$F$23,MATCH(LEFT($B301,FIND("_",$B301)-1),WP!$E$2:$E$23,0),2),IF(FIND("-",$B301)&gt;0,INDEX(WP!$A$2:$F$23,MATCH(LEFT($B301,FIND("_",$B301)-1),WP!$E$2:$E$23,0),2))),INDEX(WP!$A$2:$F$23,MATCH(Results!$B301,WP!$E$2:$E$23,0),2)),5),(IFERROR(IF(FIND("_",$B301)&gt;0,INDEX(WP!$A$2:$F$23,MATCH(LEFT($B301,FIND("_",$B301)-1),WP!$E$2:$E$23,0),2),IF(FIND("-",$B301)&gt;0,INDEX(WP!$A$2:$F$23,MATCH(LEFT($B301,FIND("_",$B301)-1),WP!$E$2:$E$23,0),2))),INDEX(WP!$A$2:$F$23,MATCH(Results!$B301,WP!$E$2:$E$23,0),2)))),IF(RIGHT(IFERROR(IF(FIND("_",$B301)&gt;0,INDEX(WP!$A$2:$F$23,MATCH(LEFT($B301,FIND("_",$B301)-1),WP!$E$2:$E$23,0),2),IF(FIND("-",$B301)&gt;0,INDEX(WP!$A$2:$F$23,MATCH(LEFT($B301,FIND("_",$B301)-1),WP!$E$2:$E$23,0),2))),INDEX(WP!$A$2:$F$23,MATCH(Results!$B301,WP!$E$2:$E$23,0),2)),6)="Series",LEFT(IFERROR(IF(FIND("_",$B301)&gt;0,INDEX(WP!$A$2:$F$23,MATCH(LEFT($B301,FIND("_",$B301)-1),WP!$E$2:$E$23,0),2),IF(FIND("-",$B301)&gt;0,INDEX(WP!$A$2:$F$23,MATCH(LEFT($B301,FIND("_",$B301)-1),WP!$E$2:$E$23,0),2))),INDEX(WP!$A$2:$F$23,MATCH(Results!$B301,WP!$E$2:$E$23,0),2)),5),(IFERROR(IF(FIND("_",$B301)&gt;0,INDEX(WP!$A$2:$F$23,MATCH(LEFT($B301,FIND("_",$B301)-1),WP!$E$2:$E$23,0),2),IF(FIND("-",$B301)&gt;0,INDEX(WP!$A$2:$F$23,MATCH(LEFT($B301,FIND("_",$B301)-1),WP!$E$2:$E$23,0),2))),INDEX(WP!$A$2:$F$23,MATCH(Results!$B301,WP!$E$2:$E$23,0),2))))&amp;"-"&amp;$I301),"")</f>
        <v/>
      </c>
      <c r="G301" s="17" t="str">
        <f>IF(LEN(_xlfn.IFNA(IF(IFERROR(IF(FIND("_",$B301)&gt;0,MID($B301,FIND("_",$B301)+1,LEN($B301)),IF(FIND("-",$B301)&gt;0,MID($B301,FIND("-",$B301)+1,LEN($B301)))),"")="",IFERROR(VLOOKUP($F301,WP!$B$2:$C$23,2,0),VLOOKUP($C301,Series!$A$3:$F$11,6,0)),IFERROR(VLOOKUP($F301,WP!$B$2:$C$23,2,0),VLOOKUP($C301,Series!$A$3:$F$11,6,0))&amp;" - "&amp;(IFERROR(IF(FIND("_",$B301)&gt;0,MID($B301,FIND("_",$B301)+1,LEN($B301)),IF(FIND("-",$B301)&gt;0,MID($B301,FIND("-",$B301)+1,LEN($B301)))),""))),""))&lt;64,_xlfn.IFNA(IF(IFERROR(IF(FIND("_",$B301)&gt;0,MID($B301,FIND("_",$B301)+1,LEN($B301)),IF(FIND("-",$B301)&gt;0,MID($B301,FIND("-",$B301)+1,LEN($B301)))),"")="",IFERROR(VLOOKUP($F301,WP!$B$2:$C$23,2,0),VLOOKUP($C301,Series!$A$3:$F$11,6,0)),IFERROR(VLOOKUP($F301,WP!$B$2:$C$23,2,0),VLOOKUP($C301,Series!$A$3:$F$11,6,0))&amp;" - "&amp;(IFERROR(IF(FIND("_",$B301)&gt;0,MID($B301,FIND("_",$B301)+1,LEN($B301)),IF(FIND("-",$B301)&gt;0,MID($B301,FIND("-",$B301)+1,LEN($B301)))),""))),""),LEFT((_xlfn.IFNA(IF(IFERROR(IF(FIND("_",$B301)&gt;0,MID($B301,FIND("_",$B301)+1,LEN($B301)),IF(FIND("-",$B301)&gt;0,MID($B301,FIND("-",$B301)+1,LEN($B301)))),"")="",IFERROR(VLOOKUP($F301,WP!$B$2:$C$23,2,0),VLOOKUP($C301,Series!$A$3:$F$11,6,0)),IFERROR(VLOOKUP($F301,WP!$B$2:$C$23,2,0),VLOOKUP($C301,Series!$A$3:$F$11,6,0))&amp;" - "&amp;(IFERROR(IF(FIND("_",$B301)&gt;0,MID($B301,FIND("_",$B301)+1,LEN($B301)),IF(FIND("-",$B301)&gt;0,MID($B301,FIND("-",$B301)+1,LEN($B301)))),""))),"")),64))</f>
        <v/>
      </c>
      <c r="H301" s="12"/>
      <c r="I301" s="12" t="str">
        <f>IF($D301&lt;&gt;"",COUNTIF($D$7:$D301,"="&amp;$D301),"")</f>
        <v/>
      </c>
      <c r="J301"/>
      <c r="K301" s="8"/>
      <c r="L301"/>
    </row>
    <row r="302" spans="1:12" x14ac:dyDescent="0.3">
      <c r="A302" s="1"/>
      <c r="B302" s="26"/>
      <c r="C302" s="12" t="str">
        <f>_xlfn.IFNA(IFERROR(IF(FIND("_",$B302)&gt;0,INDEX(WP!$A$2:$F$23,MATCH(LEFT($B302,FIND("_",$B302)-1),WP!$E$2:$E$23,0),1),IF(FIND("-",$B302)&gt;0,INDEX(WP!$A$2:$F$23,MATCH(LEFT($B302,FIND("_",$B302)-1),WP!$E$2:$E$23,0),1))),INDEX(WP!$A$2:$F$23,MATCH(Results!$B302,WP!$E$2:$E$23,0),1)),"")</f>
        <v/>
      </c>
      <c r="D302" s="12" t="str">
        <f>IFERROR(IFERROR(IF(RIGHT(INDEX(WP!$A$2:$F$23,MATCH(IF(FIND("_",$B302)&gt;0,LEFT($B302,FIND("_",$B302)-1)),WP!$E$2:$E$23,0),2),6)="Series",LEFT(INDEX(WP!$A$2:$F$23,MATCH(IF(FIND("_",$B302)&gt;0,LEFT($B302,FIND("_",$B302)-1)),WP!$E$2:$E$23,0),2),5),""),IF(RIGHT(INDEX(WP!$A$2:$F$23,MATCH($B302,WP!$E$2:$E$23,0),2),6)="Series",LEFT(INDEX(WP!$A$2:$F$23,MATCH($B302,WP!$E$2:$E$23,0),2),5),"")),"")</f>
        <v/>
      </c>
      <c r="E302" s="17" t="str">
        <f>IFERROR(VLOOKUP(VALUE($D302),Series!$B$3:$F$11,2,0),"")</f>
        <v/>
      </c>
      <c r="F302" s="12" t="str">
        <f>_xlfn.IFNA(IF(IF($D302&lt;&gt;"",COUNTIF($E:$E,"="&amp;$D302),"")="",IF(RIGHT(IFERROR(IF(FIND("_",$B302)&gt;0,INDEX(WP!$A$2:$F$23,MATCH(LEFT($B302,FIND("_",$B302)-1),WP!$E$2:$E$23,0),2),IF(FIND("-",$B302)&gt;0,INDEX(WP!$A$2:$F$23,MATCH(LEFT($B302,FIND("_",$B302)-1),WP!$E$2:$E$23,0),2))),INDEX(WP!$A$2:$F$23,MATCH(Results!$B302,WP!$E$2:$E$23,0),2)),6)="Series",LEFT(IFERROR(IF(FIND("_",$B302)&gt;0,INDEX(WP!$A$2:$F$23,MATCH(LEFT($B302,FIND("_",$B302)-1),WP!$E$2:$E$23,0),2),IF(FIND("-",$B302)&gt;0,INDEX(WP!$A$2:$F$23,MATCH(LEFT($B302,FIND("_",$B302)-1),WP!$E$2:$E$23,0),2))),INDEX(WP!$A$2:$F$23,MATCH(Results!$B302,WP!$E$2:$E$23,0),2)),5),(IFERROR(IF(FIND("_",$B302)&gt;0,INDEX(WP!$A$2:$F$23,MATCH(LEFT($B302,FIND("_",$B302)-1),WP!$E$2:$E$23,0),2),IF(FIND("-",$B302)&gt;0,INDEX(WP!$A$2:$F$23,MATCH(LEFT($B302,FIND("_",$B302)-1),WP!$E$2:$E$23,0),2))),INDEX(WP!$A$2:$F$23,MATCH(Results!$B302,WP!$E$2:$E$23,0),2)))),IF(RIGHT(IFERROR(IF(FIND("_",$B302)&gt;0,INDEX(WP!$A$2:$F$23,MATCH(LEFT($B302,FIND("_",$B302)-1),WP!$E$2:$E$23,0),2),IF(FIND("-",$B302)&gt;0,INDEX(WP!$A$2:$F$23,MATCH(LEFT($B302,FIND("_",$B302)-1),WP!$E$2:$E$23,0),2))),INDEX(WP!$A$2:$F$23,MATCH(Results!$B302,WP!$E$2:$E$23,0),2)),6)="Series",LEFT(IFERROR(IF(FIND("_",$B302)&gt;0,INDEX(WP!$A$2:$F$23,MATCH(LEFT($B302,FIND("_",$B302)-1),WP!$E$2:$E$23,0),2),IF(FIND("-",$B302)&gt;0,INDEX(WP!$A$2:$F$23,MATCH(LEFT($B302,FIND("_",$B302)-1),WP!$E$2:$E$23,0),2))),INDEX(WP!$A$2:$F$23,MATCH(Results!$B302,WP!$E$2:$E$23,0),2)),5),(IFERROR(IF(FIND("_",$B302)&gt;0,INDEX(WP!$A$2:$F$23,MATCH(LEFT($B302,FIND("_",$B302)-1),WP!$E$2:$E$23,0),2),IF(FIND("-",$B302)&gt;0,INDEX(WP!$A$2:$F$23,MATCH(LEFT($B302,FIND("_",$B302)-1),WP!$E$2:$E$23,0),2))),INDEX(WP!$A$2:$F$23,MATCH(Results!$B302,WP!$E$2:$E$23,0),2))))&amp;"-"&amp;$I302),"")</f>
        <v/>
      </c>
      <c r="G302" s="17" t="str">
        <f>IF(LEN(_xlfn.IFNA(IF(IFERROR(IF(FIND("_",$B302)&gt;0,MID($B302,FIND("_",$B302)+1,LEN($B302)),IF(FIND("-",$B302)&gt;0,MID($B302,FIND("-",$B302)+1,LEN($B302)))),"")="",IFERROR(VLOOKUP($F302,WP!$B$2:$C$23,2,0),VLOOKUP($C302,Series!$A$3:$F$11,6,0)),IFERROR(VLOOKUP($F302,WP!$B$2:$C$23,2,0),VLOOKUP($C302,Series!$A$3:$F$11,6,0))&amp;" - "&amp;(IFERROR(IF(FIND("_",$B302)&gt;0,MID($B302,FIND("_",$B302)+1,LEN($B302)),IF(FIND("-",$B302)&gt;0,MID($B302,FIND("-",$B302)+1,LEN($B302)))),""))),""))&lt;64,_xlfn.IFNA(IF(IFERROR(IF(FIND("_",$B302)&gt;0,MID($B302,FIND("_",$B302)+1,LEN($B302)),IF(FIND("-",$B302)&gt;0,MID($B302,FIND("-",$B302)+1,LEN($B302)))),"")="",IFERROR(VLOOKUP($F302,WP!$B$2:$C$23,2,0),VLOOKUP($C302,Series!$A$3:$F$11,6,0)),IFERROR(VLOOKUP($F302,WP!$B$2:$C$23,2,0),VLOOKUP($C302,Series!$A$3:$F$11,6,0))&amp;" - "&amp;(IFERROR(IF(FIND("_",$B302)&gt;0,MID($B302,FIND("_",$B302)+1,LEN($B302)),IF(FIND("-",$B302)&gt;0,MID($B302,FIND("-",$B302)+1,LEN($B302)))),""))),""),LEFT((_xlfn.IFNA(IF(IFERROR(IF(FIND("_",$B302)&gt;0,MID($B302,FIND("_",$B302)+1,LEN($B302)),IF(FIND("-",$B302)&gt;0,MID($B302,FIND("-",$B302)+1,LEN($B302)))),"")="",IFERROR(VLOOKUP($F302,WP!$B$2:$C$23,2,0),VLOOKUP($C302,Series!$A$3:$F$11,6,0)),IFERROR(VLOOKUP($F302,WP!$B$2:$C$23,2,0),VLOOKUP($C302,Series!$A$3:$F$11,6,0))&amp;" - "&amp;(IFERROR(IF(FIND("_",$B302)&gt;0,MID($B302,FIND("_",$B302)+1,LEN($B302)),IF(FIND("-",$B302)&gt;0,MID($B302,FIND("-",$B302)+1,LEN($B302)))),""))),"")),64))</f>
        <v/>
      </c>
      <c r="H302" s="12"/>
      <c r="I302" s="12" t="str">
        <f>IF($D302&lt;&gt;"",COUNTIF($D$7:$D302,"="&amp;$D302),"")</f>
        <v/>
      </c>
      <c r="J302"/>
      <c r="K302" s="8"/>
      <c r="L302"/>
    </row>
    <row r="303" spans="1:12" x14ac:dyDescent="0.3">
      <c r="A303" s="1"/>
      <c r="B303" s="26"/>
      <c r="C303" s="12" t="str">
        <f>_xlfn.IFNA(IFERROR(IF(FIND("_",$B303)&gt;0,INDEX(WP!$A$2:$F$23,MATCH(LEFT($B303,FIND("_",$B303)-1),WP!$E$2:$E$23,0),1),IF(FIND("-",$B303)&gt;0,INDEX(WP!$A$2:$F$23,MATCH(LEFT($B303,FIND("_",$B303)-1),WP!$E$2:$E$23,0),1))),INDEX(WP!$A$2:$F$23,MATCH(Results!$B303,WP!$E$2:$E$23,0),1)),"")</f>
        <v/>
      </c>
      <c r="D303" s="12" t="str">
        <f>IFERROR(IFERROR(IF(RIGHT(INDEX(WP!$A$2:$F$23,MATCH(IF(FIND("_",$B303)&gt;0,LEFT($B303,FIND("_",$B303)-1)),WP!$E$2:$E$23,0),2),6)="Series",LEFT(INDEX(WP!$A$2:$F$23,MATCH(IF(FIND("_",$B303)&gt;0,LEFT($B303,FIND("_",$B303)-1)),WP!$E$2:$E$23,0),2),5),""),IF(RIGHT(INDEX(WP!$A$2:$F$23,MATCH($B303,WP!$E$2:$E$23,0),2),6)="Series",LEFT(INDEX(WP!$A$2:$F$23,MATCH($B303,WP!$E$2:$E$23,0),2),5),"")),"")</f>
        <v/>
      </c>
      <c r="E303" s="17" t="str">
        <f>IFERROR(VLOOKUP(VALUE($D303),Series!$B$3:$F$11,2,0),"")</f>
        <v/>
      </c>
      <c r="F303" s="12" t="str">
        <f>_xlfn.IFNA(IF(IF($D303&lt;&gt;"",COUNTIF($E:$E,"="&amp;$D303),"")="",IF(RIGHT(IFERROR(IF(FIND("_",$B303)&gt;0,INDEX(WP!$A$2:$F$23,MATCH(LEFT($B303,FIND("_",$B303)-1),WP!$E$2:$E$23,0),2),IF(FIND("-",$B303)&gt;0,INDEX(WP!$A$2:$F$23,MATCH(LEFT($B303,FIND("_",$B303)-1),WP!$E$2:$E$23,0),2))),INDEX(WP!$A$2:$F$23,MATCH(Results!$B303,WP!$E$2:$E$23,0),2)),6)="Series",LEFT(IFERROR(IF(FIND("_",$B303)&gt;0,INDEX(WP!$A$2:$F$23,MATCH(LEFT($B303,FIND("_",$B303)-1),WP!$E$2:$E$23,0),2),IF(FIND("-",$B303)&gt;0,INDEX(WP!$A$2:$F$23,MATCH(LEFT($B303,FIND("_",$B303)-1),WP!$E$2:$E$23,0),2))),INDEX(WP!$A$2:$F$23,MATCH(Results!$B303,WP!$E$2:$E$23,0),2)),5),(IFERROR(IF(FIND("_",$B303)&gt;0,INDEX(WP!$A$2:$F$23,MATCH(LEFT($B303,FIND("_",$B303)-1),WP!$E$2:$E$23,0),2),IF(FIND("-",$B303)&gt;0,INDEX(WP!$A$2:$F$23,MATCH(LEFT($B303,FIND("_",$B303)-1),WP!$E$2:$E$23,0),2))),INDEX(WP!$A$2:$F$23,MATCH(Results!$B303,WP!$E$2:$E$23,0),2)))),IF(RIGHT(IFERROR(IF(FIND("_",$B303)&gt;0,INDEX(WP!$A$2:$F$23,MATCH(LEFT($B303,FIND("_",$B303)-1),WP!$E$2:$E$23,0),2),IF(FIND("-",$B303)&gt;0,INDEX(WP!$A$2:$F$23,MATCH(LEFT($B303,FIND("_",$B303)-1),WP!$E$2:$E$23,0),2))),INDEX(WP!$A$2:$F$23,MATCH(Results!$B303,WP!$E$2:$E$23,0),2)),6)="Series",LEFT(IFERROR(IF(FIND("_",$B303)&gt;0,INDEX(WP!$A$2:$F$23,MATCH(LEFT($B303,FIND("_",$B303)-1),WP!$E$2:$E$23,0),2),IF(FIND("-",$B303)&gt;0,INDEX(WP!$A$2:$F$23,MATCH(LEFT($B303,FIND("_",$B303)-1),WP!$E$2:$E$23,0),2))),INDEX(WP!$A$2:$F$23,MATCH(Results!$B303,WP!$E$2:$E$23,0),2)),5),(IFERROR(IF(FIND("_",$B303)&gt;0,INDEX(WP!$A$2:$F$23,MATCH(LEFT($B303,FIND("_",$B303)-1),WP!$E$2:$E$23,0),2),IF(FIND("-",$B303)&gt;0,INDEX(WP!$A$2:$F$23,MATCH(LEFT($B303,FIND("_",$B303)-1),WP!$E$2:$E$23,0),2))),INDEX(WP!$A$2:$F$23,MATCH(Results!$B303,WP!$E$2:$E$23,0),2))))&amp;"-"&amp;$I303),"")</f>
        <v/>
      </c>
      <c r="G303" s="17" t="str">
        <f>IF(LEN(_xlfn.IFNA(IF(IFERROR(IF(FIND("_",$B303)&gt;0,MID($B303,FIND("_",$B303)+1,LEN($B303)),IF(FIND("-",$B303)&gt;0,MID($B303,FIND("-",$B303)+1,LEN($B303)))),"")="",IFERROR(VLOOKUP($F303,WP!$B$2:$C$23,2,0),VLOOKUP($C303,Series!$A$3:$F$11,6,0)),IFERROR(VLOOKUP($F303,WP!$B$2:$C$23,2,0),VLOOKUP($C303,Series!$A$3:$F$11,6,0))&amp;" - "&amp;(IFERROR(IF(FIND("_",$B303)&gt;0,MID($B303,FIND("_",$B303)+1,LEN($B303)),IF(FIND("-",$B303)&gt;0,MID($B303,FIND("-",$B303)+1,LEN($B303)))),""))),""))&lt;64,_xlfn.IFNA(IF(IFERROR(IF(FIND("_",$B303)&gt;0,MID($B303,FIND("_",$B303)+1,LEN($B303)),IF(FIND("-",$B303)&gt;0,MID($B303,FIND("-",$B303)+1,LEN($B303)))),"")="",IFERROR(VLOOKUP($F303,WP!$B$2:$C$23,2,0),VLOOKUP($C303,Series!$A$3:$F$11,6,0)),IFERROR(VLOOKUP($F303,WP!$B$2:$C$23,2,0),VLOOKUP($C303,Series!$A$3:$F$11,6,0))&amp;" - "&amp;(IFERROR(IF(FIND("_",$B303)&gt;0,MID($B303,FIND("_",$B303)+1,LEN($B303)),IF(FIND("-",$B303)&gt;0,MID($B303,FIND("-",$B303)+1,LEN($B303)))),""))),""),LEFT((_xlfn.IFNA(IF(IFERROR(IF(FIND("_",$B303)&gt;0,MID($B303,FIND("_",$B303)+1,LEN($B303)),IF(FIND("-",$B303)&gt;0,MID($B303,FIND("-",$B303)+1,LEN($B303)))),"")="",IFERROR(VLOOKUP($F303,WP!$B$2:$C$23,2,0),VLOOKUP($C303,Series!$A$3:$F$11,6,0)),IFERROR(VLOOKUP($F303,WP!$B$2:$C$23,2,0),VLOOKUP($C303,Series!$A$3:$F$11,6,0))&amp;" - "&amp;(IFERROR(IF(FIND("_",$B303)&gt;0,MID($B303,FIND("_",$B303)+1,LEN($B303)),IF(FIND("-",$B303)&gt;0,MID($B303,FIND("-",$B303)+1,LEN($B303)))),""))),"")),64))</f>
        <v/>
      </c>
      <c r="H303" s="12"/>
      <c r="I303" s="12" t="str">
        <f>IF($D303&lt;&gt;"",COUNTIF($D$7:$D303,"="&amp;$D303),"")</f>
        <v/>
      </c>
      <c r="J303"/>
      <c r="K303" s="8"/>
      <c r="L303"/>
    </row>
    <row r="304" spans="1:12" x14ac:dyDescent="0.3">
      <c r="A304" s="1"/>
      <c r="B304" s="26"/>
      <c r="C304" s="12" t="str">
        <f>_xlfn.IFNA(IFERROR(IF(FIND("_",$B304)&gt;0,INDEX(WP!$A$2:$F$23,MATCH(LEFT($B304,FIND("_",$B304)-1),WP!$E$2:$E$23,0),1),IF(FIND("-",$B304)&gt;0,INDEX(WP!$A$2:$F$23,MATCH(LEFT($B304,FIND("_",$B304)-1),WP!$E$2:$E$23,0),1))),INDEX(WP!$A$2:$F$23,MATCH(Results!$B304,WP!$E$2:$E$23,0),1)),"")</f>
        <v/>
      </c>
      <c r="D304" s="12" t="str">
        <f>IFERROR(IFERROR(IF(RIGHT(INDEX(WP!$A$2:$F$23,MATCH(IF(FIND("_",$B304)&gt;0,LEFT($B304,FIND("_",$B304)-1)),WP!$E$2:$E$23,0),2),6)="Series",LEFT(INDEX(WP!$A$2:$F$23,MATCH(IF(FIND("_",$B304)&gt;0,LEFT($B304,FIND("_",$B304)-1)),WP!$E$2:$E$23,0),2),5),""),IF(RIGHT(INDEX(WP!$A$2:$F$23,MATCH($B304,WP!$E$2:$E$23,0),2),6)="Series",LEFT(INDEX(WP!$A$2:$F$23,MATCH($B304,WP!$E$2:$E$23,0),2),5),"")),"")</f>
        <v/>
      </c>
      <c r="E304" s="17" t="str">
        <f>IFERROR(VLOOKUP(VALUE($D304),Series!$B$3:$F$11,2,0),"")</f>
        <v/>
      </c>
      <c r="F304" s="12" t="str">
        <f>_xlfn.IFNA(IF(IF($D304&lt;&gt;"",COUNTIF($E:$E,"="&amp;$D304),"")="",IF(RIGHT(IFERROR(IF(FIND("_",$B304)&gt;0,INDEX(WP!$A$2:$F$23,MATCH(LEFT($B304,FIND("_",$B304)-1),WP!$E$2:$E$23,0),2),IF(FIND("-",$B304)&gt;0,INDEX(WP!$A$2:$F$23,MATCH(LEFT($B304,FIND("_",$B304)-1),WP!$E$2:$E$23,0),2))),INDEX(WP!$A$2:$F$23,MATCH(Results!$B304,WP!$E$2:$E$23,0),2)),6)="Series",LEFT(IFERROR(IF(FIND("_",$B304)&gt;0,INDEX(WP!$A$2:$F$23,MATCH(LEFT($B304,FIND("_",$B304)-1),WP!$E$2:$E$23,0),2),IF(FIND("-",$B304)&gt;0,INDEX(WP!$A$2:$F$23,MATCH(LEFT($B304,FIND("_",$B304)-1),WP!$E$2:$E$23,0),2))),INDEX(WP!$A$2:$F$23,MATCH(Results!$B304,WP!$E$2:$E$23,0),2)),5),(IFERROR(IF(FIND("_",$B304)&gt;0,INDEX(WP!$A$2:$F$23,MATCH(LEFT($B304,FIND("_",$B304)-1),WP!$E$2:$E$23,0),2),IF(FIND("-",$B304)&gt;0,INDEX(WP!$A$2:$F$23,MATCH(LEFT($B304,FIND("_",$B304)-1),WP!$E$2:$E$23,0),2))),INDEX(WP!$A$2:$F$23,MATCH(Results!$B304,WP!$E$2:$E$23,0),2)))),IF(RIGHT(IFERROR(IF(FIND("_",$B304)&gt;0,INDEX(WP!$A$2:$F$23,MATCH(LEFT($B304,FIND("_",$B304)-1),WP!$E$2:$E$23,0),2),IF(FIND("-",$B304)&gt;0,INDEX(WP!$A$2:$F$23,MATCH(LEFT($B304,FIND("_",$B304)-1),WP!$E$2:$E$23,0),2))),INDEX(WP!$A$2:$F$23,MATCH(Results!$B304,WP!$E$2:$E$23,0),2)),6)="Series",LEFT(IFERROR(IF(FIND("_",$B304)&gt;0,INDEX(WP!$A$2:$F$23,MATCH(LEFT($B304,FIND("_",$B304)-1),WP!$E$2:$E$23,0),2),IF(FIND("-",$B304)&gt;0,INDEX(WP!$A$2:$F$23,MATCH(LEFT($B304,FIND("_",$B304)-1),WP!$E$2:$E$23,0),2))),INDEX(WP!$A$2:$F$23,MATCH(Results!$B304,WP!$E$2:$E$23,0),2)),5),(IFERROR(IF(FIND("_",$B304)&gt;0,INDEX(WP!$A$2:$F$23,MATCH(LEFT($B304,FIND("_",$B304)-1),WP!$E$2:$E$23,0),2),IF(FIND("-",$B304)&gt;0,INDEX(WP!$A$2:$F$23,MATCH(LEFT($B304,FIND("_",$B304)-1),WP!$E$2:$E$23,0),2))),INDEX(WP!$A$2:$F$23,MATCH(Results!$B304,WP!$E$2:$E$23,0),2))))&amp;"-"&amp;$I304),"")</f>
        <v/>
      </c>
      <c r="G304" s="17" t="str">
        <f>IF(LEN(_xlfn.IFNA(IF(IFERROR(IF(FIND("_",$B304)&gt;0,MID($B304,FIND("_",$B304)+1,LEN($B304)),IF(FIND("-",$B304)&gt;0,MID($B304,FIND("-",$B304)+1,LEN($B304)))),"")="",IFERROR(VLOOKUP($F304,WP!$B$2:$C$23,2,0),VLOOKUP($C304,Series!$A$3:$F$11,6,0)),IFERROR(VLOOKUP($F304,WP!$B$2:$C$23,2,0),VLOOKUP($C304,Series!$A$3:$F$11,6,0))&amp;" - "&amp;(IFERROR(IF(FIND("_",$B304)&gt;0,MID($B304,FIND("_",$B304)+1,LEN($B304)),IF(FIND("-",$B304)&gt;0,MID($B304,FIND("-",$B304)+1,LEN($B304)))),""))),""))&lt;64,_xlfn.IFNA(IF(IFERROR(IF(FIND("_",$B304)&gt;0,MID($B304,FIND("_",$B304)+1,LEN($B304)),IF(FIND("-",$B304)&gt;0,MID($B304,FIND("-",$B304)+1,LEN($B304)))),"")="",IFERROR(VLOOKUP($F304,WP!$B$2:$C$23,2,0),VLOOKUP($C304,Series!$A$3:$F$11,6,0)),IFERROR(VLOOKUP($F304,WP!$B$2:$C$23,2,0),VLOOKUP($C304,Series!$A$3:$F$11,6,0))&amp;" - "&amp;(IFERROR(IF(FIND("_",$B304)&gt;0,MID($B304,FIND("_",$B304)+1,LEN($B304)),IF(FIND("-",$B304)&gt;0,MID($B304,FIND("-",$B304)+1,LEN($B304)))),""))),""),LEFT((_xlfn.IFNA(IF(IFERROR(IF(FIND("_",$B304)&gt;0,MID($B304,FIND("_",$B304)+1,LEN($B304)),IF(FIND("-",$B304)&gt;0,MID($B304,FIND("-",$B304)+1,LEN($B304)))),"")="",IFERROR(VLOOKUP($F304,WP!$B$2:$C$23,2,0),VLOOKUP($C304,Series!$A$3:$F$11,6,0)),IFERROR(VLOOKUP($F304,WP!$B$2:$C$23,2,0),VLOOKUP($C304,Series!$A$3:$F$11,6,0))&amp;" - "&amp;(IFERROR(IF(FIND("_",$B304)&gt;0,MID($B304,FIND("_",$B304)+1,LEN($B304)),IF(FIND("-",$B304)&gt;0,MID($B304,FIND("-",$B304)+1,LEN($B304)))),""))),"")),64))</f>
        <v/>
      </c>
      <c r="H304" s="12"/>
      <c r="I304" s="12" t="str">
        <f>IF($D304&lt;&gt;"",COUNTIF($D$7:$D304,"="&amp;$D304),"")</f>
        <v/>
      </c>
      <c r="J304"/>
      <c r="K304" s="8"/>
      <c r="L304"/>
    </row>
    <row r="305" spans="1:12" x14ac:dyDescent="0.3">
      <c r="A305" s="1"/>
      <c r="B305" s="26"/>
      <c r="C305" s="12" t="str">
        <f>_xlfn.IFNA(IFERROR(IF(FIND("_",$B305)&gt;0,INDEX(WP!$A$2:$F$23,MATCH(LEFT($B305,FIND("_",$B305)-1),WP!$E$2:$E$23,0),1),IF(FIND("-",$B305)&gt;0,INDEX(WP!$A$2:$F$23,MATCH(LEFT($B305,FIND("_",$B305)-1),WP!$E$2:$E$23,0),1))),INDEX(WP!$A$2:$F$23,MATCH(Results!$B305,WP!$E$2:$E$23,0),1)),"")</f>
        <v/>
      </c>
      <c r="D305" s="12" t="str">
        <f>IFERROR(IFERROR(IF(RIGHT(INDEX(WP!$A$2:$F$23,MATCH(IF(FIND("_",$B305)&gt;0,LEFT($B305,FIND("_",$B305)-1)),WP!$E$2:$E$23,0),2),6)="Series",LEFT(INDEX(WP!$A$2:$F$23,MATCH(IF(FIND("_",$B305)&gt;0,LEFT($B305,FIND("_",$B305)-1)),WP!$E$2:$E$23,0),2),5),""),IF(RIGHT(INDEX(WP!$A$2:$F$23,MATCH($B305,WP!$E$2:$E$23,0),2),6)="Series",LEFT(INDEX(WP!$A$2:$F$23,MATCH($B305,WP!$E$2:$E$23,0),2),5),"")),"")</f>
        <v/>
      </c>
      <c r="E305" s="17" t="str">
        <f>IFERROR(VLOOKUP(VALUE($D305),Series!$B$3:$F$11,2,0),"")</f>
        <v/>
      </c>
      <c r="F305" s="12" t="str">
        <f>_xlfn.IFNA(IF(IF($D305&lt;&gt;"",COUNTIF($E:$E,"="&amp;$D305),"")="",IF(RIGHT(IFERROR(IF(FIND("_",$B305)&gt;0,INDEX(WP!$A$2:$F$23,MATCH(LEFT($B305,FIND("_",$B305)-1),WP!$E$2:$E$23,0),2),IF(FIND("-",$B305)&gt;0,INDEX(WP!$A$2:$F$23,MATCH(LEFT($B305,FIND("_",$B305)-1),WP!$E$2:$E$23,0),2))),INDEX(WP!$A$2:$F$23,MATCH(Results!$B305,WP!$E$2:$E$23,0),2)),6)="Series",LEFT(IFERROR(IF(FIND("_",$B305)&gt;0,INDEX(WP!$A$2:$F$23,MATCH(LEFT($B305,FIND("_",$B305)-1),WP!$E$2:$E$23,0),2),IF(FIND("-",$B305)&gt;0,INDEX(WP!$A$2:$F$23,MATCH(LEFT($B305,FIND("_",$B305)-1),WP!$E$2:$E$23,0),2))),INDEX(WP!$A$2:$F$23,MATCH(Results!$B305,WP!$E$2:$E$23,0),2)),5),(IFERROR(IF(FIND("_",$B305)&gt;0,INDEX(WP!$A$2:$F$23,MATCH(LEFT($B305,FIND("_",$B305)-1),WP!$E$2:$E$23,0),2),IF(FIND("-",$B305)&gt;0,INDEX(WP!$A$2:$F$23,MATCH(LEFT($B305,FIND("_",$B305)-1),WP!$E$2:$E$23,0),2))),INDEX(WP!$A$2:$F$23,MATCH(Results!$B305,WP!$E$2:$E$23,0),2)))),IF(RIGHT(IFERROR(IF(FIND("_",$B305)&gt;0,INDEX(WP!$A$2:$F$23,MATCH(LEFT($B305,FIND("_",$B305)-1),WP!$E$2:$E$23,0),2),IF(FIND("-",$B305)&gt;0,INDEX(WP!$A$2:$F$23,MATCH(LEFT($B305,FIND("_",$B305)-1),WP!$E$2:$E$23,0),2))),INDEX(WP!$A$2:$F$23,MATCH(Results!$B305,WP!$E$2:$E$23,0),2)),6)="Series",LEFT(IFERROR(IF(FIND("_",$B305)&gt;0,INDEX(WP!$A$2:$F$23,MATCH(LEFT($B305,FIND("_",$B305)-1),WP!$E$2:$E$23,0),2),IF(FIND("-",$B305)&gt;0,INDEX(WP!$A$2:$F$23,MATCH(LEFT($B305,FIND("_",$B305)-1),WP!$E$2:$E$23,0),2))),INDEX(WP!$A$2:$F$23,MATCH(Results!$B305,WP!$E$2:$E$23,0),2)),5),(IFERROR(IF(FIND("_",$B305)&gt;0,INDEX(WP!$A$2:$F$23,MATCH(LEFT($B305,FIND("_",$B305)-1),WP!$E$2:$E$23,0),2),IF(FIND("-",$B305)&gt;0,INDEX(WP!$A$2:$F$23,MATCH(LEFT($B305,FIND("_",$B305)-1),WP!$E$2:$E$23,0),2))),INDEX(WP!$A$2:$F$23,MATCH(Results!$B305,WP!$E$2:$E$23,0),2))))&amp;"-"&amp;$I305),"")</f>
        <v/>
      </c>
      <c r="G305" s="17" t="str">
        <f>IF(LEN(_xlfn.IFNA(IF(IFERROR(IF(FIND("_",$B305)&gt;0,MID($B305,FIND("_",$B305)+1,LEN($B305)),IF(FIND("-",$B305)&gt;0,MID($B305,FIND("-",$B305)+1,LEN($B305)))),"")="",IFERROR(VLOOKUP($F305,WP!$B$2:$C$23,2,0),VLOOKUP($C305,Series!$A$3:$F$11,6,0)),IFERROR(VLOOKUP($F305,WP!$B$2:$C$23,2,0),VLOOKUP($C305,Series!$A$3:$F$11,6,0))&amp;" - "&amp;(IFERROR(IF(FIND("_",$B305)&gt;0,MID($B305,FIND("_",$B305)+1,LEN($B305)),IF(FIND("-",$B305)&gt;0,MID($B305,FIND("-",$B305)+1,LEN($B305)))),""))),""))&lt;64,_xlfn.IFNA(IF(IFERROR(IF(FIND("_",$B305)&gt;0,MID($B305,FIND("_",$B305)+1,LEN($B305)),IF(FIND("-",$B305)&gt;0,MID($B305,FIND("-",$B305)+1,LEN($B305)))),"")="",IFERROR(VLOOKUP($F305,WP!$B$2:$C$23,2,0),VLOOKUP($C305,Series!$A$3:$F$11,6,0)),IFERROR(VLOOKUP($F305,WP!$B$2:$C$23,2,0),VLOOKUP($C305,Series!$A$3:$F$11,6,0))&amp;" - "&amp;(IFERROR(IF(FIND("_",$B305)&gt;0,MID($B305,FIND("_",$B305)+1,LEN($B305)),IF(FIND("-",$B305)&gt;0,MID($B305,FIND("-",$B305)+1,LEN($B305)))),""))),""),LEFT((_xlfn.IFNA(IF(IFERROR(IF(FIND("_",$B305)&gt;0,MID($B305,FIND("_",$B305)+1,LEN($B305)),IF(FIND("-",$B305)&gt;0,MID($B305,FIND("-",$B305)+1,LEN($B305)))),"")="",IFERROR(VLOOKUP($F305,WP!$B$2:$C$23,2,0),VLOOKUP($C305,Series!$A$3:$F$11,6,0)),IFERROR(VLOOKUP($F305,WP!$B$2:$C$23,2,0),VLOOKUP($C305,Series!$A$3:$F$11,6,0))&amp;" - "&amp;(IFERROR(IF(FIND("_",$B305)&gt;0,MID($B305,FIND("_",$B305)+1,LEN($B305)),IF(FIND("-",$B305)&gt;0,MID($B305,FIND("-",$B305)+1,LEN($B305)))),""))),"")),64))</f>
        <v/>
      </c>
      <c r="H305" s="12"/>
      <c r="I305" s="12" t="str">
        <f>IF($D305&lt;&gt;"",COUNTIF($D$7:$D305,"="&amp;$D305),"")</f>
        <v/>
      </c>
      <c r="J305"/>
      <c r="K305" s="8"/>
      <c r="L305"/>
    </row>
    <row r="306" spans="1:12" x14ac:dyDescent="0.3">
      <c r="A306" s="1"/>
      <c r="B306" s="26"/>
      <c r="C306" s="12" t="str">
        <f>_xlfn.IFNA(IFERROR(IF(FIND("_",$B306)&gt;0,INDEX(WP!$A$2:$F$23,MATCH(LEFT($B306,FIND("_",$B306)-1),WP!$E$2:$E$23,0),1),IF(FIND("-",$B306)&gt;0,INDEX(WP!$A$2:$F$23,MATCH(LEFT($B306,FIND("_",$B306)-1),WP!$E$2:$E$23,0),1))),INDEX(WP!$A$2:$F$23,MATCH(Results!$B306,WP!$E$2:$E$23,0),1)),"")</f>
        <v/>
      </c>
      <c r="D306" s="12" t="str">
        <f>IFERROR(IFERROR(IF(RIGHT(INDEX(WP!$A$2:$F$23,MATCH(IF(FIND("_",$B306)&gt;0,LEFT($B306,FIND("_",$B306)-1)),WP!$E$2:$E$23,0),2),6)="Series",LEFT(INDEX(WP!$A$2:$F$23,MATCH(IF(FIND("_",$B306)&gt;0,LEFT($B306,FIND("_",$B306)-1)),WP!$E$2:$E$23,0),2),5),""),IF(RIGHT(INDEX(WP!$A$2:$F$23,MATCH($B306,WP!$E$2:$E$23,0),2),6)="Series",LEFT(INDEX(WP!$A$2:$F$23,MATCH($B306,WP!$E$2:$E$23,0),2),5),"")),"")</f>
        <v/>
      </c>
      <c r="E306" s="17" t="str">
        <f>IFERROR(VLOOKUP(VALUE($D306),Series!$B$3:$F$11,2,0),"")</f>
        <v/>
      </c>
      <c r="F306" s="12" t="str">
        <f>_xlfn.IFNA(IF(IF($D306&lt;&gt;"",COUNTIF($E:$E,"="&amp;$D306),"")="",IF(RIGHT(IFERROR(IF(FIND("_",$B306)&gt;0,INDEX(WP!$A$2:$F$23,MATCH(LEFT($B306,FIND("_",$B306)-1),WP!$E$2:$E$23,0),2),IF(FIND("-",$B306)&gt;0,INDEX(WP!$A$2:$F$23,MATCH(LEFT($B306,FIND("_",$B306)-1),WP!$E$2:$E$23,0),2))),INDEX(WP!$A$2:$F$23,MATCH(Results!$B306,WP!$E$2:$E$23,0),2)),6)="Series",LEFT(IFERROR(IF(FIND("_",$B306)&gt;0,INDEX(WP!$A$2:$F$23,MATCH(LEFT($B306,FIND("_",$B306)-1),WP!$E$2:$E$23,0),2),IF(FIND("-",$B306)&gt;0,INDEX(WP!$A$2:$F$23,MATCH(LEFT($B306,FIND("_",$B306)-1),WP!$E$2:$E$23,0),2))),INDEX(WP!$A$2:$F$23,MATCH(Results!$B306,WP!$E$2:$E$23,0),2)),5),(IFERROR(IF(FIND("_",$B306)&gt;0,INDEX(WP!$A$2:$F$23,MATCH(LEFT($B306,FIND("_",$B306)-1),WP!$E$2:$E$23,0),2),IF(FIND("-",$B306)&gt;0,INDEX(WP!$A$2:$F$23,MATCH(LEFT($B306,FIND("_",$B306)-1),WP!$E$2:$E$23,0),2))),INDEX(WP!$A$2:$F$23,MATCH(Results!$B306,WP!$E$2:$E$23,0),2)))),IF(RIGHT(IFERROR(IF(FIND("_",$B306)&gt;0,INDEX(WP!$A$2:$F$23,MATCH(LEFT($B306,FIND("_",$B306)-1),WP!$E$2:$E$23,0),2),IF(FIND("-",$B306)&gt;0,INDEX(WP!$A$2:$F$23,MATCH(LEFT($B306,FIND("_",$B306)-1),WP!$E$2:$E$23,0),2))),INDEX(WP!$A$2:$F$23,MATCH(Results!$B306,WP!$E$2:$E$23,0),2)),6)="Series",LEFT(IFERROR(IF(FIND("_",$B306)&gt;0,INDEX(WP!$A$2:$F$23,MATCH(LEFT($B306,FIND("_",$B306)-1),WP!$E$2:$E$23,0),2),IF(FIND("-",$B306)&gt;0,INDEX(WP!$A$2:$F$23,MATCH(LEFT($B306,FIND("_",$B306)-1),WP!$E$2:$E$23,0),2))),INDEX(WP!$A$2:$F$23,MATCH(Results!$B306,WP!$E$2:$E$23,0),2)),5),(IFERROR(IF(FIND("_",$B306)&gt;0,INDEX(WP!$A$2:$F$23,MATCH(LEFT($B306,FIND("_",$B306)-1),WP!$E$2:$E$23,0),2),IF(FIND("-",$B306)&gt;0,INDEX(WP!$A$2:$F$23,MATCH(LEFT($B306,FIND("_",$B306)-1),WP!$E$2:$E$23,0),2))),INDEX(WP!$A$2:$F$23,MATCH(Results!$B306,WP!$E$2:$E$23,0),2))))&amp;"-"&amp;$I306),"")</f>
        <v/>
      </c>
      <c r="G306" s="17" t="str">
        <f>IF(LEN(_xlfn.IFNA(IF(IFERROR(IF(FIND("_",$B306)&gt;0,MID($B306,FIND("_",$B306)+1,LEN($B306)),IF(FIND("-",$B306)&gt;0,MID($B306,FIND("-",$B306)+1,LEN($B306)))),"")="",IFERROR(VLOOKUP($F306,WP!$B$2:$C$23,2,0),VLOOKUP($C306,Series!$A$3:$F$11,6,0)),IFERROR(VLOOKUP($F306,WP!$B$2:$C$23,2,0),VLOOKUP($C306,Series!$A$3:$F$11,6,0))&amp;" - "&amp;(IFERROR(IF(FIND("_",$B306)&gt;0,MID($B306,FIND("_",$B306)+1,LEN($B306)),IF(FIND("-",$B306)&gt;0,MID($B306,FIND("-",$B306)+1,LEN($B306)))),""))),""))&lt;64,_xlfn.IFNA(IF(IFERROR(IF(FIND("_",$B306)&gt;0,MID($B306,FIND("_",$B306)+1,LEN($B306)),IF(FIND("-",$B306)&gt;0,MID($B306,FIND("-",$B306)+1,LEN($B306)))),"")="",IFERROR(VLOOKUP($F306,WP!$B$2:$C$23,2,0),VLOOKUP($C306,Series!$A$3:$F$11,6,0)),IFERROR(VLOOKUP($F306,WP!$B$2:$C$23,2,0),VLOOKUP($C306,Series!$A$3:$F$11,6,0))&amp;" - "&amp;(IFERROR(IF(FIND("_",$B306)&gt;0,MID($B306,FIND("_",$B306)+1,LEN($B306)),IF(FIND("-",$B306)&gt;0,MID($B306,FIND("-",$B306)+1,LEN($B306)))),""))),""),LEFT((_xlfn.IFNA(IF(IFERROR(IF(FIND("_",$B306)&gt;0,MID($B306,FIND("_",$B306)+1,LEN($B306)),IF(FIND("-",$B306)&gt;0,MID($B306,FIND("-",$B306)+1,LEN($B306)))),"")="",IFERROR(VLOOKUP($F306,WP!$B$2:$C$23,2,0),VLOOKUP($C306,Series!$A$3:$F$11,6,0)),IFERROR(VLOOKUP($F306,WP!$B$2:$C$23,2,0),VLOOKUP($C306,Series!$A$3:$F$11,6,0))&amp;" - "&amp;(IFERROR(IF(FIND("_",$B306)&gt;0,MID($B306,FIND("_",$B306)+1,LEN($B306)),IF(FIND("-",$B306)&gt;0,MID($B306,FIND("-",$B306)+1,LEN($B306)))),""))),"")),64))</f>
        <v/>
      </c>
      <c r="H306" s="12"/>
      <c r="I306" s="12" t="str">
        <f>IF($D306&lt;&gt;"",COUNTIF($D$7:$D306,"="&amp;$D306),"")</f>
        <v/>
      </c>
      <c r="J306"/>
      <c r="K306" s="8"/>
      <c r="L306"/>
    </row>
    <row r="307" spans="1:12" x14ac:dyDescent="0.3">
      <c r="A307" s="1"/>
      <c r="B307" s="26"/>
      <c r="C307" s="12" t="str">
        <f>_xlfn.IFNA(IFERROR(IF(FIND("_",$B307)&gt;0,INDEX(WP!$A$2:$F$23,MATCH(LEFT($B307,FIND("_",$B307)-1),WP!$E$2:$E$23,0),1),IF(FIND("-",$B307)&gt;0,INDEX(WP!$A$2:$F$23,MATCH(LEFT($B307,FIND("_",$B307)-1),WP!$E$2:$E$23,0),1))),INDEX(WP!$A$2:$F$23,MATCH(Results!$B307,WP!$E$2:$E$23,0),1)),"")</f>
        <v/>
      </c>
      <c r="D307" s="12" t="str">
        <f>IFERROR(IFERROR(IF(RIGHT(INDEX(WP!$A$2:$F$23,MATCH(IF(FIND("_",$B307)&gt;0,LEFT($B307,FIND("_",$B307)-1)),WP!$E$2:$E$23,0),2),6)="Series",LEFT(INDEX(WP!$A$2:$F$23,MATCH(IF(FIND("_",$B307)&gt;0,LEFT($B307,FIND("_",$B307)-1)),WP!$E$2:$E$23,0),2),5),""),IF(RIGHT(INDEX(WP!$A$2:$F$23,MATCH($B307,WP!$E$2:$E$23,0),2),6)="Series",LEFT(INDEX(WP!$A$2:$F$23,MATCH($B307,WP!$E$2:$E$23,0),2),5),"")),"")</f>
        <v/>
      </c>
      <c r="E307" s="17" t="str">
        <f>IFERROR(VLOOKUP(VALUE($D307),Series!$B$3:$F$11,2,0),"")</f>
        <v/>
      </c>
      <c r="F307" s="12" t="str">
        <f>_xlfn.IFNA(IF(IF($D307&lt;&gt;"",COUNTIF($E:$E,"="&amp;$D307),"")="",IF(RIGHT(IFERROR(IF(FIND("_",$B307)&gt;0,INDEX(WP!$A$2:$F$23,MATCH(LEFT($B307,FIND("_",$B307)-1),WP!$E$2:$E$23,0),2),IF(FIND("-",$B307)&gt;0,INDEX(WP!$A$2:$F$23,MATCH(LEFT($B307,FIND("_",$B307)-1),WP!$E$2:$E$23,0),2))),INDEX(WP!$A$2:$F$23,MATCH(Results!$B307,WP!$E$2:$E$23,0),2)),6)="Series",LEFT(IFERROR(IF(FIND("_",$B307)&gt;0,INDEX(WP!$A$2:$F$23,MATCH(LEFT($B307,FIND("_",$B307)-1),WP!$E$2:$E$23,0),2),IF(FIND("-",$B307)&gt;0,INDEX(WP!$A$2:$F$23,MATCH(LEFT($B307,FIND("_",$B307)-1),WP!$E$2:$E$23,0),2))),INDEX(WP!$A$2:$F$23,MATCH(Results!$B307,WP!$E$2:$E$23,0),2)),5),(IFERROR(IF(FIND("_",$B307)&gt;0,INDEX(WP!$A$2:$F$23,MATCH(LEFT($B307,FIND("_",$B307)-1),WP!$E$2:$E$23,0),2),IF(FIND("-",$B307)&gt;0,INDEX(WP!$A$2:$F$23,MATCH(LEFT($B307,FIND("_",$B307)-1),WP!$E$2:$E$23,0),2))),INDEX(WP!$A$2:$F$23,MATCH(Results!$B307,WP!$E$2:$E$23,0),2)))),IF(RIGHT(IFERROR(IF(FIND("_",$B307)&gt;0,INDEX(WP!$A$2:$F$23,MATCH(LEFT($B307,FIND("_",$B307)-1),WP!$E$2:$E$23,0),2),IF(FIND("-",$B307)&gt;0,INDEX(WP!$A$2:$F$23,MATCH(LEFT($B307,FIND("_",$B307)-1),WP!$E$2:$E$23,0),2))),INDEX(WP!$A$2:$F$23,MATCH(Results!$B307,WP!$E$2:$E$23,0),2)),6)="Series",LEFT(IFERROR(IF(FIND("_",$B307)&gt;0,INDEX(WP!$A$2:$F$23,MATCH(LEFT($B307,FIND("_",$B307)-1),WP!$E$2:$E$23,0),2),IF(FIND("-",$B307)&gt;0,INDEX(WP!$A$2:$F$23,MATCH(LEFT($B307,FIND("_",$B307)-1),WP!$E$2:$E$23,0),2))),INDEX(WP!$A$2:$F$23,MATCH(Results!$B307,WP!$E$2:$E$23,0),2)),5),(IFERROR(IF(FIND("_",$B307)&gt;0,INDEX(WP!$A$2:$F$23,MATCH(LEFT($B307,FIND("_",$B307)-1),WP!$E$2:$E$23,0),2),IF(FIND("-",$B307)&gt;0,INDEX(WP!$A$2:$F$23,MATCH(LEFT($B307,FIND("_",$B307)-1),WP!$E$2:$E$23,0),2))),INDEX(WP!$A$2:$F$23,MATCH(Results!$B307,WP!$E$2:$E$23,0),2))))&amp;"-"&amp;$I307),"")</f>
        <v/>
      </c>
      <c r="G307" s="17" t="str">
        <f>IF(LEN(_xlfn.IFNA(IF(IFERROR(IF(FIND("_",$B307)&gt;0,MID($B307,FIND("_",$B307)+1,LEN($B307)),IF(FIND("-",$B307)&gt;0,MID($B307,FIND("-",$B307)+1,LEN($B307)))),"")="",IFERROR(VLOOKUP($F307,WP!$B$2:$C$23,2,0),VLOOKUP($C307,Series!$A$3:$F$11,6,0)),IFERROR(VLOOKUP($F307,WP!$B$2:$C$23,2,0),VLOOKUP($C307,Series!$A$3:$F$11,6,0))&amp;" - "&amp;(IFERROR(IF(FIND("_",$B307)&gt;0,MID($B307,FIND("_",$B307)+1,LEN($B307)),IF(FIND("-",$B307)&gt;0,MID($B307,FIND("-",$B307)+1,LEN($B307)))),""))),""))&lt;64,_xlfn.IFNA(IF(IFERROR(IF(FIND("_",$B307)&gt;0,MID($B307,FIND("_",$B307)+1,LEN($B307)),IF(FIND("-",$B307)&gt;0,MID($B307,FIND("-",$B307)+1,LEN($B307)))),"")="",IFERROR(VLOOKUP($F307,WP!$B$2:$C$23,2,0),VLOOKUP($C307,Series!$A$3:$F$11,6,0)),IFERROR(VLOOKUP($F307,WP!$B$2:$C$23,2,0),VLOOKUP($C307,Series!$A$3:$F$11,6,0))&amp;" - "&amp;(IFERROR(IF(FIND("_",$B307)&gt;0,MID($B307,FIND("_",$B307)+1,LEN($B307)),IF(FIND("-",$B307)&gt;0,MID($B307,FIND("-",$B307)+1,LEN($B307)))),""))),""),LEFT((_xlfn.IFNA(IF(IFERROR(IF(FIND("_",$B307)&gt;0,MID($B307,FIND("_",$B307)+1,LEN($B307)),IF(FIND("-",$B307)&gt;0,MID($B307,FIND("-",$B307)+1,LEN($B307)))),"")="",IFERROR(VLOOKUP($F307,WP!$B$2:$C$23,2,0),VLOOKUP($C307,Series!$A$3:$F$11,6,0)),IFERROR(VLOOKUP($F307,WP!$B$2:$C$23,2,0),VLOOKUP($C307,Series!$A$3:$F$11,6,0))&amp;" - "&amp;(IFERROR(IF(FIND("_",$B307)&gt;0,MID($B307,FIND("_",$B307)+1,LEN($B307)),IF(FIND("-",$B307)&gt;0,MID($B307,FIND("-",$B307)+1,LEN($B307)))),""))),"")),64))</f>
        <v/>
      </c>
      <c r="H307" s="12"/>
      <c r="I307" s="12" t="str">
        <f>IF($D307&lt;&gt;"",COUNTIF($D$7:$D307,"="&amp;$D307),"")</f>
        <v/>
      </c>
      <c r="J307"/>
      <c r="K307" s="8"/>
      <c r="L307"/>
    </row>
    <row r="308" spans="1:12" x14ac:dyDescent="0.3">
      <c r="A308" s="1"/>
      <c r="B308" s="26"/>
      <c r="C308" s="12" t="str">
        <f>_xlfn.IFNA(IFERROR(IF(FIND("_",$B308)&gt;0,INDEX(WP!$A$2:$F$23,MATCH(LEFT($B308,FIND("_",$B308)-1),WP!$E$2:$E$23,0),1),IF(FIND("-",$B308)&gt;0,INDEX(WP!$A$2:$F$23,MATCH(LEFT($B308,FIND("_",$B308)-1),WP!$E$2:$E$23,0),1))),INDEX(WP!$A$2:$F$23,MATCH(Results!$B308,WP!$E$2:$E$23,0),1)),"")</f>
        <v/>
      </c>
      <c r="D308" s="12" t="str">
        <f>IFERROR(IFERROR(IF(RIGHT(INDEX(WP!$A$2:$F$23,MATCH(IF(FIND("_",$B308)&gt;0,LEFT($B308,FIND("_",$B308)-1)),WP!$E$2:$E$23,0),2),6)="Series",LEFT(INDEX(WP!$A$2:$F$23,MATCH(IF(FIND("_",$B308)&gt;0,LEFT($B308,FIND("_",$B308)-1)),WP!$E$2:$E$23,0),2),5),""),IF(RIGHT(INDEX(WP!$A$2:$F$23,MATCH($B308,WP!$E$2:$E$23,0),2),6)="Series",LEFT(INDEX(WP!$A$2:$F$23,MATCH($B308,WP!$E$2:$E$23,0),2),5),"")),"")</f>
        <v/>
      </c>
      <c r="E308" s="17" t="str">
        <f>IFERROR(VLOOKUP(VALUE($D308),Series!$B$3:$F$11,2,0),"")</f>
        <v/>
      </c>
      <c r="F308" s="12" t="str">
        <f>_xlfn.IFNA(IF(IF($D308&lt;&gt;"",COUNTIF($E:$E,"="&amp;$D308),"")="",IF(RIGHT(IFERROR(IF(FIND("_",$B308)&gt;0,INDEX(WP!$A$2:$F$23,MATCH(LEFT($B308,FIND("_",$B308)-1),WP!$E$2:$E$23,0),2),IF(FIND("-",$B308)&gt;0,INDEX(WP!$A$2:$F$23,MATCH(LEFT($B308,FIND("_",$B308)-1),WP!$E$2:$E$23,0),2))),INDEX(WP!$A$2:$F$23,MATCH(Results!$B308,WP!$E$2:$E$23,0),2)),6)="Series",LEFT(IFERROR(IF(FIND("_",$B308)&gt;0,INDEX(WP!$A$2:$F$23,MATCH(LEFT($B308,FIND("_",$B308)-1),WP!$E$2:$E$23,0),2),IF(FIND("-",$B308)&gt;0,INDEX(WP!$A$2:$F$23,MATCH(LEFT($B308,FIND("_",$B308)-1),WP!$E$2:$E$23,0),2))),INDEX(WP!$A$2:$F$23,MATCH(Results!$B308,WP!$E$2:$E$23,0),2)),5),(IFERROR(IF(FIND("_",$B308)&gt;0,INDEX(WP!$A$2:$F$23,MATCH(LEFT($B308,FIND("_",$B308)-1),WP!$E$2:$E$23,0),2),IF(FIND("-",$B308)&gt;0,INDEX(WP!$A$2:$F$23,MATCH(LEFT($B308,FIND("_",$B308)-1),WP!$E$2:$E$23,0),2))),INDEX(WP!$A$2:$F$23,MATCH(Results!$B308,WP!$E$2:$E$23,0),2)))),IF(RIGHT(IFERROR(IF(FIND("_",$B308)&gt;0,INDEX(WP!$A$2:$F$23,MATCH(LEFT($B308,FIND("_",$B308)-1),WP!$E$2:$E$23,0),2),IF(FIND("-",$B308)&gt;0,INDEX(WP!$A$2:$F$23,MATCH(LEFT($B308,FIND("_",$B308)-1),WP!$E$2:$E$23,0),2))),INDEX(WP!$A$2:$F$23,MATCH(Results!$B308,WP!$E$2:$E$23,0),2)),6)="Series",LEFT(IFERROR(IF(FIND("_",$B308)&gt;0,INDEX(WP!$A$2:$F$23,MATCH(LEFT($B308,FIND("_",$B308)-1),WP!$E$2:$E$23,0),2),IF(FIND("-",$B308)&gt;0,INDEX(WP!$A$2:$F$23,MATCH(LEFT($B308,FIND("_",$B308)-1),WP!$E$2:$E$23,0),2))),INDEX(WP!$A$2:$F$23,MATCH(Results!$B308,WP!$E$2:$E$23,0),2)),5),(IFERROR(IF(FIND("_",$B308)&gt;0,INDEX(WP!$A$2:$F$23,MATCH(LEFT($B308,FIND("_",$B308)-1),WP!$E$2:$E$23,0),2),IF(FIND("-",$B308)&gt;0,INDEX(WP!$A$2:$F$23,MATCH(LEFT($B308,FIND("_",$B308)-1),WP!$E$2:$E$23,0),2))),INDEX(WP!$A$2:$F$23,MATCH(Results!$B308,WP!$E$2:$E$23,0),2))))&amp;"-"&amp;$I308),"")</f>
        <v/>
      </c>
      <c r="G308" s="17" t="str">
        <f>IF(LEN(_xlfn.IFNA(IF(IFERROR(IF(FIND("_",$B308)&gt;0,MID($B308,FIND("_",$B308)+1,LEN($B308)),IF(FIND("-",$B308)&gt;0,MID($B308,FIND("-",$B308)+1,LEN($B308)))),"")="",IFERROR(VLOOKUP($F308,WP!$B$2:$C$23,2,0),VLOOKUP($C308,Series!$A$3:$F$11,6,0)),IFERROR(VLOOKUP($F308,WP!$B$2:$C$23,2,0),VLOOKUP($C308,Series!$A$3:$F$11,6,0))&amp;" - "&amp;(IFERROR(IF(FIND("_",$B308)&gt;0,MID($B308,FIND("_",$B308)+1,LEN($B308)),IF(FIND("-",$B308)&gt;0,MID($B308,FIND("-",$B308)+1,LEN($B308)))),""))),""))&lt;64,_xlfn.IFNA(IF(IFERROR(IF(FIND("_",$B308)&gt;0,MID($B308,FIND("_",$B308)+1,LEN($B308)),IF(FIND("-",$B308)&gt;0,MID($B308,FIND("-",$B308)+1,LEN($B308)))),"")="",IFERROR(VLOOKUP($F308,WP!$B$2:$C$23,2,0),VLOOKUP($C308,Series!$A$3:$F$11,6,0)),IFERROR(VLOOKUP($F308,WP!$B$2:$C$23,2,0),VLOOKUP($C308,Series!$A$3:$F$11,6,0))&amp;" - "&amp;(IFERROR(IF(FIND("_",$B308)&gt;0,MID($B308,FIND("_",$B308)+1,LEN($B308)),IF(FIND("-",$B308)&gt;0,MID($B308,FIND("-",$B308)+1,LEN($B308)))),""))),""),LEFT((_xlfn.IFNA(IF(IFERROR(IF(FIND("_",$B308)&gt;0,MID($B308,FIND("_",$B308)+1,LEN($B308)),IF(FIND("-",$B308)&gt;0,MID($B308,FIND("-",$B308)+1,LEN($B308)))),"")="",IFERROR(VLOOKUP($F308,WP!$B$2:$C$23,2,0),VLOOKUP($C308,Series!$A$3:$F$11,6,0)),IFERROR(VLOOKUP($F308,WP!$B$2:$C$23,2,0),VLOOKUP($C308,Series!$A$3:$F$11,6,0))&amp;" - "&amp;(IFERROR(IF(FIND("_",$B308)&gt;0,MID($B308,FIND("_",$B308)+1,LEN($B308)),IF(FIND("-",$B308)&gt;0,MID($B308,FIND("-",$B308)+1,LEN($B308)))),""))),"")),64))</f>
        <v/>
      </c>
      <c r="H308" s="12"/>
      <c r="I308" s="12" t="str">
        <f>IF($D308&lt;&gt;"",COUNTIF($D$7:$D308,"="&amp;$D308),"")</f>
        <v/>
      </c>
      <c r="J308"/>
      <c r="K308" s="8"/>
      <c r="L308"/>
    </row>
    <row r="309" spans="1:12" x14ac:dyDescent="0.3">
      <c r="A309" s="1"/>
      <c r="B309" s="26"/>
      <c r="C309" s="12" t="str">
        <f>_xlfn.IFNA(IFERROR(IF(FIND("_",$B309)&gt;0,INDEX(WP!$A$2:$F$23,MATCH(LEFT($B309,FIND("_",$B309)-1),WP!$E$2:$E$23,0),1),IF(FIND("-",$B309)&gt;0,INDEX(WP!$A$2:$F$23,MATCH(LEFT($B309,FIND("_",$B309)-1),WP!$E$2:$E$23,0),1))),INDEX(WP!$A$2:$F$23,MATCH(Results!$B309,WP!$E$2:$E$23,0),1)),"")</f>
        <v/>
      </c>
      <c r="D309" s="12" t="str">
        <f>IFERROR(IFERROR(IF(RIGHT(INDEX(WP!$A$2:$F$23,MATCH(IF(FIND("_",$B309)&gt;0,LEFT($B309,FIND("_",$B309)-1)),WP!$E$2:$E$23,0),2),6)="Series",LEFT(INDEX(WP!$A$2:$F$23,MATCH(IF(FIND("_",$B309)&gt;0,LEFT($B309,FIND("_",$B309)-1)),WP!$E$2:$E$23,0),2),5),""),IF(RIGHT(INDEX(WP!$A$2:$F$23,MATCH($B309,WP!$E$2:$E$23,0),2),6)="Series",LEFT(INDEX(WP!$A$2:$F$23,MATCH($B309,WP!$E$2:$E$23,0),2),5),"")),"")</f>
        <v/>
      </c>
      <c r="E309" s="17" t="str">
        <f>IFERROR(VLOOKUP(VALUE($D309),Series!$B$3:$F$11,2,0),"")</f>
        <v/>
      </c>
      <c r="F309" s="12" t="str">
        <f>_xlfn.IFNA(IF(IF($D309&lt;&gt;"",COUNTIF($E:$E,"="&amp;$D309),"")="",IF(RIGHT(IFERROR(IF(FIND("_",$B309)&gt;0,INDEX(WP!$A$2:$F$23,MATCH(LEFT($B309,FIND("_",$B309)-1),WP!$E$2:$E$23,0),2),IF(FIND("-",$B309)&gt;0,INDEX(WP!$A$2:$F$23,MATCH(LEFT($B309,FIND("_",$B309)-1),WP!$E$2:$E$23,0),2))),INDEX(WP!$A$2:$F$23,MATCH(Results!$B309,WP!$E$2:$E$23,0),2)),6)="Series",LEFT(IFERROR(IF(FIND("_",$B309)&gt;0,INDEX(WP!$A$2:$F$23,MATCH(LEFT($B309,FIND("_",$B309)-1),WP!$E$2:$E$23,0),2),IF(FIND("-",$B309)&gt;0,INDEX(WP!$A$2:$F$23,MATCH(LEFT($B309,FIND("_",$B309)-1),WP!$E$2:$E$23,0),2))),INDEX(WP!$A$2:$F$23,MATCH(Results!$B309,WP!$E$2:$E$23,0),2)),5),(IFERROR(IF(FIND("_",$B309)&gt;0,INDEX(WP!$A$2:$F$23,MATCH(LEFT($B309,FIND("_",$B309)-1),WP!$E$2:$E$23,0),2),IF(FIND("-",$B309)&gt;0,INDEX(WP!$A$2:$F$23,MATCH(LEFT($B309,FIND("_",$B309)-1),WP!$E$2:$E$23,0),2))),INDEX(WP!$A$2:$F$23,MATCH(Results!$B309,WP!$E$2:$E$23,0),2)))),IF(RIGHT(IFERROR(IF(FIND("_",$B309)&gt;0,INDEX(WP!$A$2:$F$23,MATCH(LEFT($B309,FIND("_",$B309)-1),WP!$E$2:$E$23,0),2),IF(FIND("-",$B309)&gt;0,INDEX(WP!$A$2:$F$23,MATCH(LEFT($B309,FIND("_",$B309)-1),WP!$E$2:$E$23,0),2))),INDEX(WP!$A$2:$F$23,MATCH(Results!$B309,WP!$E$2:$E$23,0),2)),6)="Series",LEFT(IFERROR(IF(FIND("_",$B309)&gt;0,INDEX(WP!$A$2:$F$23,MATCH(LEFT($B309,FIND("_",$B309)-1),WP!$E$2:$E$23,0),2),IF(FIND("-",$B309)&gt;0,INDEX(WP!$A$2:$F$23,MATCH(LEFT($B309,FIND("_",$B309)-1),WP!$E$2:$E$23,0),2))),INDEX(WP!$A$2:$F$23,MATCH(Results!$B309,WP!$E$2:$E$23,0),2)),5),(IFERROR(IF(FIND("_",$B309)&gt;0,INDEX(WP!$A$2:$F$23,MATCH(LEFT($B309,FIND("_",$B309)-1),WP!$E$2:$E$23,0),2),IF(FIND("-",$B309)&gt;0,INDEX(WP!$A$2:$F$23,MATCH(LEFT($B309,FIND("_",$B309)-1),WP!$E$2:$E$23,0),2))),INDEX(WP!$A$2:$F$23,MATCH(Results!$B309,WP!$E$2:$E$23,0),2))))&amp;"-"&amp;$I309),"")</f>
        <v/>
      </c>
      <c r="G309" s="17" t="str">
        <f>IF(LEN(_xlfn.IFNA(IF(IFERROR(IF(FIND("_",$B309)&gt;0,MID($B309,FIND("_",$B309)+1,LEN($B309)),IF(FIND("-",$B309)&gt;0,MID($B309,FIND("-",$B309)+1,LEN($B309)))),"")="",IFERROR(VLOOKUP($F309,WP!$B$2:$C$23,2,0),VLOOKUP($C309,Series!$A$3:$F$11,6,0)),IFERROR(VLOOKUP($F309,WP!$B$2:$C$23,2,0),VLOOKUP($C309,Series!$A$3:$F$11,6,0))&amp;" - "&amp;(IFERROR(IF(FIND("_",$B309)&gt;0,MID($B309,FIND("_",$B309)+1,LEN($B309)),IF(FIND("-",$B309)&gt;0,MID($B309,FIND("-",$B309)+1,LEN($B309)))),""))),""))&lt;64,_xlfn.IFNA(IF(IFERROR(IF(FIND("_",$B309)&gt;0,MID($B309,FIND("_",$B309)+1,LEN($B309)),IF(FIND("-",$B309)&gt;0,MID($B309,FIND("-",$B309)+1,LEN($B309)))),"")="",IFERROR(VLOOKUP($F309,WP!$B$2:$C$23,2,0),VLOOKUP($C309,Series!$A$3:$F$11,6,0)),IFERROR(VLOOKUP($F309,WP!$B$2:$C$23,2,0),VLOOKUP($C309,Series!$A$3:$F$11,6,0))&amp;" - "&amp;(IFERROR(IF(FIND("_",$B309)&gt;0,MID($B309,FIND("_",$B309)+1,LEN($B309)),IF(FIND("-",$B309)&gt;0,MID($B309,FIND("-",$B309)+1,LEN($B309)))),""))),""),LEFT((_xlfn.IFNA(IF(IFERROR(IF(FIND("_",$B309)&gt;0,MID($B309,FIND("_",$B309)+1,LEN($B309)),IF(FIND("-",$B309)&gt;0,MID($B309,FIND("-",$B309)+1,LEN($B309)))),"")="",IFERROR(VLOOKUP($F309,WP!$B$2:$C$23,2,0),VLOOKUP($C309,Series!$A$3:$F$11,6,0)),IFERROR(VLOOKUP($F309,WP!$B$2:$C$23,2,0),VLOOKUP($C309,Series!$A$3:$F$11,6,0))&amp;" - "&amp;(IFERROR(IF(FIND("_",$B309)&gt;0,MID($B309,FIND("_",$B309)+1,LEN($B309)),IF(FIND("-",$B309)&gt;0,MID($B309,FIND("-",$B309)+1,LEN($B309)))),""))),"")),64))</f>
        <v/>
      </c>
      <c r="H309" s="12"/>
      <c r="I309" s="12" t="str">
        <f>IF($D309&lt;&gt;"",COUNTIF($D$7:$D309,"="&amp;$D309),"")</f>
        <v/>
      </c>
      <c r="J309"/>
      <c r="K309" s="8"/>
      <c r="L309"/>
    </row>
    <row r="310" spans="1:12" x14ac:dyDescent="0.3">
      <c r="A310" s="1"/>
      <c r="B310" s="26"/>
      <c r="C310" s="12" t="str">
        <f>_xlfn.IFNA(IFERROR(IF(FIND("_",$B310)&gt;0,INDEX(WP!$A$2:$F$23,MATCH(LEFT($B310,FIND("_",$B310)-1),WP!$E$2:$E$23,0),1),IF(FIND("-",$B310)&gt;0,INDEX(WP!$A$2:$F$23,MATCH(LEFT($B310,FIND("_",$B310)-1),WP!$E$2:$E$23,0),1))),INDEX(WP!$A$2:$F$23,MATCH(Results!$B310,WP!$E$2:$E$23,0),1)),"")</f>
        <v/>
      </c>
      <c r="D310" s="12" t="str">
        <f>IFERROR(IFERROR(IF(RIGHT(INDEX(WP!$A$2:$F$23,MATCH(IF(FIND("_",$B310)&gt;0,LEFT($B310,FIND("_",$B310)-1)),WP!$E$2:$E$23,0),2),6)="Series",LEFT(INDEX(WP!$A$2:$F$23,MATCH(IF(FIND("_",$B310)&gt;0,LEFT($B310,FIND("_",$B310)-1)),WP!$E$2:$E$23,0),2),5),""),IF(RIGHT(INDEX(WP!$A$2:$F$23,MATCH($B310,WP!$E$2:$E$23,0),2),6)="Series",LEFT(INDEX(WP!$A$2:$F$23,MATCH($B310,WP!$E$2:$E$23,0),2),5),"")),"")</f>
        <v/>
      </c>
      <c r="E310" s="17" t="str">
        <f>IFERROR(VLOOKUP(VALUE($D310),Series!$B$3:$F$11,2,0),"")</f>
        <v/>
      </c>
      <c r="F310" s="12" t="str">
        <f>_xlfn.IFNA(IF(IF($D310&lt;&gt;"",COUNTIF($E:$E,"="&amp;$D310),"")="",IF(RIGHT(IFERROR(IF(FIND("_",$B310)&gt;0,INDEX(WP!$A$2:$F$23,MATCH(LEFT($B310,FIND("_",$B310)-1),WP!$E$2:$E$23,0),2),IF(FIND("-",$B310)&gt;0,INDEX(WP!$A$2:$F$23,MATCH(LEFT($B310,FIND("_",$B310)-1),WP!$E$2:$E$23,0),2))),INDEX(WP!$A$2:$F$23,MATCH(Results!$B310,WP!$E$2:$E$23,0),2)),6)="Series",LEFT(IFERROR(IF(FIND("_",$B310)&gt;0,INDEX(WP!$A$2:$F$23,MATCH(LEFT($B310,FIND("_",$B310)-1),WP!$E$2:$E$23,0),2),IF(FIND("-",$B310)&gt;0,INDEX(WP!$A$2:$F$23,MATCH(LEFT($B310,FIND("_",$B310)-1),WP!$E$2:$E$23,0),2))),INDEX(WP!$A$2:$F$23,MATCH(Results!$B310,WP!$E$2:$E$23,0),2)),5),(IFERROR(IF(FIND("_",$B310)&gt;0,INDEX(WP!$A$2:$F$23,MATCH(LEFT($B310,FIND("_",$B310)-1),WP!$E$2:$E$23,0),2),IF(FIND("-",$B310)&gt;0,INDEX(WP!$A$2:$F$23,MATCH(LEFT($B310,FIND("_",$B310)-1),WP!$E$2:$E$23,0),2))),INDEX(WP!$A$2:$F$23,MATCH(Results!$B310,WP!$E$2:$E$23,0),2)))),IF(RIGHT(IFERROR(IF(FIND("_",$B310)&gt;0,INDEX(WP!$A$2:$F$23,MATCH(LEFT($B310,FIND("_",$B310)-1),WP!$E$2:$E$23,0),2),IF(FIND("-",$B310)&gt;0,INDEX(WP!$A$2:$F$23,MATCH(LEFT($B310,FIND("_",$B310)-1),WP!$E$2:$E$23,0),2))),INDEX(WP!$A$2:$F$23,MATCH(Results!$B310,WP!$E$2:$E$23,0),2)),6)="Series",LEFT(IFERROR(IF(FIND("_",$B310)&gt;0,INDEX(WP!$A$2:$F$23,MATCH(LEFT($B310,FIND("_",$B310)-1),WP!$E$2:$E$23,0),2),IF(FIND("-",$B310)&gt;0,INDEX(WP!$A$2:$F$23,MATCH(LEFT($B310,FIND("_",$B310)-1),WP!$E$2:$E$23,0),2))),INDEX(WP!$A$2:$F$23,MATCH(Results!$B310,WP!$E$2:$E$23,0),2)),5),(IFERROR(IF(FIND("_",$B310)&gt;0,INDEX(WP!$A$2:$F$23,MATCH(LEFT($B310,FIND("_",$B310)-1),WP!$E$2:$E$23,0),2),IF(FIND("-",$B310)&gt;0,INDEX(WP!$A$2:$F$23,MATCH(LEFT($B310,FIND("_",$B310)-1),WP!$E$2:$E$23,0),2))),INDEX(WP!$A$2:$F$23,MATCH(Results!$B310,WP!$E$2:$E$23,0),2))))&amp;"-"&amp;$I310),"")</f>
        <v/>
      </c>
      <c r="G310" s="17" t="str">
        <f>IF(LEN(_xlfn.IFNA(IF(IFERROR(IF(FIND("_",$B310)&gt;0,MID($B310,FIND("_",$B310)+1,LEN($B310)),IF(FIND("-",$B310)&gt;0,MID($B310,FIND("-",$B310)+1,LEN($B310)))),"")="",IFERROR(VLOOKUP($F310,WP!$B$2:$C$23,2,0),VLOOKUP($C310,Series!$A$3:$F$11,6,0)),IFERROR(VLOOKUP($F310,WP!$B$2:$C$23,2,0),VLOOKUP($C310,Series!$A$3:$F$11,6,0))&amp;" - "&amp;(IFERROR(IF(FIND("_",$B310)&gt;0,MID($B310,FIND("_",$B310)+1,LEN($B310)),IF(FIND("-",$B310)&gt;0,MID($B310,FIND("-",$B310)+1,LEN($B310)))),""))),""))&lt;64,_xlfn.IFNA(IF(IFERROR(IF(FIND("_",$B310)&gt;0,MID($B310,FIND("_",$B310)+1,LEN($B310)),IF(FIND("-",$B310)&gt;0,MID($B310,FIND("-",$B310)+1,LEN($B310)))),"")="",IFERROR(VLOOKUP($F310,WP!$B$2:$C$23,2,0),VLOOKUP($C310,Series!$A$3:$F$11,6,0)),IFERROR(VLOOKUP($F310,WP!$B$2:$C$23,2,0),VLOOKUP($C310,Series!$A$3:$F$11,6,0))&amp;" - "&amp;(IFERROR(IF(FIND("_",$B310)&gt;0,MID($B310,FIND("_",$B310)+1,LEN($B310)),IF(FIND("-",$B310)&gt;0,MID($B310,FIND("-",$B310)+1,LEN($B310)))),""))),""),LEFT((_xlfn.IFNA(IF(IFERROR(IF(FIND("_",$B310)&gt;0,MID($B310,FIND("_",$B310)+1,LEN($B310)),IF(FIND("-",$B310)&gt;0,MID($B310,FIND("-",$B310)+1,LEN($B310)))),"")="",IFERROR(VLOOKUP($F310,WP!$B$2:$C$23,2,0),VLOOKUP($C310,Series!$A$3:$F$11,6,0)),IFERROR(VLOOKUP($F310,WP!$B$2:$C$23,2,0),VLOOKUP($C310,Series!$A$3:$F$11,6,0))&amp;" - "&amp;(IFERROR(IF(FIND("_",$B310)&gt;0,MID($B310,FIND("_",$B310)+1,LEN($B310)),IF(FIND("-",$B310)&gt;0,MID($B310,FIND("-",$B310)+1,LEN($B310)))),""))),"")),64))</f>
        <v/>
      </c>
      <c r="H310" s="12"/>
      <c r="I310" s="12" t="str">
        <f>IF($D310&lt;&gt;"",COUNTIF($D$7:$D310,"="&amp;$D310),"")</f>
        <v/>
      </c>
      <c r="J310"/>
      <c r="K310" s="8"/>
      <c r="L310"/>
    </row>
    <row r="311" spans="1:12" x14ac:dyDescent="0.3">
      <c r="A311" s="1"/>
      <c r="B311" s="26"/>
      <c r="C311" s="12" t="str">
        <f>_xlfn.IFNA(IFERROR(IF(FIND("_",$B311)&gt;0,INDEX(WP!$A$2:$F$23,MATCH(LEFT($B311,FIND("_",$B311)-1),WP!$E$2:$E$23,0),1),IF(FIND("-",$B311)&gt;0,INDEX(WP!$A$2:$F$23,MATCH(LEFT($B311,FIND("_",$B311)-1),WP!$E$2:$E$23,0),1))),INDEX(WP!$A$2:$F$23,MATCH(Results!$B311,WP!$E$2:$E$23,0),1)),"")</f>
        <v/>
      </c>
      <c r="D311" s="12" t="str">
        <f>IFERROR(IFERROR(IF(RIGHT(INDEX(WP!$A$2:$F$23,MATCH(IF(FIND("_",$B311)&gt;0,LEFT($B311,FIND("_",$B311)-1)),WP!$E$2:$E$23,0),2),6)="Series",LEFT(INDEX(WP!$A$2:$F$23,MATCH(IF(FIND("_",$B311)&gt;0,LEFT($B311,FIND("_",$B311)-1)),WP!$E$2:$E$23,0),2),5),""),IF(RIGHT(INDEX(WP!$A$2:$F$23,MATCH($B311,WP!$E$2:$E$23,0),2),6)="Series",LEFT(INDEX(WP!$A$2:$F$23,MATCH($B311,WP!$E$2:$E$23,0),2),5),"")),"")</f>
        <v/>
      </c>
      <c r="E311" s="17" t="str">
        <f>IFERROR(VLOOKUP(VALUE($D311),Series!$B$3:$F$11,2,0),"")</f>
        <v/>
      </c>
      <c r="F311" s="12" t="str">
        <f>_xlfn.IFNA(IF(IF($D311&lt;&gt;"",COUNTIF($E:$E,"="&amp;$D311),"")="",IF(RIGHT(IFERROR(IF(FIND("_",$B311)&gt;0,INDEX(WP!$A$2:$F$23,MATCH(LEFT($B311,FIND("_",$B311)-1),WP!$E$2:$E$23,0),2),IF(FIND("-",$B311)&gt;0,INDEX(WP!$A$2:$F$23,MATCH(LEFT($B311,FIND("_",$B311)-1),WP!$E$2:$E$23,0),2))),INDEX(WP!$A$2:$F$23,MATCH(Results!$B311,WP!$E$2:$E$23,0),2)),6)="Series",LEFT(IFERROR(IF(FIND("_",$B311)&gt;0,INDEX(WP!$A$2:$F$23,MATCH(LEFT($B311,FIND("_",$B311)-1),WP!$E$2:$E$23,0),2),IF(FIND("-",$B311)&gt;0,INDEX(WP!$A$2:$F$23,MATCH(LEFT($B311,FIND("_",$B311)-1),WP!$E$2:$E$23,0),2))),INDEX(WP!$A$2:$F$23,MATCH(Results!$B311,WP!$E$2:$E$23,0),2)),5),(IFERROR(IF(FIND("_",$B311)&gt;0,INDEX(WP!$A$2:$F$23,MATCH(LEFT($B311,FIND("_",$B311)-1),WP!$E$2:$E$23,0),2),IF(FIND("-",$B311)&gt;0,INDEX(WP!$A$2:$F$23,MATCH(LEFT($B311,FIND("_",$B311)-1),WP!$E$2:$E$23,0),2))),INDEX(WP!$A$2:$F$23,MATCH(Results!$B311,WP!$E$2:$E$23,0),2)))),IF(RIGHT(IFERROR(IF(FIND("_",$B311)&gt;0,INDEX(WP!$A$2:$F$23,MATCH(LEFT($B311,FIND("_",$B311)-1),WP!$E$2:$E$23,0),2),IF(FIND("-",$B311)&gt;0,INDEX(WP!$A$2:$F$23,MATCH(LEFT($B311,FIND("_",$B311)-1),WP!$E$2:$E$23,0),2))),INDEX(WP!$A$2:$F$23,MATCH(Results!$B311,WP!$E$2:$E$23,0),2)),6)="Series",LEFT(IFERROR(IF(FIND("_",$B311)&gt;0,INDEX(WP!$A$2:$F$23,MATCH(LEFT($B311,FIND("_",$B311)-1),WP!$E$2:$E$23,0),2),IF(FIND("-",$B311)&gt;0,INDEX(WP!$A$2:$F$23,MATCH(LEFT($B311,FIND("_",$B311)-1),WP!$E$2:$E$23,0),2))),INDEX(WP!$A$2:$F$23,MATCH(Results!$B311,WP!$E$2:$E$23,0),2)),5),(IFERROR(IF(FIND("_",$B311)&gt;0,INDEX(WP!$A$2:$F$23,MATCH(LEFT($B311,FIND("_",$B311)-1),WP!$E$2:$E$23,0),2),IF(FIND("-",$B311)&gt;0,INDEX(WP!$A$2:$F$23,MATCH(LEFT($B311,FIND("_",$B311)-1),WP!$E$2:$E$23,0),2))),INDEX(WP!$A$2:$F$23,MATCH(Results!$B311,WP!$E$2:$E$23,0),2))))&amp;"-"&amp;$I311),"")</f>
        <v/>
      </c>
      <c r="G311" s="17" t="str">
        <f>IF(LEN(_xlfn.IFNA(IF(IFERROR(IF(FIND("_",$B311)&gt;0,MID($B311,FIND("_",$B311)+1,LEN($B311)),IF(FIND("-",$B311)&gt;0,MID($B311,FIND("-",$B311)+1,LEN($B311)))),"")="",IFERROR(VLOOKUP($F311,WP!$B$2:$C$23,2,0),VLOOKUP($C311,Series!$A$3:$F$11,6,0)),IFERROR(VLOOKUP($F311,WP!$B$2:$C$23,2,0),VLOOKUP($C311,Series!$A$3:$F$11,6,0))&amp;" - "&amp;(IFERROR(IF(FIND("_",$B311)&gt;0,MID($B311,FIND("_",$B311)+1,LEN($B311)),IF(FIND("-",$B311)&gt;0,MID($B311,FIND("-",$B311)+1,LEN($B311)))),""))),""))&lt;64,_xlfn.IFNA(IF(IFERROR(IF(FIND("_",$B311)&gt;0,MID($B311,FIND("_",$B311)+1,LEN($B311)),IF(FIND("-",$B311)&gt;0,MID($B311,FIND("-",$B311)+1,LEN($B311)))),"")="",IFERROR(VLOOKUP($F311,WP!$B$2:$C$23,2,0),VLOOKUP($C311,Series!$A$3:$F$11,6,0)),IFERROR(VLOOKUP($F311,WP!$B$2:$C$23,2,0),VLOOKUP($C311,Series!$A$3:$F$11,6,0))&amp;" - "&amp;(IFERROR(IF(FIND("_",$B311)&gt;0,MID($B311,FIND("_",$B311)+1,LEN($B311)),IF(FIND("-",$B311)&gt;0,MID($B311,FIND("-",$B311)+1,LEN($B311)))),""))),""),LEFT((_xlfn.IFNA(IF(IFERROR(IF(FIND("_",$B311)&gt;0,MID($B311,FIND("_",$B311)+1,LEN($B311)),IF(FIND("-",$B311)&gt;0,MID($B311,FIND("-",$B311)+1,LEN($B311)))),"")="",IFERROR(VLOOKUP($F311,WP!$B$2:$C$23,2,0),VLOOKUP($C311,Series!$A$3:$F$11,6,0)),IFERROR(VLOOKUP($F311,WP!$B$2:$C$23,2,0),VLOOKUP($C311,Series!$A$3:$F$11,6,0))&amp;" - "&amp;(IFERROR(IF(FIND("_",$B311)&gt;0,MID($B311,FIND("_",$B311)+1,LEN($B311)),IF(FIND("-",$B311)&gt;0,MID($B311,FIND("-",$B311)+1,LEN($B311)))),""))),"")),64))</f>
        <v/>
      </c>
      <c r="H311" s="12"/>
      <c r="I311" s="12" t="str">
        <f>IF($D311&lt;&gt;"",COUNTIF($D$7:$D311,"="&amp;$D311),"")</f>
        <v/>
      </c>
      <c r="J311"/>
      <c r="K311" s="8"/>
      <c r="L311"/>
    </row>
    <row r="312" spans="1:12" x14ac:dyDescent="0.3">
      <c r="A312" s="1"/>
      <c r="B312" s="26"/>
      <c r="C312" s="12" t="str">
        <f>_xlfn.IFNA(IFERROR(IF(FIND("_",$B312)&gt;0,INDEX(WP!$A$2:$F$23,MATCH(LEFT($B312,FIND("_",$B312)-1),WP!$E$2:$E$23,0),1),IF(FIND("-",$B312)&gt;0,INDEX(WP!$A$2:$F$23,MATCH(LEFT($B312,FIND("_",$B312)-1),WP!$E$2:$E$23,0),1))),INDEX(WP!$A$2:$F$23,MATCH(Results!$B312,WP!$E$2:$E$23,0),1)),"")</f>
        <v/>
      </c>
      <c r="D312" s="12" t="str">
        <f>IFERROR(IFERROR(IF(RIGHT(INDEX(WP!$A$2:$F$23,MATCH(IF(FIND("_",$B312)&gt;0,LEFT($B312,FIND("_",$B312)-1)),WP!$E$2:$E$23,0),2),6)="Series",LEFT(INDEX(WP!$A$2:$F$23,MATCH(IF(FIND("_",$B312)&gt;0,LEFT($B312,FIND("_",$B312)-1)),WP!$E$2:$E$23,0),2),5),""),IF(RIGHT(INDEX(WP!$A$2:$F$23,MATCH($B312,WP!$E$2:$E$23,0),2),6)="Series",LEFT(INDEX(WP!$A$2:$F$23,MATCH($B312,WP!$E$2:$E$23,0),2),5),"")),"")</f>
        <v/>
      </c>
      <c r="E312" s="17" t="str">
        <f>IFERROR(VLOOKUP(VALUE($D312),Series!$B$3:$F$11,2,0),"")</f>
        <v/>
      </c>
      <c r="F312" s="12" t="str">
        <f>_xlfn.IFNA(IF(IF($D312&lt;&gt;"",COUNTIF($E:$E,"="&amp;$D312),"")="",IF(RIGHT(IFERROR(IF(FIND("_",$B312)&gt;0,INDEX(WP!$A$2:$F$23,MATCH(LEFT($B312,FIND("_",$B312)-1),WP!$E$2:$E$23,0),2),IF(FIND("-",$B312)&gt;0,INDEX(WP!$A$2:$F$23,MATCH(LEFT($B312,FIND("_",$B312)-1),WP!$E$2:$E$23,0),2))),INDEX(WP!$A$2:$F$23,MATCH(Results!$B312,WP!$E$2:$E$23,0),2)),6)="Series",LEFT(IFERROR(IF(FIND("_",$B312)&gt;0,INDEX(WP!$A$2:$F$23,MATCH(LEFT($B312,FIND("_",$B312)-1),WP!$E$2:$E$23,0),2),IF(FIND("-",$B312)&gt;0,INDEX(WP!$A$2:$F$23,MATCH(LEFT($B312,FIND("_",$B312)-1),WP!$E$2:$E$23,0),2))),INDEX(WP!$A$2:$F$23,MATCH(Results!$B312,WP!$E$2:$E$23,0),2)),5),(IFERROR(IF(FIND("_",$B312)&gt;0,INDEX(WP!$A$2:$F$23,MATCH(LEFT($B312,FIND("_",$B312)-1),WP!$E$2:$E$23,0),2),IF(FIND("-",$B312)&gt;0,INDEX(WP!$A$2:$F$23,MATCH(LEFT($B312,FIND("_",$B312)-1),WP!$E$2:$E$23,0),2))),INDEX(WP!$A$2:$F$23,MATCH(Results!$B312,WP!$E$2:$E$23,0),2)))),IF(RIGHT(IFERROR(IF(FIND("_",$B312)&gt;0,INDEX(WP!$A$2:$F$23,MATCH(LEFT($B312,FIND("_",$B312)-1),WP!$E$2:$E$23,0),2),IF(FIND("-",$B312)&gt;0,INDEX(WP!$A$2:$F$23,MATCH(LEFT($B312,FIND("_",$B312)-1),WP!$E$2:$E$23,0),2))),INDEX(WP!$A$2:$F$23,MATCH(Results!$B312,WP!$E$2:$E$23,0),2)),6)="Series",LEFT(IFERROR(IF(FIND("_",$B312)&gt;0,INDEX(WP!$A$2:$F$23,MATCH(LEFT($B312,FIND("_",$B312)-1),WP!$E$2:$E$23,0),2),IF(FIND("-",$B312)&gt;0,INDEX(WP!$A$2:$F$23,MATCH(LEFT($B312,FIND("_",$B312)-1),WP!$E$2:$E$23,0),2))),INDEX(WP!$A$2:$F$23,MATCH(Results!$B312,WP!$E$2:$E$23,0),2)),5),(IFERROR(IF(FIND("_",$B312)&gt;0,INDEX(WP!$A$2:$F$23,MATCH(LEFT($B312,FIND("_",$B312)-1),WP!$E$2:$E$23,0),2),IF(FIND("-",$B312)&gt;0,INDEX(WP!$A$2:$F$23,MATCH(LEFT($B312,FIND("_",$B312)-1),WP!$E$2:$E$23,0),2))),INDEX(WP!$A$2:$F$23,MATCH(Results!$B312,WP!$E$2:$E$23,0),2))))&amp;"-"&amp;$I312),"")</f>
        <v/>
      </c>
      <c r="G312" s="17" t="str">
        <f>IF(LEN(_xlfn.IFNA(IF(IFERROR(IF(FIND("_",$B312)&gt;0,MID($B312,FIND("_",$B312)+1,LEN($B312)),IF(FIND("-",$B312)&gt;0,MID($B312,FIND("-",$B312)+1,LEN($B312)))),"")="",IFERROR(VLOOKUP($F312,WP!$B$2:$C$23,2,0),VLOOKUP($C312,Series!$A$3:$F$11,6,0)),IFERROR(VLOOKUP($F312,WP!$B$2:$C$23,2,0),VLOOKUP($C312,Series!$A$3:$F$11,6,0))&amp;" - "&amp;(IFERROR(IF(FIND("_",$B312)&gt;0,MID($B312,FIND("_",$B312)+1,LEN($B312)),IF(FIND("-",$B312)&gt;0,MID($B312,FIND("-",$B312)+1,LEN($B312)))),""))),""))&lt;64,_xlfn.IFNA(IF(IFERROR(IF(FIND("_",$B312)&gt;0,MID($B312,FIND("_",$B312)+1,LEN($B312)),IF(FIND("-",$B312)&gt;0,MID($B312,FIND("-",$B312)+1,LEN($B312)))),"")="",IFERROR(VLOOKUP($F312,WP!$B$2:$C$23,2,0),VLOOKUP($C312,Series!$A$3:$F$11,6,0)),IFERROR(VLOOKUP($F312,WP!$B$2:$C$23,2,0),VLOOKUP($C312,Series!$A$3:$F$11,6,0))&amp;" - "&amp;(IFERROR(IF(FIND("_",$B312)&gt;0,MID($B312,FIND("_",$B312)+1,LEN($B312)),IF(FIND("-",$B312)&gt;0,MID($B312,FIND("-",$B312)+1,LEN($B312)))),""))),""),LEFT((_xlfn.IFNA(IF(IFERROR(IF(FIND("_",$B312)&gt;0,MID($B312,FIND("_",$B312)+1,LEN($B312)),IF(FIND("-",$B312)&gt;0,MID($B312,FIND("-",$B312)+1,LEN($B312)))),"")="",IFERROR(VLOOKUP($F312,WP!$B$2:$C$23,2,0),VLOOKUP($C312,Series!$A$3:$F$11,6,0)),IFERROR(VLOOKUP($F312,WP!$B$2:$C$23,2,0),VLOOKUP($C312,Series!$A$3:$F$11,6,0))&amp;" - "&amp;(IFERROR(IF(FIND("_",$B312)&gt;0,MID($B312,FIND("_",$B312)+1,LEN($B312)),IF(FIND("-",$B312)&gt;0,MID($B312,FIND("-",$B312)+1,LEN($B312)))),""))),"")),64))</f>
        <v/>
      </c>
      <c r="H312" s="12"/>
      <c r="I312" s="12" t="str">
        <f>IF($D312&lt;&gt;"",COUNTIF($D$7:$D312,"="&amp;$D312),"")</f>
        <v/>
      </c>
      <c r="J312"/>
      <c r="K312" s="8"/>
      <c r="L312"/>
    </row>
    <row r="313" spans="1:12" x14ac:dyDescent="0.3">
      <c r="A313" s="1"/>
      <c r="B313" s="26"/>
      <c r="C313" s="12" t="str">
        <f>_xlfn.IFNA(IFERROR(IF(FIND("_",$B313)&gt;0,INDEX(WP!$A$2:$F$23,MATCH(LEFT($B313,FIND("_",$B313)-1),WP!$E$2:$E$23,0),1),IF(FIND("-",$B313)&gt;0,INDEX(WP!$A$2:$F$23,MATCH(LEFT($B313,FIND("_",$B313)-1),WP!$E$2:$E$23,0),1))),INDEX(WP!$A$2:$F$23,MATCH(Results!$B313,WP!$E$2:$E$23,0),1)),"")</f>
        <v/>
      </c>
      <c r="D313" s="12" t="str">
        <f>IFERROR(IFERROR(IF(RIGHT(INDEX(WP!$A$2:$F$23,MATCH(IF(FIND("_",$B313)&gt;0,LEFT($B313,FIND("_",$B313)-1)),WP!$E$2:$E$23,0),2),6)="Series",LEFT(INDEX(WP!$A$2:$F$23,MATCH(IF(FIND("_",$B313)&gt;0,LEFT($B313,FIND("_",$B313)-1)),WP!$E$2:$E$23,0),2),5),""),IF(RIGHT(INDEX(WP!$A$2:$F$23,MATCH($B313,WP!$E$2:$E$23,0),2),6)="Series",LEFT(INDEX(WP!$A$2:$F$23,MATCH($B313,WP!$E$2:$E$23,0),2),5),"")),"")</f>
        <v/>
      </c>
      <c r="E313" s="17" t="str">
        <f>IFERROR(VLOOKUP(VALUE($D313),Series!$B$3:$F$11,2,0),"")</f>
        <v/>
      </c>
      <c r="F313" s="12" t="str">
        <f>_xlfn.IFNA(IF(IF($D313&lt;&gt;"",COUNTIF($E:$E,"="&amp;$D313),"")="",IF(RIGHT(IFERROR(IF(FIND("_",$B313)&gt;0,INDEX(WP!$A$2:$F$23,MATCH(LEFT($B313,FIND("_",$B313)-1),WP!$E$2:$E$23,0),2),IF(FIND("-",$B313)&gt;0,INDEX(WP!$A$2:$F$23,MATCH(LEFT($B313,FIND("_",$B313)-1),WP!$E$2:$E$23,0),2))),INDEX(WP!$A$2:$F$23,MATCH(Results!$B313,WP!$E$2:$E$23,0),2)),6)="Series",LEFT(IFERROR(IF(FIND("_",$B313)&gt;0,INDEX(WP!$A$2:$F$23,MATCH(LEFT($B313,FIND("_",$B313)-1),WP!$E$2:$E$23,0),2),IF(FIND("-",$B313)&gt;0,INDEX(WP!$A$2:$F$23,MATCH(LEFT($B313,FIND("_",$B313)-1),WP!$E$2:$E$23,0),2))),INDEX(WP!$A$2:$F$23,MATCH(Results!$B313,WP!$E$2:$E$23,0),2)),5),(IFERROR(IF(FIND("_",$B313)&gt;0,INDEX(WP!$A$2:$F$23,MATCH(LEFT($B313,FIND("_",$B313)-1),WP!$E$2:$E$23,0),2),IF(FIND("-",$B313)&gt;0,INDEX(WP!$A$2:$F$23,MATCH(LEFT($B313,FIND("_",$B313)-1),WP!$E$2:$E$23,0),2))),INDEX(WP!$A$2:$F$23,MATCH(Results!$B313,WP!$E$2:$E$23,0),2)))),IF(RIGHT(IFERROR(IF(FIND("_",$B313)&gt;0,INDEX(WP!$A$2:$F$23,MATCH(LEFT($B313,FIND("_",$B313)-1),WP!$E$2:$E$23,0),2),IF(FIND("-",$B313)&gt;0,INDEX(WP!$A$2:$F$23,MATCH(LEFT($B313,FIND("_",$B313)-1),WP!$E$2:$E$23,0),2))),INDEX(WP!$A$2:$F$23,MATCH(Results!$B313,WP!$E$2:$E$23,0),2)),6)="Series",LEFT(IFERROR(IF(FIND("_",$B313)&gt;0,INDEX(WP!$A$2:$F$23,MATCH(LEFT($B313,FIND("_",$B313)-1),WP!$E$2:$E$23,0),2),IF(FIND("-",$B313)&gt;0,INDEX(WP!$A$2:$F$23,MATCH(LEFT($B313,FIND("_",$B313)-1),WP!$E$2:$E$23,0),2))),INDEX(WP!$A$2:$F$23,MATCH(Results!$B313,WP!$E$2:$E$23,0),2)),5),(IFERROR(IF(FIND("_",$B313)&gt;0,INDEX(WP!$A$2:$F$23,MATCH(LEFT($B313,FIND("_",$B313)-1),WP!$E$2:$E$23,0),2),IF(FIND("-",$B313)&gt;0,INDEX(WP!$A$2:$F$23,MATCH(LEFT($B313,FIND("_",$B313)-1),WP!$E$2:$E$23,0),2))),INDEX(WP!$A$2:$F$23,MATCH(Results!$B313,WP!$E$2:$E$23,0),2))))&amp;"-"&amp;$I313),"")</f>
        <v/>
      </c>
      <c r="G313" s="17" t="str">
        <f>IF(LEN(_xlfn.IFNA(IF(IFERROR(IF(FIND("_",$B313)&gt;0,MID($B313,FIND("_",$B313)+1,LEN($B313)),IF(FIND("-",$B313)&gt;0,MID($B313,FIND("-",$B313)+1,LEN($B313)))),"")="",IFERROR(VLOOKUP($F313,WP!$B$2:$C$23,2,0),VLOOKUP($C313,Series!$A$3:$F$11,6,0)),IFERROR(VLOOKUP($F313,WP!$B$2:$C$23,2,0),VLOOKUP($C313,Series!$A$3:$F$11,6,0))&amp;" - "&amp;(IFERROR(IF(FIND("_",$B313)&gt;0,MID($B313,FIND("_",$B313)+1,LEN($B313)),IF(FIND("-",$B313)&gt;0,MID($B313,FIND("-",$B313)+1,LEN($B313)))),""))),""))&lt;64,_xlfn.IFNA(IF(IFERROR(IF(FIND("_",$B313)&gt;0,MID($B313,FIND("_",$B313)+1,LEN($B313)),IF(FIND("-",$B313)&gt;0,MID($B313,FIND("-",$B313)+1,LEN($B313)))),"")="",IFERROR(VLOOKUP($F313,WP!$B$2:$C$23,2,0),VLOOKUP($C313,Series!$A$3:$F$11,6,0)),IFERROR(VLOOKUP($F313,WP!$B$2:$C$23,2,0),VLOOKUP($C313,Series!$A$3:$F$11,6,0))&amp;" - "&amp;(IFERROR(IF(FIND("_",$B313)&gt;0,MID($B313,FIND("_",$B313)+1,LEN($B313)),IF(FIND("-",$B313)&gt;0,MID($B313,FIND("-",$B313)+1,LEN($B313)))),""))),""),LEFT((_xlfn.IFNA(IF(IFERROR(IF(FIND("_",$B313)&gt;0,MID($B313,FIND("_",$B313)+1,LEN($B313)),IF(FIND("-",$B313)&gt;0,MID($B313,FIND("-",$B313)+1,LEN($B313)))),"")="",IFERROR(VLOOKUP($F313,WP!$B$2:$C$23,2,0),VLOOKUP($C313,Series!$A$3:$F$11,6,0)),IFERROR(VLOOKUP($F313,WP!$B$2:$C$23,2,0),VLOOKUP($C313,Series!$A$3:$F$11,6,0))&amp;" - "&amp;(IFERROR(IF(FIND("_",$B313)&gt;0,MID($B313,FIND("_",$B313)+1,LEN($B313)),IF(FIND("-",$B313)&gt;0,MID($B313,FIND("-",$B313)+1,LEN($B313)))),""))),"")),64))</f>
        <v/>
      </c>
      <c r="H313" s="12"/>
      <c r="I313" s="12" t="str">
        <f>IF($D313&lt;&gt;"",COUNTIF($D$7:$D313,"="&amp;$D313),"")</f>
        <v/>
      </c>
      <c r="J313"/>
      <c r="K313" s="8"/>
      <c r="L313"/>
    </row>
    <row r="314" spans="1:12" x14ac:dyDescent="0.3">
      <c r="A314" s="1"/>
      <c r="B314" s="26"/>
      <c r="C314" s="12" t="str">
        <f>_xlfn.IFNA(IFERROR(IF(FIND("_",$B314)&gt;0,INDEX(WP!$A$2:$F$23,MATCH(LEFT($B314,FIND("_",$B314)-1),WP!$E$2:$E$23,0),1),IF(FIND("-",$B314)&gt;0,INDEX(WP!$A$2:$F$23,MATCH(LEFT($B314,FIND("_",$B314)-1),WP!$E$2:$E$23,0),1))),INDEX(WP!$A$2:$F$23,MATCH(Results!$B314,WP!$E$2:$E$23,0),1)),"")</f>
        <v/>
      </c>
      <c r="D314" s="12" t="str">
        <f>IFERROR(IFERROR(IF(RIGHT(INDEX(WP!$A$2:$F$23,MATCH(IF(FIND("_",$B314)&gt;0,LEFT($B314,FIND("_",$B314)-1)),WP!$E$2:$E$23,0),2),6)="Series",LEFT(INDEX(WP!$A$2:$F$23,MATCH(IF(FIND("_",$B314)&gt;0,LEFT($B314,FIND("_",$B314)-1)),WP!$E$2:$E$23,0),2),5),""),IF(RIGHT(INDEX(WP!$A$2:$F$23,MATCH($B314,WP!$E$2:$E$23,0),2),6)="Series",LEFT(INDEX(WP!$A$2:$F$23,MATCH($B314,WP!$E$2:$E$23,0),2),5),"")),"")</f>
        <v/>
      </c>
      <c r="E314" s="17" t="str">
        <f>IFERROR(VLOOKUP(VALUE($D314),Series!$B$3:$F$11,2,0),"")</f>
        <v/>
      </c>
      <c r="F314" s="12" t="str">
        <f>_xlfn.IFNA(IF(IF($D314&lt;&gt;"",COUNTIF($E:$E,"="&amp;$D314),"")="",IF(RIGHT(IFERROR(IF(FIND("_",$B314)&gt;0,INDEX(WP!$A$2:$F$23,MATCH(LEFT($B314,FIND("_",$B314)-1),WP!$E$2:$E$23,0),2),IF(FIND("-",$B314)&gt;0,INDEX(WP!$A$2:$F$23,MATCH(LEFT($B314,FIND("_",$B314)-1),WP!$E$2:$E$23,0),2))),INDEX(WP!$A$2:$F$23,MATCH(Results!$B314,WP!$E$2:$E$23,0),2)),6)="Series",LEFT(IFERROR(IF(FIND("_",$B314)&gt;0,INDEX(WP!$A$2:$F$23,MATCH(LEFT($B314,FIND("_",$B314)-1),WP!$E$2:$E$23,0),2),IF(FIND("-",$B314)&gt;0,INDEX(WP!$A$2:$F$23,MATCH(LEFT($B314,FIND("_",$B314)-1),WP!$E$2:$E$23,0),2))),INDEX(WP!$A$2:$F$23,MATCH(Results!$B314,WP!$E$2:$E$23,0),2)),5),(IFERROR(IF(FIND("_",$B314)&gt;0,INDEX(WP!$A$2:$F$23,MATCH(LEFT($B314,FIND("_",$B314)-1),WP!$E$2:$E$23,0),2),IF(FIND("-",$B314)&gt;0,INDEX(WP!$A$2:$F$23,MATCH(LEFT($B314,FIND("_",$B314)-1),WP!$E$2:$E$23,0),2))),INDEX(WP!$A$2:$F$23,MATCH(Results!$B314,WP!$E$2:$E$23,0),2)))),IF(RIGHT(IFERROR(IF(FIND("_",$B314)&gt;0,INDEX(WP!$A$2:$F$23,MATCH(LEFT($B314,FIND("_",$B314)-1),WP!$E$2:$E$23,0),2),IF(FIND("-",$B314)&gt;0,INDEX(WP!$A$2:$F$23,MATCH(LEFT($B314,FIND("_",$B314)-1),WP!$E$2:$E$23,0),2))),INDEX(WP!$A$2:$F$23,MATCH(Results!$B314,WP!$E$2:$E$23,0),2)),6)="Series",LEFT(IFERROR(IF(FIND("_",$B314)&gt;0,INDEX(WP!$A$2:$F$23,MATCH(LEFT($B314,FIND("_",$B314)-1),WP!$E$2:$E$23,0),2),IF(FIND("-",$B314)&gt;0,INDEX(WP!$A$2:$F$23,MATCH(LEFT($B314,FIND("_",$B314)-1),WP!$E$2:$E$23,0),2))),INDEX(WP!$A$2:$F$23,MATCH(Results!$B314,WP!$E$2:$E$23,0),2)),5),(IFERROR(IF(FIND("_",$B314)&gt;0,INDEX(WP!$A$2:$F$23,MATCH(LEFT($B314,FIND("_",$B314)-1),WP!$E$2:$E$23,0),2),IF(FIND("-",$B314)&gt;0,INDEX(WP!$A$2:$F$23,MATCH(LEFT($B314,FIND("_",$B314)-1),WP!$E$2:$E$23,0),2))),INDEX(WP!$A$2:$F$23,MATCH(Results!$B314,WP!$E$2:$E$23,0),2))))&amp;"-"&amp;$I314),"")</f>
        <v/>
      </c>
      <c r="G314" s="17" t="str">
        <f>IF(LEN(_xlfn.IFNA(IF(IFERROR(IF(FIND("_",$B314)&gt;0,MID($B314,FIND("_",$B314)+1,LEN($B314)),IF(FIND("-",$B314)&gt;0,MID($B314,FIND("-",$B314)+1,LEN($B314)))),"")="",IFERROR(VLOOKUP($F314,WP!$B$2:$C$23,2,0),VLOOKUP($C314,Series!$A$3:$F$11,6,0)),IFERROR(VLOOKUP($F314,WP!$B$2:$C$23,2,0),VLOOKUP($C314,Series!$A$3:$F$11,6,0))&amp;" - "&amp;(IFERROR(IF(FIND("_",$B314)&gt;0,MID($B314,FIND("_",$B314)+1,LEN($B314)),IF(FIND("-",$B314)&gt;0,MID($B314,FIND("-",$B314)+1,LEN($B314)))),""))),""))&lt;64,_xlfn.IFNA(IF(IFERROR(IF(FIND("_",$B314)&gt;0,MID($B314,FIND("_",$B314)+1,LEN($B314)),IF(FIND("-",$B314)&gt;0,MID($B314,FIND("-",$B314)+1,LEN($B314)))),"")="",IFERROR(VLOOKUP($F314,WP!$B$2:$C$23,2,0),VLOOKUP($C314,Series!$A$3:$F$11,6,0)),IFERROR(VLOOKUP($F314,WP!$B$2:$C$23,2,0),VLOOKUP($C314,Series!$A$3:$F$11,6,0))&amp;" - "&amp;(IFERROR(IF(FIND("_",$B314)&gt;0,MID($B314,FIND("_",$B314)+1,LEN($B314)),IF(FIND("-",$B314)&gt;0,MID($B314,FIND("-",$B314)+1,LEN($B314)))),""))),""),LEFT((_xlfn.IFNA(IF(IFERROR(IF(FIND("_",$B314)&gt;0,MID($B314,FIND("_",$B314)+1,LEN($B314)),IF(FIND("-",$B314)&gt;0,MID($B314,FIND("-",$B314)+1,LEN($B314)))),"")="",IFERROR(VLOOKUP($F314,WP!$B$2:$C$23,2,0),VLOOKUP($C314,Series!$A$3:$F$11,6,0)),IFERROR(VLOOKUP($F314,WP!$B$2:$C$23,2,0),VLOOKUP($C314,Series!$A$3:$F$11,6,0))&amp;" - "&amp;(IFERROR(IF(FIND("_",$B314)&gt;0,MID($B314,FIND("_",$B314)+1,LEN($B314)),IF(FIND("-",$B314)&gt;0,MID($B314,FIND("-",$B314)+1,LEN($B314)))),""))),"")),64))</f>
        <v/>
      </c>
      <c r="H314" s="12"/>
      <c r="I314" s="12" t="str">
        <f>IF($D314&lt;&gt;"",COUNTIF($D$7:$D314,"="&amp;$D314),"")</f>
        <v/>
      </c>
      <c r="J314"/>
      <c r="K314" s="8"/>
      <c r="L314"/>
    </row>
    <row r="315" spans="1:12" x14ac:dyDescent="0.3">
      <c r="A315" s="1"/>
      <c r="B315" s="26"/>
      <c r="C315" s="12" t="str">
        <f>_xlfn.IFNA(IFERROR(IF(FIND("_",$B315)&gt;0,INDEX(WP!$A$2:$F$23,MATCH(LEFT($B315,FIND("_",$B315)-1),WP!$E$2:$E$23,0),1),IF(FIND("-",$B315)&gt;0,INDEX(WP!$A$2:$F$23,MATCH(LEFT($B315,FIND("_",$B315)-1),WP!$E$2:$E$23,0),1))),INDEX(WP!$A$2:$F$23,MATCH(Results!$B315,WP!$E$2:$E$23,0),1)),"")</f>
        <v/>
      </c>
      <c r="D315" s="12" t="str">
        <f>IFERROR(IFERROR(IF(RIGHT(INDEX(WP!$A$2:$F$23,MATCH(IF(FIND("_",$B315)&gt;0,LEFT($B315,FIND("_",$B315)-1)),WP!$E$2:$E$23,0),2),6)="Series",LEFT(INDEX(WP!$A$2:$F$23,MATCH(IF(FIND("_",$B315)&gt;0,LEFT($B315,FIND("_",$B315)-1)),WP!$E$2:$E$23,0),2),5),""),IF(RIGHT(INDEX(WP!$A$2:$F$23,MATCH($B315,WP!$E$2:$E$23,0),2),6)="Series",LEFT(INDEX(WP!$A$2:$F$23,MATCH($B315,WP!$E$2:$E$23,0),2),5),"")),"")</f>
        <v/>
      </c>
      <c r="E315" s="17" t="str">
        <f>IFERROR(VLOOKUP(VALUE($D315),Series!$B$3:$F$11,2,0),"")</f>
        <v/>
      </c>
      <c r="F315" s="12" t="str">
        <f>_xlfn.IFNA(IF(IF($D315&lt;&gt;"",COUNTIF($E:$E,"="&amp;$D315),"")="",IF(RIGHT(IFERROR(IF(FIND("_",$B315)&gt;0,INDEX(WP!$A$2:$F$23,MATCH(LEFT($B315,FIND("_",$B315)-1),WP!$E$2:$E$23,0),2),IF(FIND("-",$B315)&gt;0,INDEX(WP!$A$2:$F$23,MATCH(LEFT($B315,FIND("_",$B315)-1),WP!$E$2:$E$23,0),2))),INDEX(WP!$A$2:$F$23,MATCH(Results!$B315,WP!$E$2:$E$23,0),2)),6)="Series",LEFT(IFERROR(IF(FIND("_",$B315)&gt;0,INDEX(WP!$A$2:$F$23,MATCH(LEFT($B315,FIND("_",$B315)-1),WP!$E$2:$E$23,0),2),IF(FIND("-",$B315)&gt;0,INDEX(WP!$A$2:$F$23,MATCH(LEFT($B315,FIND("_",$B315)-1),WP!$E$2:$E$23,0),2))),INDEX(WP!$A$2:$F$23,MATCH(Results!$B315,WP!$E$2:$E$23,0),2)),5),(IFERROR(IF(FIND("_",$B315)&gt;0,INDEX(WP!$A$2:$F$23,MATCH(LEFT($B315,FIND("_",$B315)-1),WP!$E$2:$E$23,0),2),IF(FIND("-",$B315)&gt;0,INDEX(WP!$A$2:$F$23,MATCH(LEFT($B315,FIND("_",$B315)-1),WP!$E$2:$E$23,0),2))),INDEX(WP!$A$2:$F$23,MATCH(Results!$B315,WP!$E$2:$E$23,0),2)))),IF(RIGHT(IFERROR(IF(FIND("_",$B315)&gt;0,INDEX(WP!$A$2:$F$23,MATCH(LEFT($B315,FIND("_",$B315)-1),WP!$E$2:$E$23,0),2),IF(FIND("-",$B315)&gt;0,INDEX(WP!$A$2:$F$23,MATCH(LEFT($B315,FIND("_",$B315)-1),WP!$E$2:$E$23,0),2))),INDEX(WP!$A$2:$F$23,MATCH(Results!$B315,WP!$E$2:$E$23,0),2)),6)="Series",LEFT(IFERROR(IF(FIND("_",$B315)&gt;0,INDEX(WP!$A$2:$F$23,MATCH(LEFT($B315,FIND("_",$B315)-1),WP!$E$2:$E$23,0),2),IF(FIND("-",$B315)&gt;0,INDEX(WP!$A$2:$F$23,MATCH(LEFT($B315,FIND("_",$B315)-1),WP!$E$2:$E$23,0),2))),INDEX(WP!$A$2:$F$23,MATCH(Results!$B315,WP!$E$2:$E$23,0),2)),5),(IFERROR(IF(FIND("_",$B315)&gt;0,INDEX(WP!$A$2:$F$23,MATCH(LEFT($B315,FIND("_",$B315)-1),WP!$E$2:$E$23,0),2),IF(FIND("-",$B315)&gt;0,INDEX(WP!$A$2:$F$23,MATCH(LEFT($B315,FIND("_",$B315)-1),WP!$E$2:$E$23,0),2))),INDEX(WP!$A$2:$F$23,MATCH(Results!$B315,WP!$E$2:$E$23,0),2))))&amp;"-"&amp;$I315),"")</f>
        <v/>
      </c>
      <c r="G315" s="17" t="str">
        <f>IF(LEN(_xlfn.IFNA(IF(IFERROR(IF(FIND("_",$B315)&gt;0,MID($B315,FIND("_",$B315)+1,LEN($B315)),IF(FIND("-",$B315)&gt;0,MID($B315,FIND("-",$B315)+1,LEN($B315)))),"")="",IFERROR(VLOOKUP($F315,WP!$B$2:$C$23,2,0),VLOOKUP($C315,Series!$A$3:$F$11,6,0)),IFERROR(VLOOKUP($F315,WP!$B$2:$C$23,2,0),VLOOKUP($C315,Series!$A$3:$F$11,6,0))&amp;" - "&amp;(IFERROR(IF(FIND("_",$B315)&gt;0,MID($B315,FIND("_",$B315)+1,LEN($B315)),IF(FIND("-",$B315)&gt;0,MID($B315,FIND("-",$B315)+1,LEN($B315)))),""))),""))&lt;64,_xlfn.IFNA(IF(IFERROR(IF(FIND("_",$B315)&gt;0,MID($B315,FIND("_",$B315)+1,LEN($B315)),IF(FIND("-",$B315)&gt;0,MID($B315,FIND("-",$B315)+1,LEN($B315)))),"")="",IFERROR(VLOOKUP($F315,WP!$B$2:$C$23,2,0),VLOOKUP($C315,Series!$A$3:$F$11,6,0)),IFERROR(VLOOKUP($F315,WP!$B$2:$C$23,2,0),VLOOKUP($C315,Series!$A$3:$F$11,6,0))&amp;" - "&amp;(IFERROR(IF(FIND("_",$B315)&gt;0,MID($B315,FIND("_",$B315)+1,LEN($B315)),IF(FIND("-",$B315)&gt;0,MID($B315,FIND("-",$B315)+1,LEN($B315)))),""))),""),LEFT((_xlfn.IFNA(IF(IFERROR(IF(FIND("_",$B315)&gt;0,MID($B315,FIND("_",$B315)+1,LEN($B315)),IF(FIND("-",$B315)&gt;0,MID($B315,FIND("-",$B315)+1,LEN($B315)))),"")="",IFERROR(VLOOKUP($F315,WP!$B$2:$C$23,2,0),VLOOKUP($C315,Series!$A$3:$F$11,6,0)),IFERROR(VLOOKUP($F315,WP!$B$2:$C$23,2,0),VLOOKUP($C315,Series!$A$3:$F$11,6,0))&amp;" - "&amp;(IFERROR(IF(FIND("_",$B315)&gt;0,MID($B315,FIND("_",$B315)+1,LEN($B315)),IF(FIND("-",$B315)&gt;0,MID($B315,FIND("-",$B315)+1,LEN($B315)))),""))),"")),64))</f>
        <v/>
      </c>
      <c r="H315" s="12"/>
      <c r="I315" s="12" t="str">
        <f>IF($D315&lt;&gt;"",COUNTIF($D$7:$D315,"="&amp;$D315),"")</f>
        <v/>
      </c>
      <c r="J315"/>
      <c r="K315" s="8"/>
      <c r="L315"/>
    </row>
    <row r="316" spans="1:12" x14ac:dyDescent="0.3">
      <c r="A316" s="1"/>
      <c r="B316" s="26"/>
      <c r="C316" s="12" t="str">
        <f>_xlfn.IFNA(IFERROR(IF(FIND("_",$B316)&gt;0,INDEX(WP!$A$2:$F$23,MATCH(LEFT($B316,FIND("_",$B316)-1),WP!$E$2:$E$23,0),1),IF(FIND("-",$B316)&gt;0,INDEX(WP!$A$2:$F$23,MATCH(LEFT($B316,FIND("_",$B316)-1),WP!$E$2:$E$23,0),1))),INDEX(WP!$A$2:$F$23,MATCH(Results!$B316,WP!$E$2:$E$23,0),1)),"")</f>
        <v/>
      </c>
      <c r="D316" s="12" t="str">
        <f>IFERROR(IFERROR(IF(RIGHT(INDEX(WP!$A$2:$F$23,MATCH(IF(FIND("_",$B316)&gt;0,LEFT($B316,FIND("_",$B316)-1)),WP!$E$2:$E$23,0),2),6)="Series",LEFT(INDEX(WP!$A$2:$F$23,MATCH(IF(FIND("_",$B316)&gt;0,LEFT($B316,FIND("_",$B316)-1)),WP!$E$2:$E$23,0),2),5),""),IF(RIGHT(INDEX(WP!$A$2:$F$23,MATCH($B316,WP!$E$2:$E$23,0),2),6)="Series",LEFT(INDEX(WP!$A$2:$F$23,MATCH($B316,WP!$E$2:$E$23,0),2),5),"")),"")</f>
        <v/>
      </c>
      <c r="E316" s="17" t="str">
        <f>IFERROR(VLOOKUP(VALUE($D316),Series!$B$3:$F$11,2,0),"")</f>
        <v/>
      </c>
      <c r="F316" s="12" t="str">
        <f>_xlfn.IFNA(IF(IF($D316&lt;&gt;"",COUNTIF($E:$E,"="&amp;$D316),"")="",IF(RIGHT(IFERROR(IF(FIND("_",$B316)&gt;0,INDEX(WP!$A$2:$F$23,MATCH(LEFT($B316,FIND("_",$B316)-1),WP!$E$2:$E$23,0),2),IF(FIND("-",$B316)&gt;0,INDEX(WP!$A$2:$F$23,MATCH(LEFT($B316,FIND("_",$B316)-1),WP!$E$2:$E$23,0),2))),INDEX(WP!$A$2:$F$23,MATCH(Results!$B316,WP!$E$2:$E$23,0),2)),6)="Series",LEFT(IFERROR(IF(FIND("_",$B316)&gt;0,INDEX(WP!$A$2:$F$23,MATCH(LEFT($B316,FIND("_",$B316)-1),WP!$E$2:$E$23,0),2),IF(FIND("-",$B316)&gt;0,INDEX(WP!$A$2:$F$23,MATCH(LEFT($B316,FIND("_",$B316)-1),WP!$E$2:$E$23,0),2))),INDEX(WP!$A$2:$F$23,MATCH(Results!$B316,WP!$E$2:$E$23,0),2)),5),(IFERROR(IF(FIND("_",$B316)&gt;0,INDEX(WP!$A$2:$F$23,MATCH(LEFT($B316,FIND("_",$B316)-1),WP!$E$2:$E$23,0),2),IF(FIND("-",$B316)&gt;0,INDEX(WP!$A$2:$F$23,MATCH(LEFT($B316,FIND("_",$B316)-1),WP!$E$2:$E$23,0),2))),INDEX(WP!$A$2:$F$23,MATCH(Results!$B316,WP!$E$2:$E$23,0),2)))),IF(RIGHT(IFERROR(IF(FIND("_",$B316)&gt;0,INDEX(WP!$A$2:$F$23,MATCH(LEFT($B316,FIND("_",$B316)-1),WP!$E$2:$E$23,0),2),IF(FIND("-",$B316)&gt;0,INDEX(WP!$A$2:$F$23,MATCH(LEFT($B316,FIND("_",$B316)-1),WP!$E$2:$E$23,0),2))),INDEX(WP!$A$2:$F$23,MATCH(Results!$B316,WP!$E$2:$E$23,0),2)),6)="Series",LEFT(IFERROR(IF(FIND("_",$B316)&gt;0,INDEX(WP!$A$2:$F$23,MATCH(LEFT($B316,FIND("_",$B316)-1),WP!$E$2:$E$23,0),2),IF(FIND("-",$B316)&gt;0,INDEX(WP!$A$2:$F$23,MATCH(LEFT($B316,FIND("_",$B316)-1),WP!$E$2:$E$23,0),2))),INDEX(WP!$A$2:$F$23,MATCH(Results!$B316,WP!$E$2:$E$23,0),2)),5),(IFERROR(IF(FIND("_",$B316)&gt;0,INDEX(WP!$A$2:$F$23,MATCH(LEFT($B316,FIND("_",$B316)-1),WP!$E$2:$E$23,0),2),IF(FIND("-",$B316)&gt;0,INDEX(WP!$A$2:$F$23,MATCH(LEFT($B316,FIND("_",$B316)-1),WP!$E$2:$E$23,0),2))),INDEX(WP!$A$2:$F$23,MATCH(Results!$B316,WP!$E$2:$E$23,0),2))))&amp;"-"&amp;$I316),"")</f>
        <v/>
      </c>
      <c r="G316" s="17" t="str">
        <f>IF(LEN(_xlfn.IFNA(IF(IFERROR(IF(FIND("_",$B316)&gt;0,MID($B316,FIND("_",$B316)+1,LEN($B316)),IF(FIND("-",$B316)&gt;0,MID($B316,FIND("-",$B316)+1,LEN($B316)))),"")="",IFERROR(VLOOKUP($F316,WP!$B$2:$C$23,2,0),VLOOKUP($C316,Series!$A$3:$F$11,6,0)),IFERROR(VLOOKUP($F316,WP!$B$2:$C$23,2,0),VLOOKUP($C316,Series!$A$3:$F$11,6,0))&amp;" - "&amp;(IFERROR(IF(FIND("_",$B316)&gt;0,MID($B316,FIND("_",$B316)+1,LEN($B316)),IF(FIND("-",$B316)&gt;0,MID($B316,FIND("-",$B316)+1,LEN($B316)))),""))),""))&lt;64,_xlfn.IFNA(IF(IFERROR(IF(FIND("_",$B316)&gt;0,MID($B316,FIND("_",$B316)+1,LEN($B316)),IF(FIND("-",$B316)&gt;0,MID($B316,FIND("-",$B316)+1,LEN($B316)))),"")="",IFERROR(VLOOKUP($F316,WP!$B$2:$C$23,2,0),VLOOKUP($C316,Series!$A$3:$F$11,6,0)),IFERROR(VLOOKUP($F316,WP!$B$2:$C$23,2,0),VLOOKUP($C316,Series!$A$3:$F$11,6,0))&amp;" - "&amp;(IFERROR(IF(FIND("_",$B316)&gt;0,MID($B316,FIND("_",$B316)+1,LEN($B316)),IF(FIND("-",$B316)&gt;0,MID($B316,FIND("-",$B316)+1,LEN($B316)))),""))),""),LEFT((_xlfn.IFNA(IF(IFERROR(IF(FIND("_",$B316)&gt;0,MID($B316,FIND("_",$B316)+1,LEN($B316)),IF(FIND("-",$B316)&gt;0,MID($B316,FIND("-",$B316)+1,LEN($B316)))),"")="",IFERROR(VLOOKUP($F316,WP!$B$2:$C$23,2,0),VLOOKUP($C316,Series!$A$3:$F$11,6,0)),IFERROR(VLOOKUP($F316,WP!$B$2:$C$23,2,0),VLOOKUP($C316,Series!$A$3:$F$11,6,0))&amp;" - "&amp;(IFERROR(IF(FIND("_",$B316)&gt;0,MID($B316,FIND("_",$B316)+1,LEN($B316)),IF(FIND("-",$B316)&gt;0,MID($B316,FIND("-",$B316)+1,LEN($B316)))),""))),"")),64))</f>
        <v/>
      </c>
      <c r="H316" s="12"/>
      <c r="I316" s="12" t="str">
        <f>IF($D316&lt;&gt;"",COUNTIF($D$7:$D316,"="&amp;$D316),"")</f>
        <v/>
      </c>
      <c r="J316"/>
      <c r="K316" s="8"/>
      <c r="L316"/>
    </row>
    <row r="317" spans="1:12" x14ac:dyDescent="0.3">
      <c r="A317" s="1"/>
      <c r="B317" s="26"/>
      <c r="C317" s="12" t="str">
        <f>_xlfn.IFNA(IFERROR(IF(FIND("_",$B317)&gt;0,INDEX(WP!$A$2:$F$23,MATCH(LEFT($B317,FIND("_",$B317)-1),WP!$E$2:$E$23,0),1),IF(FIND("-",$B317)&gt;0,INDEX(WP!$A$2:$F$23,MATCH(LEFT($B317,FIND("_",$B317)-1),WP!$E$2:$E$23,0),1))),INDEX(WP!$A$2:$F$23,MATCH(Results!$B317,WP!$E$2:$E$23,0),1)),"")</f>
        <v/>
      </c>
      <c r="D317" s="12" t="str">
        <f>IFERROR(IFERROR(IF(RIGHT(INDEX(WP!$A$2:$F$23,MATCH(IF(FIND("_",$B317)&gt;0,LEFT($B317,FIND("_",$B317)-1)),WP!$E$2:$E$23,0),2),6)="Series",LEFT(INDEX(WP!$A$2:$F$23,MATCH(IF(FIND("_",$B317)&gt;0,LEFT($B317,FIND("_",$B317)-1)),WP!$E$2:$E$23,0),2),5),""),IF(RIGHT(INDEX(WP!$A$2:$F$23,MATCH($B317,WP!$E$2:$E$23,0),2),6)="Series",LEFT(INDEX(WP!$A$2:$F$23,MATCH($B317,WP!$E$2:$E$23,0),2),5),"")),"")</f>
        <v/>
      </c>
      <c r="E317" s="17" t="str">
        <f>IFERROR(VLOOKUP(VALUE($D317),Series!$B$3:$F$11,2,0),"")</f>
        <v/>
      </c>
      <c r="F317" s="12" t="str">
        <f>_xlfn.IFNA(IF(IF($D317&lt;&gt;"",COUNTIF($E:$E,"="&amp;$D317),"")="",IF(RIGHT(IFERROR(IF(FIND("_",$B317)&gt;0,INDEX(WP!$A$2:$F$23,MATCH(LEFT($B317,FIND("_",$B317)-1),WP!$E$2:$E$23,0),2),IF(FIND("-",$B317)&gt;0,INDEX(WP!$A$2:$F$23,MATCH(LEFT($B317,FIND("_",$B317)-1),WP!$E$2:$E$23,0),2))),INDEX(WP!$A$2:$F$23,MATCH(Results!$B317,WP!$E$2:$E$23,0),2)),6)="Series",LEFT(IFERROR(IF(FIND("_",$B317)&gt;0,INDEX(WP!$A$2:$F$23,MATCH(LEFT($B317,FIND("_",$B317)-1),WP!$E$2:$E$23,0),2),IF(FIND("-",$B317)&gt;0,INDEX(WP!$A$2:$F$23,MATCH(LEFT($B317,FIND("_",$B317)-1),WP!$E$2:$E$23,0),2))),INDEX(WP!$A$2:$F$23,MATCH(Results!$B317,WP!$E$2:$E$23,0),2)),5),(IFERROR(IF(FIND("_",$B317)&gt;0,INDEX(WP!$A$2:$F$23,MATCH(LEFT($B317,FIND("_",$B317)-1),WP!$E$2:$E$23,0),2),IF(FIND("-",$B317)&gt;0,INDEX(WP!$A$2:$F$23,MATCH(LEFT($B317,FIND("_",$B317)-1),WP!$E$2:$E$23,0),2))),INDEX(WP!$A$2:$F$23,MATCH(Results!$B317,WP!$E$2:$E$23,0),2)))),IF(RIGHT(IFERROR(IF(FIND("_",$B317)&gt;0,INDEX(WP!$A$2:$F$23,MATCH(LEFT($B317,FIND("_",$B317)-1),WP!$E$2:$E$23,0),2),IF(FIND("-",$B317)&gt;0,INDEX(WP!$A$2:$F$23,MATCH(LEFT($B317,FIND("_",$B317)-1),WP!$E$2:$E$23,0),2))),INDEX(WP!$A$2:$F$23,MATCH(Results!$B317,WP!$E$2:$E$23,0),2)),6)="Series",LEFT(IFERROR(IF(FIND("_",$B317)&gt;0,INDEX(WP!$A$2:$F$23,MATCH(LEFT($B317,FIND("_",$B317)-1),WP!$E$2:$E$23,0),2),IF(FIND("-",$B317)&gt;0,INDEX(WP!$A$2:$F$23,MATCH(LEFT($B317,FIND("_",$B317)-1),WP!$E$2:$E$23,0),2))),INDEX(WP!$A$2:$F$23,MATCH(Results!$B317,WP!$E$2:$E$23,0),2)),5),(IFERROR(IF(FIND("_",$B317)&gt;0,INDEX(WP!$A$2:$F$23,MATCH(LEFT($B317,FIND("_",$B317)-1),WP!$E$2:$E$23,0),2),IF(FIND("-",$B317)&gt;0,INDEX(WP!$A$2:$F$23,MATCH(LEFT($B317,FIND("_",$B317)-1),WP!$E$2:$E$23,0),2))),INDEX(WP!$A$2:$F$23,MATCH(Results!$B317,WP!$E$2:$E$23,0),2))))&amp;"-"&amp;$I317),"")</f>
        <v/>
      </c>
      <c r="G317" s="17" t="str">
        <f>IF(LEN(_xlfn.IFNA(IF(IFERROR(IF(FIND("_",$B317)&gt;0,MID($B317,FIND("_",$B317)+1,LEN($B317)),IF(FIND("-",$B317)&gt;0,MID($B317,FIND("-",$B317)+1,LEN($B317)))),"")="",IFERROR(VLOOKUP($F317,WP!$B$2:$C$23,2,0),VLOOKUP($C317,Series!$A$3:$F$11,6,0)),IFERROR(VLOOKUP($F317,WP!$B$2:$C$23,2,0),VLOOKUP($C317,Series!$A$3:$F$11,6,0))&amp;" - "&amp;(IFERROR(IF(FIND("_",$B317)&gt;0,MID($B317,FIND("_",$B317)+1,LEN($B317)),IF(FIND("-",$B317)&gt;0,MID($B317,FIND("-",$B317)+1,LEN($B317)))),""))),""))&lt;64,_xlfn.IFNA(IF(IFERROR(IF(FIND("_",$B317)&gt;0,MID($B317,FIND("_",$B317)+1,LEN($B317)),IF(FIND("-",$B317)&gt;0,MID($B317,FIND("-",$B317)+1,LEN($B317)))),"")="",IFERROR(VLOOKUP($F317,WP!$B$2:$C$23,2,0),VLOOKUP($C317,Series!$A$3:$F$11,6,0)),IFERROR(VLOOKUP($F317,WP!$B$2:$C$23,2,0),VLOOKUP($C317,Series!$A$3:$F$11,6,0))&amp;" - "&amp;(IFERROR(IF(FIND("_",$B317)&gt;0,MID($B317,FIND("_",$B317)+1,LEN($B317)),IF(FIND("-",$B317)&gt;0,MID($B317,FIND("-",$B317)+1,LEN($B317)))),""))),""),LEFT((_xlfn.IFNA(IF(IFERROR(IF(FIND("_",$B317)&gt;0,MID($B317,FIND("_",$B317)+1,LEN($B317)),IF(FIND("-",$B317)&gt;0,MID($B317,FIND("-",$B317)+1,LEN($B317)))),"")="",IFERROR(VLOOKUP($F317,WP!$B$2:$C$23,2,0),VLOOKUP($C317,Series!$A$3:$F$11,6,0)),IFERROR(VLOOKUP($F317,WP!$B$2:$C$23,2,0),VLOOKUP($C317,Series!$A$3:$F$11,6,0))&amp;" - "&amp;(IFERROR(IF(FIND("_",$B317)&gt;0,MID($B317,FIND("_",$B317)+1,LEN($B317)),IF(FIND("-",$B317)&gt;0,MID($B317,FIND("-",$B317)+1,LEN($B317)))),""))),"")),64))</f>
        <v/>
      </c>
      <c r="H317" s="12"/>
      <c r="I317" s="12" t="str">
        <f>IF($D317&lt;&gt;"",COUNTIF($D$7:$D317,"="&amp;$D317),"")</f>
        <v/>
      </c>
      <c r="J317"/>
      <c r="K317" s="8"/>
      <c r="L317"/>
    </row>
    <row r="318" spans="1:12" x14ac:dyDescent="0.3">
      <c r="A318" s="1"/>
      <c r="B318" s="26"/>
      <c r="C318" s="12" t="str">
        <f>_xlfn.IFNA(IFERROR(IF(FIND("_",$B318)&gt;0,INDEX(WP!$A$2:$F$23,MATCH(LEFT($B318,FIND("_",$B318)-1),WP!$E$2:$E$23,0),1),IF(FIND("-",$B318)&gt;0,INDEX(WP!$A$2:$F$23,MATCH(LEFT($B318,FIND("_",$B318)-1),WP!$E$2:$E$23,0),1))),INDEX(WP!$A$2:$F$23,MATCH(Results!$B318,WP!$E$2:$E$23,0),1)),"")</f>
        <v/>
      </c>
      <c r="D318" s="12" t="str">
        <f>IFERROR(IFERROR(IF(RIGHT(INDEX(WP!$A$2:$F$23,MATCH(IF(FIND("_",$B318)&gt;0,LEFT($B318,FIND("_",$B318)-1)),WP!$E$2:$E$23,0),2),6)="Series",LEFT(INDEX(WP!$A$2:$F$23,MATCH(IF(FIND("_",$B318)&gt;0,LEFT($B318,FIND("_",$B318)-1)),WP!$E$2:$E$23,0),2),5),""),IF(RIGHT(INDEX(WP!$A$2:$F$23,MATCH($B318,WP!$E$2:$E$23,0),2),6)="Series",LEFT(INDEX(WP!$A$2:$F$23,MATCH($B318,WP!$E$2:$E$23,0),2),5),"")),"")</f>
        <v/>
      </c>
      <c r="E318" s="17" t="str">
        <f>IFERROR(VLOOKUP(VALUE($D318),Series!$B$3:$F$11,2,0),"")</f>
        <v/>
      </c>
      <c r="F318" s="12" t="str">
        <f>_xlfn.IFNA(IF(IF($D318&lt;&gt;"",COUNTIF($E:$E,"="&amp;$D318),"")="",IF(RIGHT(IFERROR(IF(FIND("_",$B318)&gt;0,INDEX(WP!$A$2:$F$23,MATCH(LEFT($B318,FIND("_",$B318)-1),WP!$E$2:$E$23,0),2),IF(FIND("-",$B318)&gt;0,INDEX(WP!$A$2:$F$23,MATCH(LEFT($B318,FIND("_",$B318)-1),WP!$E$2:$E$23,0),2))),INDEX(WP!$A$2:$F$23,MATCH(Results!$B318,WP!$E$2:$E$23,0),2)),6)="Series",LEFT(IFERROR(IF(FIND("_",$B318)&gt;0,INDEX(WP!$A$2:$F$23,MATCH(LEFT($B318,FIND("_",$B318)-1),WP!$E$2:$E$23,0),2),IF(FIND("-",$B318)&gt;0,INDEX(WP!$A$2:$F$23,MATCH(LEFT($B318,FIND("_",$B318)-1),WP!$E$2:$E$23,0),2))),INDEX(WP!$A$2:$F$23,MATCH(Results!$B318,WP!$E$2:$E$23,0),2)),5),(IFERROR(IF(FIND("_",$B318)&gt;0,INDEX(WP!$A$2:$F$23,MATCH(LEFT($B318,FIND("_",$B318)-1),WP!$E$2:$E$23,0),2),IF(FIND("-",$B318)&gt;0,INDEX(WP!$A$2:$F$23,MATCH(LEFT($B318,FIND("_",$B318)-1),WP!$E$2:$E$23,0),2))),INDEX(WP!$A$2:$F$23,MATCH(Results!$B318,WP!$E$2:$E$23,0),2)))),IF(RIGHT(IFERROR(IF(FIND("_",$B318)&gt;0,INDEX(WP!$A$2:$F$23,MATCH(LEFT($B318,FIND("_",$B318)-1),WP!$E$2:$E$23,0),2),IF(FIND("-",$B318)&gt;0,INDEX(WP!$A$2:$F$23,MATCH(LEFT($B318,FIND("_",$B318)-1),WP!$E$2:$E$23,0),2))),INDEX(WP!$A$2:$F$23,MATCH(Results!$B318,WP!$E$2:$E$23,0),2)),6)="Series",LEFT(IFERROR(IF(FIND("_",$B318)&gt;0,INDEX(WP!$A$2:$F$23,MATCH(LEFT($B318,FIND("_",$B318)-1),WP!$E$2:$E$23,0),2),IF(FIND("-",$B318)&gt;0,INDEX(WP!$A$2:$F$23,MATCH(LEFT($B318,FIND("_",$B318)-1),WP!$E$2:$E$23,0),2))),INDEX(WP!$A$2:$F$23,MATCH(Results!$B318,WP!$E$2:$E$23,0),2)),5),(IFERROR(IF(FIND("_",$B318)&gt;0,INDEX(WP!$A$2:$F$23,MATCH(LEFT($B318,FIND("_",$B318)-1),WP!$E$2:$E$23,0),2),IF(FIND("-",$B318)&gt;0,INDEX(WP!$A$2:$F$23,MATCH(LEFT($B318,FIND("_",$B318)-1),WP!$E$2:$E$23,0),2))),INDEX(WP!$A$2:$F$23,MATCH(Results!$B318,WP!$E$2:$E$23,0),2))))&amp;"-"&amp;$I318),"")</f>
        <v/>
      </c>
      <c r="G318" s="17" t="str">
        <f>IF(LEN(_xlfn.IFNA(IF(IFERROR(IF(FIND("_",$B318)&gt;0,MID($B318,FIND("_",$B318)+1,LEN($B318)),IF(FIND("-",$B318)&gt;0,MID($B318,FIND("-",$B318)+1,LEN($B318)))),"")="",IFERROR(VLOOKUP($F318,WP!$B$2:$C$23,2,0),VLOOKUP($C318,Series!$A$3:$F$11,6,0)),IFERROR(VLOOKUP($F318,WP!$B$2:$C$23,2,0),VLOOKUP($C318,Series!$A$3:$F$11,6,0))&amp;" - "&amp;(IFERROR(IF(FIND("_",$B318)&gt;0,MID($B318,FIND("_",$B318)+1,LEN($B318)),IF(FIND("-",$B318)&gt;0,MID($B318,FIND("-",$B318)+1,LEN($B318)))),""))),""))&lt;64,_xlfn.IFNA(IF(IFERROR(IF(FIND("_",$B318)&gt;0,MID($B318,FIND("_",$B318)+1,LEN($B318)),IF(FIND("-",$B318)&gt;0,MID($B318,FIND("-",$B318)+1,LEN($B318)))),"")="",IFERROR(VLOOKUP($F318,WP!$B$2:$C$23,2,0),VLOOKUP($C318,Series!$A$3:$F$11,6,0)),IFERROR(VLOOKUP($F318,WP!$B$2:$C$23,2,0),VLOOKUP($C318,Series!$A$3:$F$11,6,0))&amp;" - "&amp;(IFERROR(IF(FIND("_",$B318)&gt;0,MID($B318,FIND("_",$B318)+1,LEN($B318)),IF(FIND("-",$B318)&gt;0,MID($B318,FIND("-",$B318)+1,LEN($B318)))),""))),""),LEFT((_xlfn.IFNA(IF(IFERROR(IF(FIND("_",$B318)&gt;0,MID($B318,FIND("_",$B318)+1,LEN($B318)),IF(FIND("-",$B318)&gt;0,MID($B318,FIND("-",$B318)+1,LEN($B318)))),"")="",IFERROR(VLOOKUP($F318,WP!$B$2:$C$23,2,0),VLOOKUP($C318,Series!$A$3:$F$11,6,0)),IFERROR(VLOOKUP($F318,WP!$B$2:$C$23,2,0),VLOOKUP($C318,Series!$A$3:$F$11,6,0))&amp;" - "&amp;(IFERROR(IF(FIND("_",$B318)&gt;0,MID($B318,FIND("_",$B318)+1,LEN($B318)),IF(FIND("-",$B318)&gt;0,MID($B318,FIND("-",$B318)+1,LEN($B318)))),""))),"")),64))</f>
        <v/>
      </c>
      <c r="H318" s="12"/>
      <c r="I318" s="12" t="str">
        <f>IF($D318&lt;&gt;"",COUNTIF($D$7:$D318,"="&amp;$D318),"")</f>
        <v/>
      </c>
      <c r="J318"/>
      <c r="K318" s="8"/>
      <c r="L318"/>
    </row>
    <row r="319" spans="1:12" x14ac:dyDescent="0.3">
      <c r="A319" s="1"/>
      <c r="B319" s="26"/>
      <c r="C319" s="12" t="str">
        <f>_xlfn.IFNA(IFERROR(IF(FIND("_",$B319)&gt;0,INDEX(WP!$A$2:$F$23,MATCH(LEFT($B319,FIND("_",$B319)-1),WP!$E$2:$E$23,0),1),IF(FIND("-",$B319)&gt;0,INDEX(WP!$A$2:$F$23,MATCH(LEFT($B319,FIND("_",$B319)-1),WP!$E$2:$E$23,0),1))),INDEX(WP!$A$2:$F$23,MATCH(Results!$B319,WP!$E$2:$E$23,0),1)),"")</f>
        <v/>
      </c>
      <c r="D319" s="12" t="str">
        <f>IFERROR(IFERROR(IF(RIGHT(INDEX(WP!$A$2:$F$23,MATCH(IF(FIND("_",$B319)&gt;0,LEFT($B319,FIND("_",$B319)-1)),WP!$E$2:$E$23,0),2),6)="Series",LEFT(INDEX(WP!$A$2:$F$23,MATCH(IF(FIND("_",$B319)&gt;0,LEFT($B319,FIND("_",$B319)-1)),WP!$E$2:$E$23,0),2),5),""),IF(RIGHT(INDEX(WP!$A$2:$F$23,MATCH($B319,WP!$E$2:$E$23,0),2),6)="Series",LEFT(INDEX(WP!$A$2:$F$23,MATCH($B319,WP!$E$2:$E$23,0),2),5),"")),"")</f>
        <v/>
      </c>
      <c r="E319" s="17" t="str">
        <f>IFERROR(VLOOKUP(VALUE($D319),Series!$B$3:$F$11,2,0),"")</f>
        <v/>
      </c>
      <c r="F319" s="12" t="str">
        <f>_xlfn.IFNA(IF(IF($D319&lt;&gt;"",COUNTIF($E:$E,"="&amp;$D319),"")="",IF(RIGHT(IFERROR(IF(FIND("_",$B319)&gt;0,INDEX(WP!$A$2:$F$23,MATCH(LEFT($B319,FIND("_",$B319)-1),WP!$E$2:$E$23,0),2),IF(FIND("-",$B319)&gt;0,INDEX(WP!$A$2:$F$23,MATCH(LEFT($B319,FIND("_",$B319)-1),WP!$E$2:$E$23,0),2))),INDEX(WP!$A$2:$F$23,MATCH(Results!$B319,WP!$E$2:$E$23,0),2)),6)="Series",LEFT(IFERROR(IF(FIND("_",$B319)&gt;0,INDEX(WP!$A$2:$F$23,MATCH(LEFT($B319,FIND("_",$B319)-1),WP!$E$2:$E$23,0),2),IF(FIND("-",$B319)&gt;0,INDEX(WP!$A$2:$F$23,MATCH(LEFT($B319,FIND("_",$B319)-1),WP!$E$2:$E$23,0),2))),INDEX(WP!$A$2:$F$23,MATCH(Results!$B319,WP!$E$2:$E$23,0),2)),5),(IFERROR(IF(FIND("_",$B319)&gt;0,INDEX(WP!$A$2:$F$23,MATCH(LEFT($B319,FIND("_",$B319)-1),WP!$E$2:$E$23,0),2),IF(FIND("-",$B319)&gt;0,INDEX(WP!$A$2:$F$23,MATCH(LEFT($B319,FIND("_",$B319)-1),WP!$E$2:$E$23,0),2))),INDEX(WP!$A$2:$F$23,MATCH(Results!$B319,WP!$E$2:$E$23,0),2)))),IF(RIGHT(IFERROR(IF(FIND("_",$B319)&gt;0,INDEX(WP!$A$2:$F$23,MATCH(LEFT($B319,FIND("_",$B319)-1),WP!$E$2:$E$23,0),2),IF(FIND("-",$B319)&gt;0,INDEX(WP!$A$2:$F$23,MATCH(LEFT($B319,FIND("_",$B319)-1),WP!$E$2:$E$23,0),2))),INDEX(WP!$A$2:$F$23,MATCH(Results!$B319,WP!$E$2:$E$23,0),2)),6)="Series",LEFT(IFERROR(IF(FIND("_",$B319)&gt;0,INDEX(WP!$A$2:$F$23,MATCH(LEFT($B319,FIND("_",$B319)-1),WP!$E$2:$E$23,0),2),IF(FIND("-",$B319)&gt;0,INDEX(WP!$A$2:$F$23,MATCH(LEFT($B319,FIND("_",$B319)-1),WP!$E$2:$E$23,0),2))),INDEX(WP!$A$2:$F$23,MATCH(Results!$B319,WP!$E$2:$E$23,0),2)),5),(IFERROR(IF(FIND("_",$B319)&gt;0,INDEX(WP!$A$2:$F$23,MATCH(LEFT($B319,FIND("_",$B319)-1),WP!$E$2:$E$23,0),2),IF(FIND("-",$B319)&gt;0,INDEX(WP!$A$2:$F$23,MATCH(LEFT($B319,FIND("_",$B319)-1),WP!$E$2:$E$23,0),2))),INDEX(WP!$A$2:$F$23,MATCH(Results!$B319,WP!$E$2:$E$23,0),2))))&amp;"-"&amp;$I319),"")</f>
        <v/>
      </c>
      <c r="G319" s="17" t="str">
        <f>IF(LEN(_xlfn.IFNA(IF(IFERROR(IF(FIND("_",$B319)&gt;0,MID($B319,FIND("_",$B319)+1,LEN($B319)),IF(FIND("-",$B319)&gt;0,MID($B319,FIND("-",$B319)+1,LEN($B319)))),"")="",IFERROR(VLOOKUP($F319,WP!$B$2:$C$23,2,0),VLOOKUP($C319,Series!$A$3:$F$11,6,0)),IFERROR(VLOOKUP($F319,WP!$B$2:$C$23,2,0),VLOOKUP($C319,Series!$A$3:$F$11,6,0))&amp;" - "&amp;(IFERROR(IF(FIND("_",$B319)&gt;0,MID($B319,FIND("_",$B319)+1,LEN($B319)),IF(FIND("-",$B319)&gt;0,MID($B319,FIND("-",$B319)+1,LEN($B319)))),""))),""))&lt;64,_xlfn.IFNA(IF(IFERROR(IF(FIND("_",$B319)&gt;0,MID($B319,FIND("_",$B319)+1,LEN($B319)),IF(FIND("-",$B319)&gt;0,MID($B319,FIND("-",$B319)+1,LEN($B319)))),"")="",IFERROR(VLOOKUP($F319,WP!$B$2:$C$23,2,0),VLOOKUP($C319,Series!$A$3:$F$11,6,0)),IFERROR(VLOOKUP($F319,WP!$B$2:$C$23,2,0),VLOOKUP($C319,Series!$A$3:$F$11,6,0))&amp;" - "&amp;(IFERROR(IF(FIND("_",$B319)&gt;0,MID($B319,FIND("_",$B319)+1,LEN($B319)),IF(FIND("-",$B319)&gt;0,MID($B319,FIND("-",$B319)+1,LEN($B319)))),""))),""),LEFT((_xlfn.IFNA(IF(IFERROR(IF(FIND("_",$B319)&gt;0,MID($B319,FIND("_",$B319)+1,LEN($B319)),IF(FIND("-",$B319)&gt;0,MID($B319,FIND("-",$B319)+1,LEN($B319)))),"")="",IFERROR(VLOOKUP($F319,WP!$B$2:$C$23,2,0),VLOOKUP($C319,Series!$A$3:$F$11,6,0)),IFERROR(VLOOKUP($F319,WP!$B$2:$C$23,2,0),VLOOKUP($C319,Series!$A$3:$F$11,6,0))&amp;" - "&amp;(IFERROR(IF(FIND("_",$B319)&gt;0,MID($B319,FIND("_",$B319)+1,LEN($B319)),IF(FIND("-",$B319)&gt;0,MID($B319,FIND("-",$B319)+1,LEN($B319)))),""))),"")),64))</f>
        <v/>
      </c>
      <c r="H319" s="12"/>
      <c r="I319" s="12" t="str">
        <f>IF($D319&lt;&gt;"",COUNTIF($D$7:$D319,"="&amp;$D319),"")</f>
        <v/>
      </c>
      <c r="J319"/>
      <c r="K319" s="8"/>
      <c r="L319"/>
    </row>
    <row r="320" spans="1:12" x14ac:dyDescent="0.3">
      <c r="A320" s="1"/>
      <c r="B320" s="26"/>
      <c r="C320" s="12" t="str">
        <f>_xlfn.IFNA(IFERROR(IF(FIND("_",$B320)&gt;0,INDEX(WP!$A$2:$F$23,MATCH(LEFT($B320,FIND("_",$B320)-1),WP!$E$2:$E$23,0),1),IF(FIND("-",$B320)&gt;0,INDEX(WP!$A$2:$F$23,MATCH(LEFT($B320,FIND("_",$B320)-1),WP!$E$2:$E$23,0),1))),INDEX(WP!$A$2:$F$23,MATCH(Results!$B320,WP!$E$2:$E$23,0),1)),"")</f>
        <v/>
      </c>
      <c r="D320" s="12" t="str">
        <f>IFERROR(IFERROR(IF(RIGHT(INDEX(WP!$A$2:$F$23,MATCH(IF(FIND("_",$B320)&gt;0,LEFT($B320,FIND("_",$B320)-1)),WP!$E$2:$E$23,0),2),6)="Series",LEFT(INDEX(WP!$A$2:$F$23,MATCH(IF(FIND("_",$B320)&gt;0,LEFT($B320,FIND("_",$B320)-1)),WP!$E$2:$E$23,0),2),5),""),IF(RIGHT(INDEX(WP!$A$2:$F$23,MATCH($B320,WP!$E$2:$E$23,0),2),6)="Series",LEFT(INDEX(WP!$A$2:$F$23,MATCH($B320,WP!$E$2:$E$23,0),2),5),"")),"")</f>
        <v/>
      </c>
      <c r="E320" s="17" t="str">
        <f>IFERROR(VLOOKUP(VALUE($D320),Series!$B$3:$F$11,2,0),"")</f>
        <v/>
      </c>
      <c r="F320" s="12" t="str">
        <f>_xlfn.IFNA(IF(IF($D320&lt;&gt;"",COUNTIF($E:$E,"="&amp;$D320),"")="",IF(RIGHT(IFERROR(IF(FIND("_",$B320)&gt;0,INDEX(WP!$A$2:$F$23,MATCH(LEFT($B320,FIND("_",$B320)-1),WP!$E$2:$E$23,0),2),IF(FIND("-",$B320)&gt;0,INDEX(WP!$A$2:$F$23,MATCH(LEFT($B320,FIND("_",$B320)-1),WP!$E$2:$E$23,0),2))),INDEX(WP!$A$2:$F$23,MATCH(Results!$B320,WP!$E$2:$E$23,0),2)),6)="Series",LEFT(IFERROR(IF(FIND("_",$B320)&gt;0,INDEX(WP!$A$2:$F$23,MATCH(LEFT($B320,FIND("_",$B320)-1),WP!$E$2:$E$23,0),2),IF(FIND("-",$B320)&gt;0,INDEX(WP!$A$2:$F$23,MATCH(LEFT($B320,FIND("_",$B320)-1),WP!$E$2:$E$23,0),2))),INDEX(WP!$A$2:$F$23,MATCH(Results!$B320,WP!$E$2:$E$23,0),2)),5),(IFERROR(IF(FIND("_",$B320)&gt;0,INDEX(WP!$A$2:$F$23,MATCH(LEFT($B320,FIND("_",$B320)-1),WP!$E$2:$E$23,0),2),IF(FIND("-",$B320)&gt;0,INDEX(WP!$A$2:$F$23,MATCH(LEFT($B320,FIND("_",$B320)-1),WP!$E$2:$E$23,0),2))),INDEX(WP!$A$2:$F$23,MATCH(Results!$B320,WP!$E$2:$E$23,0),2)))),IF(RIGHT(IFERROR(IF(FIND("_",$B320)&gt;0,INDEX(WP!$A$2:$F$23,MATCH(LEFT($B320,FIND("_",$B320)-1),WP!$E$2:$E$23,0),2),IF(FIND("-",$B320)&gt;0,INDEX(WP!$A$2:$F$23,MATCH(LEFT($B320,FIND("_",$B320)-1),WP!$E$2:$E$23,0),2))),INDEX(WP!$A$2:$F$23,MATCH(Results!$B320,WP!$E$2:$E$23,0),2)),6)="Series",LEFT(IFERROR(IF(FIND("_",$B320)&gt;0,INDEX(WP!$A$2:$F$23,MATCH(LEFT($B320,FIND("_",$B320)-1),WP!$E$2:$E$23,0),2),IF(FIND("-",$B320)&gt;0,INDEX(WP!$A$2:$F$23,MATCH(LEFT($B320,FIND("_",$B320)-1),WP!$E$2:$E$23,0),2))),INDEX(WP!$A$2:$F$23,MATCH(Results!$B320,WP!$E$2:$E$23,0),2)),5),(IFERROR(IF(FIND("_",$B320)&gt;0,INDEX(WP!$A$2:$F$23,MATCH(LEFT($B320,FIND("_",$B320)-1),WP!$E$2:$E$23,0),2),IF(FIND("-",$B320)&gt;0,INDEX(WP!$A$2:$F$23,MATCH(LEFT($B320,FIND("_",$B320)-1),WP!$E$2:$E$23,0),2))),INDEX(WP!$A$2:$F$23,MATCH(Results!$B320,WP!$E$2:$E$23,0),2))))&amp;"-"&amp;$I320),"")</f>
        <v/>
      </c>
      <c r="G320" s="17" t="str">
        <f>IF(LEN(_xlfn.IFNA(IF(IFERROR(IF(FIND("_",$B320)&gt;0,MID($B320,FIND("_",$B320)+1,LEN($B320)),IF(FIND("-",$B320)&gt;0,MID($B320,FIND("-",$B320)+1,LEN($B320)))),"")="",IFERROR(VLOOKUP($F320,WP!$B$2:$C$23,2,0),VLOOKUP($C320,Series!$A$3:$F$11,6,0)),IFERROR(VLOOKUP($F320,WP!$B$2:$C$23,2,0),VLOOKUP($C320,Series!$A$3:$F$11,6,0))&amp;" - "&amp;(IFERROR(IF(FIND("_",$B320)&gt;0,MID($B320,FIND("_",$B320)+1,LEN($B320)),IF(FIND("-",$B320)&gt;0,MID($B320,FIND("-",$B320)+1,LEN($B320)))),""))),""))&lt;64,_xlfn.IFNA(IF(IFERROR(IF(FIND("_",$B320)&gt;0,MID($B320,FIND("_",$B320)+1,LEN($B320)),IF(FIND("-",$B320)&gt;0,MID($B320,FIND("-",$B320)+1,LEN($B320)))),"")="",IFERROR(VLOOKUP($F320,WP!$B$2:$C$23,2,0),VLOOKUP($C320,Series!$A$3:$F$11,6,0)),IFERROR(VLOOKUP($F320,WP!$B$2:$C$23,2,0),VLOOKUP($C320,Series!$A$3:$F$11,6,0))&amp;" - "&amp;(IFERROR(IF(FIND("_",$B320)&gt;0,MID($B320,FIND("_",$B320)+1,LEN($B320)),IF(FIND("-",$B320)&gt;0,MID($B320,FIND("-",$B320)+1,LEN($B320)))),""))),""),LEFT((_xlfn.IFNA(IF(IFERROR(IF(FIND("_",$B320)&gt;0,MID($B320,FIND("_",$B320)+1,LEN($B320)),IF(FIND("-",$B320)&gt;0,MID($B320,FIND("-",$B320)+1,LEN($B320)))),"")="",IFERROR(VLOOKUP($F320,WP!$B$2:$C$23,2,0),VLOOKUP($C320,Series!$A$3:$F$11,6,0)),IFERROR(VLOOKUP($F320,WP!$B$2:$C$23,2,0),VLOOKUP($C320,Series!$A$3:$F$11,6,0))&amp;" - "&amp;(IFERROR(IF(FIND("_",$B320)&gt;0,MID($B320,FIND("_",$B320)+1,LEN($B320)),IF(FIND("-",$B320)&gt;0,MID($B320,FIND("-",$B320)+1,LEN($B320)))),""))),"")),64))</f>
        <v/>
      </c>
      <c r="H320" s="12"/>
      <c r="I320" s="12" t="str">
        <f>IF($D320&lt;&gt;"",COUNTIF($D$7:$D320,"="&amp;$D320),"")</f>
        <v/>
      </c>
      <c r="J320"/>
      <c r="K320" s="8"/>
      <c r="L320"/>
    </row>
    <row r="321" spans="1:12" x14ac:dyDescent="0.3">
      <c r="A321" s="1"/>
      <c r="B321" s="26"/>
      <c r="C321" s="12" t="str">
        <f>_xlfn.IFNA(IFERROR(IF(FIND("_",$B321)&gt;0,INDEX(WP!$A$2:$F$23,MATCH(LEFT($B321,FIND("_",$B321)-1),WP!$E$2:$E$23,0),1),IF(FIND("-",$B321)&gt;0,INDEX(WP!$A$2:$F$23,MATCH(LEFT($B321,FIND("_",$B321)-1),WP!$E$2:$E$23,0),1))),INDEX(WP!$A$2:$F$23,MATCH(Results!$B321,WP!$E$2:$E$23,0),1)),"")</f>
        <v/>
      </c>
      <c r="D321" s="12" t="str">
        <f>IFERROR(IFERROR(IF(RIGHT(INDEX(WP!$A$2:$F$23,MATCH(IF(FIND("_",$B321)&gt;0,LEFT($B321,FIND("_",$B321)-1)),WP!$E$2:$E$23,0),2),6)="Series",LEFT(INDEX(WP!$A$2:$F$23,MATCH(IF(FIND("_",$B321)&gt;0,LEFT($B321,FIND("_",$B321)-1)),WP!$E$2:$E$23,0),2),5),""),IF(RIGHT(INDEX(WP!$A$2:$F$23,MATCH($B321,WP!$E$2:$E$23,0),2),6)="Series",LEFT(INDEX(WP!$A$2:$F$23,MATCH($B321,WP!$E$2:$E$23,0),2),5),"")),"")</f>
        <v/>
      </c>
      <c r="E321" s="17" t="str">
        <f>IFERROR(VLOOKUP(VALUE($D321),Series!$B$3:$F$11,2,0),"")</f>
        <v/>
      </c>
      <c r="F321" s="12" t="str">
        <f>_xlfn.IFNA(IF(IF($D321&lt;&gt;"",COUNTIF($E:$E,"="&amp;$D321),"")="",IF(RIGHT(IFERROR(IF(FIND("_",$B321)&gt;0,INDEX(WP!$A$2:$F$23,MATCH(LEFT($B321,FIND("_",$B321)-1),WP!$E$2:$E$23,0),2),IF(FIND("-",$B321)&gt;0,INDEX(WP!$A$2:$F$23,MATCH(LEFT($B321,FIND("_",$B321)-1),WP!$E$2:$E$23,0),2))),INDEX(WP!$A$2:$F$23,MATCH(Results!$B321,WP!$E$2:$E$23,0),2)),6)="Series",LEFT(IFERROR(IF(FIND("_",$B321)&gt;0,INDEX(WP!$A$2:$F$23,MATCH(LEFT($B321,FIND("_",$B321)-1),WP!$E$2:$E$23,0),2),IF(FIND("-",$B321)&gt;0,INDEX(WP!$A$2:$F$23,MATCH(LEFT($B321,FIND("_",$B321)-1),WP!$E$2:$E$23,0),2))),INDEX(WP!$A$2:$F$23,MATCH(Results!$B321,WP!$E$2:$E$23,0),2)),5),(IFERROR(IF(FIND("_",$B321)&gt;0,INDEX(WP!$A$2:$F$23,MATCH(LEFT($B321,FIND("_",$B321)-1),WP!$E$2:$E$23,0),2),IF(FIND("-",$B321)&gt;0,INDEX(WP!$A$2:$F$23,MATCH(LEFT($B321,FIND("_",$B321)-1),WP!$E$2:$E$23,0),2))),INDEX(WP!$A$2:$F$23,MATCH(Results!$B321,WP!$E$2:$E$23,0),2)))),IF(RIGHT(IFERROR(IF(FIND("_",$B321)&gt;0,INDEX(WP!$A$2:$F$23,MATCH(LEFT($B321,FIND("_",$B321)-1),WP!$E$2:$E$23,0),2),IF(FIND("-",$B321)&gt;0,INDEX(WP!$A$2:$F$23,MATCH(LEFT($B321,FIND("_",$B321)-1),WP!$E$2:$E$23,0),2))),INDEX(WP!$A$2:$F$23,MATCH(Results!$B321,WP!$E$2:$E$23,0),2)),6)="Series",LEFT(IFERROR(IF(FIND("_",$B321)&gt;0,INDEX(WP!$A$2:$F$23,MATCH(LEFT($B321,FIND("_",$B321)-1),WP!$E$2:$E$23,0),2),IF(FIND("-",$B321)&gt;0,INDEX(WP!$A$2:$F$23,MATCH(LEFT($B321,FIND("_",$B321)-1),WP!$E$2:$E$23,0),2))),INDEX(WP!$A$2:$F$23,MATCH(Results!$B321,WP!$E$2:$E$23,0),2)),5),(IFERROR(IF(FIND("_",$B321)&gt;0,INDEX(WP!$A$2:$F$23,MATCH(LEFT($B321,FIND("_",$B321)-1),WP!$E$2:$E$23,0),2),IF(FIND("-",$B321)&gt;0,INDEX(WP!$A$2:$F$23,MATCH(LEFT($B321,FIND("_",$B321)-1),WP!$E$2:$E$23,0),2))),INDEX(WP!$A$2:$F$23,MATCH(Results!$B321,WP!$E$2:$E$23,0),2))))&amp;"-"&amp;$I321),"")</f>
        <v/>
      </c>
      <c r="G321" s="17" t="str">
        <f>IF(LEN(_xlfn.IFNA(IF(IFERROR(IF(FIND("_",$B321)&gt;0,MID($B321,FIND("_",$B321)+1,LEN($B321)),IF(FIND("-",$B321)&gt;0,MID($B321,FIND("-",$B321)+1,LEN($B321)))),"")="",IFERROR(VLOOKUP($F321,WP!$B$2:$C$23,2,0),VLOOKUP($C321,Series!$A$3:$F$11,6,0)),IFERROR(VLOOKUP($F321,WP!$B$2:$C$23,2,0),VLOOKUP($C321,Series!$A$3:$F$11,6,0))&amp;" - "&amp;(IFERROR(IF(FIND("_",$B321)&gt;0,MID($B321,FIND("_",$B321)+1,LEN($B321)),IF(FIND("-",$B321)&gt;0,MID($B321,FIND("-",$B321)+1,LEN($B321)))),""))),""))&lt;64,_xlfn.IFNA(IF(IFERROR(IF(FIND("_",$B321)&gt;0,MID($B321,FIND("_",$B321)+1,LEN($B321)),IF(FIND("-",$B321)&gt;0,MID($B321,FIND("-",$B321)+1,LEN($B321)))),"")="",IFERROR(VLOOKUP($F321,WP!$B$2:$C$23,2,0),VLOOKUP($C321,Series!$A$3:$F$11,6,0)),IFERROR(VLOOKUP($F321,WP!$B$2:$C$23,2,0),VLOOKUP($C321,Series!$A$3:$F$11,6,0))&amp;" - "&amp;(IFERROR(IF(FIND("_",$B321)&gt;0,MID($B321,FIND("_",$B321)+1,LEN($B321)),IF(FIND("-",$B321)&gt;0,MID($B321,FIND("-",$B321)+1,LEN($B321)))),""))),""),LEFT((_xlfn.IFNA(IF(IFERROR(IF(FIND("_",$B321)&gt;0,MID($B321,FIND("_",$B321)+1,LEN($B321)),IF(FIND("-",$B321)&gt;0,MID($B321,FIND("-",$B321)+1,LEN($B321)))),"")="",IFERROR(VLOOKUP($F321,WP!$B$2:$C$23,2,0),VLOOKUP($C321,Series!$A$3:$F$11,6,0)),IFERROR(VLOOKUP($F321,WP!$B$2:$C$23,2,0),VLOOKUP($C321,Series!$A$3:$F$11,6,0))&amp;" - "&amp;(IFERROR(IF(FIND("_",$B321)&gt;0,MID($B321,FIND("_",$B321)+1,LEN($B321)),IF(FIND("-",$B321)&gt;0,MID($B321,FIND("-",$B321)+1,LEN($B321)))),""))),"")),64))</f>
        <v/>
      </c>
      <c r="H321" s="12"/>
      <c r="I321" s="12" t="str">
        <f>IF($D321&lt;&gt;"",COUNTIF($D$7:$D321,"="&amp;$D321),"")</f>
        <v/>
      </c>
      <c r="J321"/>
      <c r="K321" s="8"/>
      <c r="L321"/>
    </row>
    <row r="322" spans="1:12" x14ac:dyDescent="0.3">
      <c r="A322" s="1"/>
      <c r="B322" s="26"/>
      <c r="C322" s="12" t="str">
        <f>_xlfn.IFNA(IFERROR(IF(FIND("_",$B322)&gt;0,INDEX(WP!$A$2:$F$23,MATCH(LEFT($B322,FIND("_",$B322)-1),WP!$E$2:$E$23,0),1),IF(FIND("-",$B322)&gt;0,INDEX(WP!$A$2:$F$23,MATCH(LEFT($B322,FIND("_",$B322)-1),WP!$E$2:$E$23,0),1))),INDEX(WP!$A$2:$F$23,MATCH(Results!$B322,WP!$E$2:$E$23,0),1)),"")</f>
        <v/>
      </c>
      <c r="D322" s="12" t="str">
        <f>IFERROR(IFERROR(IF(RIGHT(INDEX(WP!$A$2:$F$23,MATCH(IF(FIND("_",$B322)&gt;0,LEFT($B322,FIND("_",$B322)-1)),WP!$E$2:$E$23,0),2),6)="Series",LEFT(INDEX(WP!$A$2:$F$23,MATCH(IF(FIND("_",$B322)&gt;0,LEFT($B322,FIND("_",$B322)-1)),WP!$E$2:$E$23,0),2),5),""),IF(RIGHT(INDEX(WP!$A$2:$F$23,MATCH($B322,WP!$E$2:$E$23,0),2),6)="Series",LEFT(INDEX(WP!$A$2:$F$23,MATCH($B322,WP!$E$2:$E$23,0),2),5),"")),"")</f>
        <v/>
      </c>
      <c r="E322" s="17" t="str">
        <f>IFERROR(VLOOKUP(VALUE($D322),Series!$B$3:$F$11,2,0),"")</f>
        <v/>
      </c>
      <c r="F322" s="12" t="str">
        <f>_xlfn.IFNA(IF(IF($D322&lt;&gt;"",COUNTIF($E:$E,"="&amp;$D322),"")="",IF(RIGHT(IFERROR(IF(FIND("_",$B322)&gt;0,INDEX(WP!$A$2:$F$23,MATCH(LEFT($B322,FIND("_",$B322)-1),WP!$E$2:$E$23,0),2),IF(FIND("-",$B322)&gt;0,INDEX(WP!$A$2:$F$23,MATCH(LEFT($B322,FIND("_",$B322)-1),WP!$E$2:$E$23,0),2))),INDEX(WP!$A$2:$F$23,MATCH(Results!$B322,WP!$E$2:$E$23,0),2)),6)="Series",LEFT(IFERROR(IF(FIND("_",$B322)&gt;0,INDEX(WP!$A$2:$F$23,MATCH(LEFT($B322,FIND("_",$B322)-1),WP!$E$2:$E$23,0),2),IF(FIND("-",$B322)&gt;0,INDEX(WP!$A$2:$F$23,MATCH(LEFT($B322,FIND("_",$B322)-1),WP!$E$2:$E$23,0),2))),INDEX(WP!$A$2:$F$23,MATCH(Results!$B322,WP!$E$2:$E$23,0),2)),5),(IFERROR(IF(FIND("_",$B322)&gt;0,INDEX(WP!$A$2:$F$23,MATCH(LEFT($B322,FIND("_",$B322)-1),WP!$E$2:$E$23,0),2),IF(FIND("-",$B322)&gt;0,INDEX(WP!$A$2:$F$23,MATCH(LEFT($B322,FIND("_",$B322)-1),WP!$E$2:$E$23,0),2))),INDEX(WP!$A$2:$F$23,MATCH(Results!$B322,WP!$E$2:$E$23,0),2)))),IF(RIGHT(IFERROR(IF(FIND("_",$B322)&gt;0,INDEX(WP!$A$2:$F$23,MATCH(LEFT($B322,FIND("_",$B322)-1),WP!$E$2:$E$23,0),2),IF(FIND("-",$B322)&gt;0,INDEX(WP!$A$2:$F$23,MATCH(LEFT($B322,FIND("_",$B322)-1),WP!$E$2:$E$23,0),2))),INDEX(WP!$A$2:$F$23,MATCH(Results!$B322,WP!$E$2:$E$23,0),2)),6)="Series",LEFT(IFERROR(IF(FIND("_",$B322)&gt;0,INDEX(WP!$A$2:$F$23,MATCH(LEFT($B322,FIND("_",$B322)-1),WP!$E$2:$E$23,0),2),IF(FIND("-",$B322)&gt;0,INDEX(WP!$A$2:$F$23,MATCH(LEFT($B322,FIND("_",$B322)-1),WP!$E$2:$E$23,0),2))),INDEX(WP!$A$2:$F$23,MATCH(Results!$B322,WP!$E$2:$E$23,0),2)),5),(IFERROR(IF(FIND("_",$B322)&gt;0,INDEX(WP!$A$2:$F$23,MATCH(LEFT($B322,FIND("_",$B322)-1),WP!$E$2:$E$23,0),2),IF(FIND("-",$B322)&gt;0,INDEX(WP!$A$2:$F$23,MATCH(LEFT($B322,FIND("_",$B322)-1),WP!$E$2:$E$23,0),2))),INDEX(WP!$A$2:$F$23,MATCH(Results!$B322,WP!$E$2:$E$23,0),2))))&amp;"-"&amp;$I322),"")</f>
        <v/>
      </c>
      <c r="G322" s="17" t="str">
        <f>IF(LEN(_xlfn.IFNA(IF(IFERROR(IF(FIND("_",$B322)&gt;0,MID($B322,FIND("_",$B322)+1,LEN($B322)),IF(FIND("-",$B322)&gt;0,MID($B322,FIND("-",$B322)+1,LEN($B322)))),"")="",IFERROR(VLOOKUP($F322,WP!$B$2:$C$23,2,0),VLOOKUP($C322,Series!$A$3:$F$11,6,0)),IFERROR(VLOOKUP($F322,WP!$B$2:$C$23,2,0),VLOOKUP($C322,Series!$A$3:$F$11,6,0))&amp;" - "&amp;(IFERROR(IF(FIND("_",$B322)&gt;0,MID($B322,FIND("_",$B322)+1,LEN($B322)),IF(FIND("-",$B322)&gt;0,MID($B322,FIND("-",$B322)+1,LEN($B322)))),""))),""))&lt;64,_xlfn.IFNA(IF(IFERROR(IF(FIND("_",$B322)&gt;0,MID($B322,FIND("_",$B322)+1,LEN($B322)),IF(FIND("-",$B322)&gt;0,MID($B322,FIND("-",$B322)+1,LEN($B322)))),"")="",IFERROR(VLOOKUP($F322,WP!$B$2:$C$23,2,0),VLOOKUP($C322,Series!$A$3:$F$11,6,0)),IFERROR(VLOOKUP($F322,WP!$B$2:$C$23,2,0),VLOOKUP($C322,Series!$A$3:$F$11,6,0))&amp;" - "&amp;(IFERROR(IF(FIND("_",$B322)&gt;0,MID($B322,FIND("_",$B322)+1,LEN($B322)),IF(FIND("-",$B322)&gt;0,MID($B322,FIND("-",$B322)+1,LEN($B322)))),""))),""),LEFT((_xlfn.IFNA(IF(IFERROR(IF(FIND("_",$B322)&gt;0,MID($B322,FIND("_",$B322)+1,LEN($B322)),IF(FIND("-",$B322)&gt;0,MID($B322,FIND("-",$B322)+1,LEN($B322)))),"")="",IFERROR(VLOOKUP($F322,WP!$B$2:$C$23,2,0),VLOOKUP($C322,Series!$A$3:$F$11,6,0)),IFERROR(VLOOKUP($F322,WP!$B$2:$C$23,2,0),VLOOKUP($C322,Series!$A$3:$F$11,6,0))&amp;" - "&amp;(IFERROR(IF(FIND("_",$B322)&gt;0,MID($B322,FIND("_",$B322)+1,LEN($B322)),IF(FIND("-",$B322)&gt;0,MID($B322,FIND("-",$B322)+1,LEN($B322)))),""))),"")),64))</f>
        <v/>
      </c>
      <c r="H322" s="12"/>
      <c r="I322" s="12" t="str">
        <f>IF($D322&lt;&gt;"",COUNTIF($D$7:$D322,"="&amp;$D322),"")</f>
        <v/>
      </c>
      <c r="J322"/>
      <c r="K322" s="8"/>
      <c r="L322"/>
    </row>
    <row r="323" spans="1:12" x14ac:dyDescent="0.3">
      <c r="A323" s="1"/>
      <c r="B323" s="26"/>
      <c r="C323" s="12" t="str">
        <f>_xlfn.IFNA(IFERROR(IF(FIND("_",$B323)&gt;0,INDEX(WP!$A$2:$F$23,MATCH(LEFT($B323,FIND("_",$B323)-1),WP!$E$2:$E$23,0),1),IF(FIND("-",$B323)&gt;0,INDEX(WP!$A$2:$F$23,MATCH(LEFT($B323,FIND("_",$B323)-1),WP!$E$2:$E$23,0),1))),INDEX(WP!$A$2:$F$23,MATCH(Results!$B323,WP!$E$2:$E$23,0),1)),"")</f>
        <v/>
      </c>
      <c r="D323" s="12" t="str">
        <f>IFERROR(IFERROR(IF(RIGHT(INDEX(WP!$A$2:$F$23,MATCH(IF(FIND("_",$B323)&gt;0,LEFT($B323,FIND("_",$B323)-1)),WP!$E$2:$E$23,0),2),6)="Series",LEFT(INDEX(WP!$A$2:$F$23,MATCH(IF(FIND("_",$B323)&gt;0,LEFT($B323,FIND("_",$B323)-1)),WP!$E$2:$E$23,0),2),5),""),IF(RIGHT(INDEX(WP!$A$2:$F$23,MATCH($B323,WP!$E$2:$E$23,0),2),6)="Series",LEFT(INDEX(WP!$A$2:$F$23,MATCH($B323,WP!$E$2:$E$23,0),2),5),"")),"")</f>
        <v/>
      </c>
      <c r="E323" s="17" t="str">
        <f>IFERROR(VLOOKUP(VALUE($D323),Series!$B$3:$F$11,2,0),"")</f>
        <v/>
      </c>
      <c r="F323" s="12" t="str">
        <f>_xlfn.IFNA(IF(IF($D323&lt;&gt;"",COUNTIF($E:$E,"="&amp;$D323),"")="",IF(RIGHT(IFERROR(IF(FIND("_",$B323)&gt;0,INDEX(WP!$A$2:$F$23,MATCH(LEFT($B323,FIND("_",$B323)-1),WP!$E$2:$E$23,0),2),IF(FIND("-",$B323)&gt;0,INDEX(WP!$A$2:$F$23,MATCH(LEFT($B323,FIND("_",$B323)-1),WP!$E$2:$E$23,0),2))),INDEX(WP!$A$2:$F$23,MATCH(Results!$B323,WP!$E$2:$E$23,0),2)),6)="Series",LEFT(IFERROR(IF(FIND("_",$B323)&gt;0,INDEX(WP!$A$2:$F$23,MATCH(LEFT($B323,FIND("_",$B323)-1),WP!$E$2:$E$23,0),2),IF(FIND("-",$B323)&gt;0,INDEX(WP!$A$2:$F$23,MATCH(LEFT($B323,FIND("_",$B323)-1),WP!$E$2:$E$23,0),2))),INDEX(WP!$A$2:$F$23,MATCH(Results!$B323,WP!$E$2:$E$23,0),2)),5),(IFERROR(IF(FIND("_",$B323)&gt;0,INDEX(WP!$A$2:$F$23,MATCH(LEFT($B323,FIND("_",$B323)-1),WP!$E$2:$E$23,0),2),IF(FIND("-",$B323)&gt;0,INDEX(WP!$A$2:$F$23,MATCH(LEFT($B323,FIND("_",$B323)-1),WP!$E$2:$E$23,0),2))),INDEX(WP!$A$2:$F$23,MATCH(Results!$B323,WP!$E$2:$E$23,0),2)))),IF(RIGHT(IFERROR(IF(FIND("_",$B323)&gt;0,INDEX(WP!$A$2:$F$23,MATCH(LEFT($B323,FIND("_",$B323)-1),WP!$E$2:$E$23,0),2),IF(FIND("-",$B323)&gt;0,INDEX(WP!$A$2:$F$23,MATCH(LEFT($B323,FIND("_",$B323)-1),WP!$E$2:$E$23,0),2))),INDEX(WP!$A$2:$F$23,MATCH(Results!$B323,WP!$E$2:$E$23,0),2)),6)="Series",LEFT(IFERROR(IF(FIND("_",$B323)&gt;0,INDEX(WP!$A$2:$F$23,MATCH(LEFT($B323,FIND("_",$B323)-1),WP!$E$2:$E$23,0),2),IF(FIND("-",$B323)&gt;0,INDEX(WP!$A$2:$F$23,MATCH(LEFT($B323,FIND("_",$B323)-1),WP!$E$2:$E$23,0),2))),INDEX(WP!$A$2:$F$23,MATCH(Results!$B323,WP!$E$2:$E$23,0),2)),5),(IFERROR(IF(FIND("_",$B323)&gt;0,INDEX(WP!$A$2:$F$23,MATCH(LEFT($B323,FIND("_",$B323)-1),WP!$E$2:$E$23,0),2),IF(FIND("-",$B323)&gt;0,INDEX(WP!$A$2:$F$23,MATCH(LEFT($B323,FIND("_",$B323)-1),WP!$E$2:$E$23,0),2))),INDEX(WP!$A$2:$F$23,MATCH(Results!$B323,WP!$E$2:$E$23,0),2))))&amp;"-"&amp;$I323),"")</f>
        <v/>
      </c>
      <c r="G323" s="17" t="str">
        <f>IF(LEN(_xlfn.IFNA(IF(IFERROR(IF(FIND("_",$B323)&gt;0,MID($B323,FIND("_",$B323)+1,LEN($B323)),IF(FIND("-",$B323)&gt;0,MID($B323,FIND("-",$B323)+1,LEN($B323)))),"")="",IFERROR(VLOOKUP($F323,WP!$B$2:$C$23,2,0),VLOOKUP($C323,Series!$A$3:$F$11,6,0)),IFERROR(VLOOKUP($F323,WP!$B$2:$C$23,2,0),VLOOKUP($C323,Series!$A$3:$F$11,6,0))&amp;" - "&amp;(IFERROR(IF(FIND("_",$B323)&gt;0,MID($B323,FIND("_",$B323)+1,LEN($B323)),IF(FIND("-",$B323)&gt;0,MID($B323,FIND("-",$B323)+1,LEN($B323)))),""))),""))&lt;64,_xlfn.IFNA(IF(IFERROR(IF(FIND("_",$B323)&gt;0,MID($B323,FIND("_",$B323)+1,LEN($B323)),IF(FIND("-",$B323)&gt;0,MID($B323,FIND("-",$B323)+1,LEN($B323)))),"")="",IFERROR(VLOOKUP($F323,WP!$B$2:$C$23,2,0),VLOOKUP($C323,Series!$A$3:$F$11,6,0)),IFERROR(VLOOKUP($F323,WP!$B$2:$C$23,2,0),VLOOKUP($C323,Series!$A$3:$F$11,6,0))&amp;" - "&amp;(IFERROR(IF(FIND("_",$B323)&gt;0,MID($B323,FIND("_",$B323)+1,LEN($B323)),IF(FIND("-",$B323)&gt;0,MID($B323,FIND("-",$B323)+1,LEN($B323)))),""))),""),LEFT((_xlfn.IFNA(IF(IFERROR(IF(FIND("_",$B323)&gt;0,MID($B323,FIND("_",$B323)+1,LEN($B323)),IF(FIND("-",$B323)&gt;0,MID($B323,FIND("-",$B323)+1,LEN($B323)))),"")="",IFERROR(VLOOKUP($F323,WP!$B$2:$C$23,2,0),VLOOKUP($C323,Series!$A$3:$F$11,6,0)),IFERROR(VLOOKUP($F323,WP!$B$2:$C$23,2,0),VLOOKUP($C323,Series!$A$3:$F$11,6,0))&amp;" - "&amp;(IFERROR(IF(FIND("_",$B323)&gt;0,MID($B323,FIND("_",$B323)+1,LEN($B323)),IF(FIND("-",$B323)&gt;0,MID($B323,FIND("-",$B323)+1,LEN($B323)))),""))),"")),64))</f>
        <v/>
      </c>
      <c r="H323" s="12"/>
      <c r="I323" s="12" t="str">
        <f>IF($D323&lt;&gt;"",COUNTIF($D$7:$D323,"="&amp;$D323),"")</f>
        <v/>
      </c>
      <c r="J323"/>
      <c r="K323" s="8"/>
      <c r="L323"/>
    </row>
    <row r="324" spans="1:12" x14ac:dyDescent="0.3">
      <c r="A324" s="1"/>
      <c r="B324" s="26"/>
      <c r="C324" s="12" t="str">
        <f>_xlfn.IFNA(IFERROR(IF(FIND("_",$B324)&gt;0,INDEX(WP!$A$2:$F$23,MATCH(LEFT($B324,FIND("_",$B324)-1),WP!$E$2:$E$23,0),1),IF(FIND("-",$B324)&gt;0,INDEX(WP!$A$2:$F$23,MATCH(LEFT($B324,FIND("_",$B324)-1),WP!$E$2:$E$23,0),1))),INDEX(WP!$A$2:$F$23,MATCH(Results!$B324,WP!$E$2:$E$23,0),1)),"")</f>
        <v/>
      </c>
      <c r="D324" s="12" t="str">
        <f>IFERROR(IFERROR(IF(RIGHT(INDEX(WP!$A$2:$F$23,MATCH(IF(FIND("_",$B324)&gt;0,LEFT($B324,FIND("_",$B324)-1)),WP!$E$2:$E$23,0),2),6)="Series",LEFT(INDEX(WP!$A$2:$F$23,MATCH(IF(FIND("_",$B324)&gt;0,LEFT($B324,FIND("_",$B324)-1)),WP!$E$2:$E$23,0),2),5),""),IF(RIGHT(INDEX(WP!$A$2:$F$23,MATCH($B324,WP!$E$2:$E$23,0),2),6)="Series",LEFT(INDEX(WP!$A$2:$F$23,MATCH($B324,WP!$E$2:$E$23,0),2),5),"")),"")</f>
        <v/>
      </c>
      <c r="E324" s="17" t="str">
        <f>IFERROR(VLOOKUP(VALUE($D324),Series!$B$3:$F$11,2,0),"")</f>
        <v/>
      </c>
      <c r="F324" s="12" t="str">
        <f>_xlfn.IFNA(IF(IF($D324&lt;&gt;"",COUNTIF($E:$E,"="&amp;$D324),"")="",IF(RIGHT(IFERROR(IF(FIND("_",$B324)&gt;0,INDEX(WP!$A$2:$F$23,MATCH(LEFT($B324,FIND("_",$B324)-1),WP!$E$2:$E$23,0),2),IF(FIND("-",$B324)&gt;0,INDEX(WP!$A$2:$F$23,MATCH(LEFT($B324,FIND("_",$B324)-1),WP!$E$2:$E$23,0),2))),INDEX(WP!$A$2:$F$23,MATCH(Results!$B324,WP!$E$2:$E$23,0),2)),6)="Series",LEFT(IFERROR(IF(FIND("_",$B324)&gt;0,INDEX(WP!$A$2:$F$23,MATCH(LEFT($B324,FIND("_",$B324)-1),WP!$E$2:$E$23,0),2),IF(FIND("-",$B324)&gt;0,INDEX(WP!$A$2:$F$23,MATCH(LEFT($B324,FIND("_",$B324)-1),WP!$E$2:$E$23,0),2))),INDEX(WP!$A$2:$F$23,MATCH(Results!$B324,WP!$E$2:$E$23,0),2)),5),(IFERROR(IF(FIND("_",$B324)&gt;0,INDEX(WP!$A$2:$F$23,MATCH(LEFT($B324,FIND("_",$B324)-1),WP!$E$2:$E$23,0),2),IF(FIND("-",$B324)&gt;0,INDEX(WP!$A$2:$F$23,MATCH(LEFT($B324,FIND("_",$B324)-1),WP!$E$2:$E$23,0),2))),INDEX(WP!$A$2:$F$23,MATCH(Results!$B324,WP!$E$2:$E$23,0),2)))),IF(RIGHT(IFERROR(IF(FIND("_",$B324)&gt;0,INDEX(WP!$A$2:$F$23,MATCH(LEFT($B324,FIND("_",$B324)-1),WP!$E$2:$E$23,0),2),IF(FIND("-",$B324)&gt;0,INDEX(WP!$A$2:$F$23,MATCH(LEFT($B324,FIND("_",$B324)-1),WP!$E$2:$E$23,0),2))),INDEX(WP!$A$2:$F$23,MATCH(Results!$B324,WP!$E$2:$E$23,0),2)),6)="Series",LEFT(IFERROR(IF(FIND("_",$B324)&gt;0,INDEX(WP!$A$2:$F$23,MATCH(LEFT($B324,FIND("_",$B324)-1),WP!$E$2:$E$23,0),2),IF(FIND("-",$B324)&gt;0,INDEX(WP!$A$2:$F$23,MATCH(LEFT($B324,FIND("_",$B324)-1),WP!$E$2:$E$23,0),2))),INDEX(WP!$A$2:$F$23,MATCH(Results!$B324,WP!$E$2:$E$23,0),2)),5),(IFERROR(IF(FIND("_",$B324)&gt;0,INDEX(WP!$A$2:$F$23,MATCH(LEFT($B324,FIND("_",$B324)-1),WP!$E$2:$E$23,0),2),IF(FIND("-",$B324)&gt;0,INDEX(WP!$A$2:$F$23,MATCH(LEFT($B324,FIND("_",$B324)-1),WP!$E$2:$E$23,0),2))),INDEX(WP!$A$2:$F$23,MATCH(Results!$B324,WP!$E$2:$E$23,0),2))))&amp;"-"&amp;$I324),"")</f>
        <v/>
      </c>
      <c r="G324" s="17" t="str">
        <f>IF(LEN(_xlfn.IFNA(IF(IFERROR(IF(FIND("_",$B324)&gt;0,MID($B324,FIND("_",$B324)+1,LEN($B324)),IF(FIND("-",$B324)&gt;0,MID($B324,FIND("-",$B324)+1,LEN($B324)))),"")="",IFERROR(VLOOKUP($F324,WP!$B$2:$C$23,2,0),VLOOKUP($C324,Series!$A$3:$F$11,6,0)),IFERROR(VLOOKUP($F324,WP!$B$2:$C$23,2,0),VLOOKUP($C324,Series!$A$3:$F$11,6,0))&amp;" - "&amp;(IFERROR(IF(FIND("_",$B324)&gt;0,MID($B324,FIND("_",$B324)+1,LEN($B324)),IF(FIND("-",$B324)&gt;0,MID($B324,FIND("-",$B324)+1,LEN($B324)))),""))),""))&lt;64,_xlfn.IFNA(IF(IFERROR(IF(FIND("_",$B324)&gt;0,MID($B324,FIND("_",$B324)+1,LEN($B324)),IF(FIND("-",$B324)&gt;0,MID($B324,FIND("-",$B324)+1,LEN($B324)))),"")="",IFERROR(VLOOKUP($F324,WP!$B$2:$C$23,2,0),VLOOKUP($C324,Series!$A$3:$F$11,6,0)),IFERROR(VLOOKUP($F324,WP!$B$2:$C$23,2,0),VLOOKUP($C324,Series!$A$3:$F$11,6,0))&amp;" - "&amp;(IFERROR(IF(FIND("_",$B324)&gt;0,MID($B324,FIND("_",$B324)+1,LEN($B324)),IF(FIND("-",$B324)&gt;0,MID($B324,FIND("-",$B324)+1,LEN($B324)))),""))),""),LEFT((_xlfn.IFNA(IF(IFERROR(IF(FIND("_",$B324)&gt;0,MID($B324,FIND("_",$B324)+1,LEN($B324)),IF(FIND("-",$B324)&gt;0,MID($B324,FIND("-",$B324)+1,LEN($B324)))),"")="",IFERROR(VLOOKUP($F324,WP!$B$2:$C$23,2,0),VLOOKUP($C324,Series!$A$3:$F$11,6,0)),IFERROR(VLOOKUP($F324,WP!$B$2:$C$23,2,0),VLOOKUP($C324,Series!$A$3:$F$11,6,0))&amp;" - "&amp;(IFERROR(IF(FIND("_",$B324)&gt;0,MID($B324,FIND("_",$B324)+1,LEN($B324)),IF(FIND("-",$B324)&gt;0,MID($B324,FIND("-",$B324)+1,LEN($B324)))),""))),"")),64))</f>
        <v/>
      </c>
      <c r="H324" s="12"/>
      <c r="I324" s="12" t="str">
        <f>IF($D324&lt;&gt;"",COUNTIF($D$7:$D324,"="&amp;$D324),"")</f>
        <v/>
      </c>
      <c r="J324"/>
      <c r="K324" s="8"/>
      <c r="L324"/>
    </row>
    <row r="325" spans="1:12" x14ac:dyDescent="0.3">
      <c r="A325" s="1"/>
      <c r="B325" s="26"/>
      <c r="C325" s="12" t="str">
        <f>_xlfn.IFNA(IFERROR(IF(FIND("_",$B325)&gt;0,INDEX(WP!$A$2:$F$23,MATCH(LEFT($B325,FIND("_",$B325)-1),WP!$E$2:$E$23,0),1),IF(FIND("-",$B325)&gt;0,INDEX(WP!$A$2:$F$23,MATCH(LEFT($B325,FIND("_",$B325)-1),WP!$E$2:$E$23,0),1))),INDEX(WP!$A$2:$F$23,MATCH(Results!$B325,WP!$E$2:$E$23,0),1)),"")</f>
        <v/>
      </c>
      <c r="D325" s="12" t="str">
        <f>IFERROR(IFERROR(IF(RIGHT(INDEX(WP!$A$2:$F$23,MATCH(IF(FIND("_",$B325)&gt;0,LEFT($B325,FIND("_",$B325)-1)),WP!$E$2:$E$23,0),2),6)="Series",LEFT(INDEX(WP!$A$2:$F$23,MATCH(IF(FIND("_",$B325)&gt;0,LEFT($B325,FIND("_",$B325)-1)),WP!$E$2:$E$23,0),2),5),""),IF(RIGHT(INDEX(WP!$A$2:$F$23,MATCH($B325,WP!$E$2:$E$23,0),2),6)="Series",LEFT(INDEX(WP!$A$2:$F$23,MATCH($B325,WP!$E$2:$E$23,0),2),5),"")),"")</f>
        <v/>
      </c>
      <c r="E325" s="17" t="str">
        <f>IFERROR(VLOOKUP(VALUE($D325),Series!$B$3:$F$11,2,0),"")</f>
        <v/>
      </c>
      <c r="F325" s="12" t="str">
        <f>_xlfn.IFNA(IF(IF($D325&lt;&gt;"",COUNTIF($E:$E,"="&amp;$D325),"")="",IF(RIGHT(IFERROR(IF(FIND("_",$B325)&gt;0,INDEX(WP!$A$2:$F$23,MATCH(LEFT($B325,FIND("_",$B325)-1),WP!$E$2:$E$23,0),2),IF(FIND("-",$B325)&gt;0,INDEX(WP!$A$2:$F$23,MATCH(LEFT($B325,FIND("_",$B325)-1),WP!$E$2:$E$23,0),2))),INDEX(WP!$A$2:$F$23,MATCH(Results!$B325,WP!$E$2:$E$23,0),2)),6)="Series",LEFT(IFERROR(IF(FIND("_",$B325)&gt;0,INDEX(WP!$A$2:$F$23,MATCH(LEFT($B325,FIND("_",$B325)-1),WP!$E$2:$E$23,0),2),IF(FIND("-",$B325)&gt;0,INDEX(WP!$A$2:$F$23,MATCH(LEFT($B325,FIND("_",$B325)-1),WP!$E$2:$E$23,0),2))),INDEX(WP!$A$2:$F$23,MATCH(Results!$B325,WP!$E$2:$E$23,0),2)),5),(IFERROR(IF(FIND("_",$B325)&gt;0,INDEX(WP!$A$2:$F$23,MATCH(LEFT($B325,FIND("_",$B325)-1),WP!$E$2:$E$23,0),2),IF(FIND("-",$B325)&gt;0,INDEX(WP!$A$2:$F$23,MATCH(LEFT($B325,FIND("_",$B325)-1),WP!$E$2:$E$23,0),2))),INDEX(WP!$A$2:$F$23,MATCH(Results!$B325,WP!$E$2:$E$23,0),2)))),IF(RIGHT(IFERROR(IF(FIND("_",$B325)&gt;0,INDEX(WP!$A$2:$F$23,MATCH(LEFT($B325,FIND("_",$B325)-1),WP!$E$2:$E$23,0),2),IF(FIND("-",$B325)&gt;0,INDEX(WP!$A$2:$F$23,MATCH(LEFT($B325,FIND("_",$B325)-1),WP!$E$2:$E$23,0),2))),INDEX(WP!$A$2:$F$23,MATCH(Results!$B325,WP!$E$2:$E$23,0),2)),6)="Series",LEFT(IFERROR(IF(FIND("_",$B325)&gt;0,INDEX(WP!$A$2:$F$23,MATCH(LEFT($B325,FIND("_",$B325)-1),WP!$E$2:$E$23,0),2),IF(FIND("-",$B325)&gt;0,INDEX(WP!$A$2:$F$23,MATCH(LEFT($B325,FIND("_",$B325)-1),WP!$E$2:$E$23,0),2))),INDEX(WP!$A$2:$F$23,MATCH(Results!$B325,WP!$E$2:$E$23,0),2)),5),(IFERROR(IF(FIND("_",$B325)&gt;0,INDEX(WP!$A$2:$F$23,MATCH(LEFT($B325,FIND("_",$B325)-1),WP!$E$2:$E$23,0),2),IF(FIND("-",$B325)&gt;0,INDEX(WP!$A$2:$F$23,MATCH(LEFT($B325,FIND("_",$B325)-1),WP!$E$2:$E$23,0),2))),INDEX(WP!$A$2:$F$23,MATCH(Results!$B325,WP!$E$2:$E$23,0),2))))&amp;"-"&amp;$I325),"")</f>
        <v/>
      </c>
      <c r="G325" s="17" t="str">
        <f>IF(LEN(_xlfn.IFNA(IF(IFERROR(IF(FIND("_",$B325)&gt;0,MID($B325,FIND("_",$B325)+1,LEN($B325)),IF(FIND("-",$B325)&gt;0,MID($B325,FIND("-",$B325)+1,LEN($B325)))),"")="",IFERROR(VLOOKUP($F325,WP!$B$2:$C$23,2,0),VLOOKUP($C325,Series!$A$3:$F$11,6,0)),IFERROR(VLOOKUP($F325,WP!$B$2:$C$23,2,0),VLOOKUP($C325,Series!$A$3:$F$11,6,0))&amp;" - "&amp;(IFERROR(IF(FIND("_",$B325)&gt;0,MID($B325,FIND("_",$B325)+1,LEN($B325)),IF(FIND("-",$B325)&gt;0,MID($B325,FIND("-",$B325)+1,LEN($B325)))),""))),""))&lt;64,_xlfn.IFNA(IF(IFERROR(IF(FIND("_",$B325)&gt;0,MID($B325,FIND("_",$B325)+1,LEN($B325)),IF(FIND("-",$B325)&gt;0,MID($B325,FIND("-",$B325)+1,LEN($B325)))),"")="",IFERROR(VLOOKUP($F325,WP!$B$2:$C$23,2,0),VLOOKUP($C325,Series!$A$3:$F$11,6,0)),IFERROR(VLOOKUP($F325,WP!$B$2:$C$23,2,0),VLOOKUP($C325,Series!$A$3:$F$11,6,0))&amp;" - "&amp;(IFERROR(IF(FIND("_",$B325)&gt;0,MID($B325,FIND("_",$B325)+1,LEN($B325)),IF(FIND("-",$B325)&gt;0,MID($B325,FIND("-",$B325)+1,LEN($B325)))),""))),""),LEFT((_xlfn.IFNA(IF(IFERROR(IF(FIND("_",$B325)&gt;0,MID($B325,FIND("_",$B325)+1,LEN($B325)),IF(FIND("-",$B325)&gt;0,MID($B325,FIND("-",$B325)+1,LEN($B325)))),"")="",IFERROR(VLOOKUP($F325,WP!$B$2:$C$23,2,0),VLOOKUP($C325,Series!$A$3:$F$11,6,0)),IFERROR(VLOOKUP($F325,WP!$B$2:$C$23,2,0),VLOOKUP($C325,Series!$A$3:$F$11,6,0))&amp;" - "&amp;(IFERROR(IF(FIND("_",$B325)&gt;0,MID($B325,FIND("_",$B325)+1,LEN($B325)),IF(FIND("-",$B325)&gt;0,MID($B325,FIND("-",$B325)+1,LEN($B325)))),""))),"")),64))</f>
        <v/>
      </c>
      <c r="H325" s="12"/>
      <c r="I325" s="12" t="str">
        <f>IF($D325&lt;&gt;"",COUNTIF($D$7:$D325,"="&amp;$D325),"")</f>
        <v/>
      </c>
      <c r="J325"/>
      <c r="K325" s="8"/>
      <c r="L325"/>
    </row>
    <row r="326" spans="1:12" x14ac:dyDescent="0.3">
      <c r="A326" s="1"/>
      <c r="B326" s="26"/>
      <c r="C326" s="12" t="str">
        <f>_xlfn.IFNA(IFERROR(IF(FIND("_",$B326)&gt;0,INDEX(WP!$A$2:$F$23,MATCH(LEFT($B326,FIND("_",$B326)-1),WP!$E$2:$E$23,0),1),IF(FIND("-",$B326)&gt;0,INDEX(WP!$A$2:$F$23,MATCH(LEFT($B326,FIND("_",$B326)-1),WP!$E$2:$E$23,0),1))),INDEX(WP!$A$2:$F$23,MATCH(Results!$B326,WP!$E$2:$E$23,0),1)),"")</f>
        <v/>
      </c>
      <c r="D326" s="12" t="str">
        <f>IFERROR(IFERROR(IF(RIGHT(INDEX(WP!$A$2:$F$23,MATCH(IF(FIND("_",$B326)&gt;0,LEFT($B326,FIND("_",$B326)-1)),WP!$E$2:$E$23,0),2),6)="Series",LEFT(INDEX(WP!$A$2:$F$23,MATCH(IF(FIND("_",$B326)&gt;0,LEFT($B326,FIND("_",$B326)-1)),WP!$E$2:$E$23,0),2),5),""),IF(RIGHT(INDEX(WP!$A$2:$F$23,MATCH($B326,WP!$E$2:$E$23,0),2),6)="Series",LEFT(INDEX(WP!$A$2:$F$23,MATCH($B326,WP!$E$2:$E$23,0),2),5),"")),"")</f>
        <v/>
      </c>
      <c r="E326" s="17" t="str">
        <f>IFERROR(VLOOKUP(VALUE($D326),Series!$B$3:$F$11,2,0),"")</f>
        <v/>
      </c>
      <c r="F326" s="12" t="str">
        <f>_xlfn.IFNA(IF(IF($D326&lt;&gt;"",COUNTIF($E:$E,"="&amp;$D326),"")="",IF(RIGHT(IFERROR(IF(FIND("_",$B326)&gt;0,INDEX(WP!$A$2:$F$23,MATCH(LEFT($B326,FIND("_",$B326)-1),WP!$E$2:$E$23,0),2),IF(FIND("-",$B326)&gt;0,INDEX(WP!$A$2:$F$23,MATCH(LEFT($B326,FIND("_",$B326)-1),WP!$E$2:$E$23,0),2))),INDEX(WP!$A$2:$F$23,MATCH(Results!$B326,WP!$E$2:$E$23,0),2)),6)="Series",LEFT(IFERROR(IF(FIND("_",$B326)&gt;0,INDEX(WP!$A$2:$F$23,MATCH(LEFT($B326,FIND("_",$B326)-1),WP!$E$2:$E$23,0),2),IF(FIND("-",$B326)&gt;0,INDEX(WP!$A$2:$F$23,MATCH(LEFT($B326,FIND("_",$B326)-1),WP!$E$2:$E$23,0),2))),INDEX(WP!$A$2:$F$23,MATCH(Results!$B326,WP!$E$2:$E$23,0),2)),5),(IFERROR(IF(FIND("_",$B326)&gt;0,INDEX(WP!$A$2:$F$23,MATCH(LEFT($B326,FIND("_",$B326)-1),WP!$E$2:$E$23,0),2),IF(FIND("-",$B326)&gt;0,INDEX(WP!$A$2:$F$23,MATCH(LEFT($B326,FIND("_",$B326)-1),WP!$E$2:$E$23,0),2))),INDEX(WP!$A$2:$F$23,MATCH(Results!$B326,WP!$E$2:$E$23,0),2)))),IF(RIGHT(IFERROR(IF(FIND("_",$B326)&gt;0,INDEX(WP!$A$2:$F$23,MATCH(LEFT($B326,FIND("_",$B326)-1),WP!$E$2:$E$23,0),2),IF(FIND("-",$B326)&gt;0,INDEX(WP!$A$2:$F$23,MATCH(LEFT($B326,FIND("_",$B326)-1),WP!$E$2:$E$23,0),2))),INDEX(WP!$A$2:$F$23,MATCH(Results!$B326,WP!$E$2:$E$23,0),2)),6)="Series",LEFT(IFERROR(IF(FIND("_",$B326)&gt;0,INDEX(WP!$A$2:$F$23,MATCH(LEFT($B326,FIND("_",$B326)-1),WP!$E$2:$E$23,0),2),IF(FIND("-",$B326)&gt;0,INDEX(WP!$A$2:$F$23,MATCH(LEFT($B326,FIND("_",$B326)-1),WP!$E$2:$E$23,0),2))),INDEX(WP!$A$2:$F$23,MATCH(Results!$B326,WP!$E$2:$E$23,0),2)),5),(IFERROR(IF(FIND("_",$B326)&gt;0,INDEX(WP!$A$2:$F$23,MATCH(LEFT($B326,FIND("_",$B326)-1),WP!$E$2:$E$23,0),2),IF(FIND("-",$B326)&gt;0,INDEX(WP!$A$2:$F$23,MATCH(LEFT($B326,FIND("_",$B326)-1),WP!$E$2:$E$23,0),2))),INDEX(WP!$A$2:$F$23,MATCH(Results!$B326,WP!$E$2:$E$23,0),2))))&amp;"-"&amp;$I326),"")</f>
        <v/>
      </c>
      <c r="G326" s="17" t="str">
        <f>IF(LEN(_xlfn.IFNA(IF(IFERROR(IF(FIND("_",$B326)&gt;0,MID($B326,FIND("_",$B326)+1,LEN($B326)),IF(FIND("-",$B326)&gt;0,MID($B326,FIND("-",$B326)+1,LEN($B326)))),"")="",IFERROR(VLOOKUP($F326,WP!$B$2:$C$23,2,0),VLOOKUP($C326,Series!$A$3:$F$11,6,0)),IFERROR(VLOOKUP($F326,WP!$B$2:$C$23,2,0),VLOOKUP($C326,Series!$A$3:$F$11,6,0))&amp;" - "&amp;(IFERROR(IF(FIND("_",$B326)&gt;0,MID($B326,FIND("_",$B326)+1,LEN($B326)),IF(FIND("-",$B326)&gt;0,MID($B326,FIND("-",$B326)+1,LEN($B326)))),""))),""))&lt;64,_xlfn.IFNA(IF(IFERROR(IF(FIND("_",$B326)&gt;0,MID($B326,FIND("_",$B326)+1,LEN($B326)),IF(FIND("-",$B326)&gt;0,MID($B326,FIND("-",$B326)+1,LEN($B326)))),"")="",IFERROR(VLOOKUP($F326,WP!$B$2:$C$23,2,0),VLOOKUP($C326,Series!$A$3:$F$11,6,0)),IFERROR(VLOOKUP($F326,WP!$B$2:$C$23,2,0),VLOOKUP($C326,Series!$A$3:$F$11,6,0))&amp;" - "&amp;(IFERROR(IF(FIND("_",$B326)&gt;0,MID($B326,FIND("_",$B326)+1,LEN($B326)),IF(FIND("-",$B326)&gt;0,MID($B326,FIND("-",$B326)+1,LEN($B326)))),""))),""),LEFT((_xlfn.IFNA(IF(IFERROR(IF(FIND("_",$B326)&gt;0,MID($B326,FIND("_",$B326)+1,LEN($B326)),IF(FIND("-",$B326)&gt;0,MID($B326,FIND("-",$B326)+1,LEN($B326)))),"")="",IFERROR(VLOOKUP($F326,WP!$B$2:$C$23,2,0),VLOOKUP($C326,Series!$A$3:$F$11,6,0)),IFERROR(VLOOKUP($F326,WP!$B$2:$C$23,2,0),VLOOKUP($C326,Series!$A$3:$F$11,6,0))&amp;" - "&amp;(IFERROR(IF(FIND("_",$B326)&gt;0,MID($B326,FIND("_",$B326)+1,LEN($B326)),IF(FIND("-",$B326)&gt;0,MID($B326,FIND("-",$B326)+1,LEN($B326)))),""))),"")),64))</f>
        <v/>
      </c>
      <c r="H326" s="12"/>
      <c r="I326" s="12" t="str">
        <f>IF($D326&lt;&gt;"",COUNTIF($D$7:$D326,"="&amp;$D326),"")</f>
        <v/>
      </c>
      <c r="J326"/>
      <c r="K326" s="8"/>
      <c r="L326"/>
    </row>
    <row r="327" spans="1:12" x14ac:dyDescent="0.3">
      <c r="A327" s="1"/>
      <c r="B327" s="26"/>
      <c r="C327" s="12" t="str">
        <f>_xlfn.IFNA(IFERROR(IF(FIND("_",$B327)&gt;0,INDEX(WP!$A$2:$F$23,MATCH(LEFT($B327,FIND("_",$B327)-1),WP!$E$2:$E$23,0),1),IF(FIND("-",$B327)&gt;0,INDEX(WP!$A$2:$F$23,MATCH(LEFT($B327,FIND("_",$B327)-1),WP!$E$2:$E$23,0),1))),INDEX(WP!$A$2:$F$23,MATCH(Results!$B327,WP!$E$2:$E$23,0),1)),"")</f>
        <v/>
      </c>
      <c r="D327" s="12" t="str">
        <f>IFERROR(IFERROR(IF(RIGHT(INDEX(WP!$A$2:$F$23,MATCH(IF(FIND("_",$B327)&gt;0,LEFT($B327,FIND("_",$B327)-1)),WP!$E$2:$E$23,0),2),6)="Series",LEFT(INDEX(WP!$A$2:$F$23,MATCH(IF(FIND("_",$B327)&gt;0,LEFT($B327,FIND("_",$B327)-1)),WP!$E$2:$E$23,0),2),5),""),IF(RIGHT(INDEX(WP!$A$2:$F$23,MATCH($B327,WP!$E$2:$E$23,0),2),6)="Series",LEFT(INDEX(WP!$A$2:$F$23,MATCH($B327,WP!$E$2:$E$23,0),2),5),"")),"")</f>
        <v/>
      </c>
      <c r="E327" s="17" t="str">
        <f>IFERROR(VLOOKUP(VALUE($D327),Series!$B$3:$F$11,2,0),"")</f>
        <v/>
      </c>
      <c r="F327" s="12" t="str">
        <f>_xlfn.IFNA(IF(IF($D327&lt;&gt;"",COUNTIF($E:$E,"="&amp;$D327),"")="",IF(RIGHT(IFERROR(IF(FIND("_",$B327)&gt;0,INDEX(WP!$A$2:$F$23,MATCH(LEFT($B327,FIND("_",$B327)-1),WP!$E$2:$E$23,0),2),IF(FIND("-",$B327)&gt;0,INDEX(WP!$A$2:$F$23,MATCH(LEFT($B327,FIND("_",$B327)-1),WP!$E$2:$E$23,0),2))),INDEX(WP!$A$2:$F$23,MATCH(Results!$B327,WP!$E$2:$E$23,0),2)),6)="Series",LEFT(IFERROR(IF(FIND("_",$B327)&gt;0,INDEX(WP!$A$2:$F$23,MATCH(LEFT($B327,FIND("_",$B327)-1),WP!$E$2:$E$23,0),2),IF(FIND("-",$B327)&gt;0,INDEX(WP!$A$2:$F$23,MATCH(LEFT($B327,FIND("_",$B327)-1),WP!$E$2:$E$23,0),2))),INDEX(WP!$A$2:$F$23,MATCH(Results!$B327,WP!$E$2:$E$23,0),2)),5),(IFERROR(IF(FIND("_",$B327)&gt;0,INDEX(WP!$A$2:$F$23,MATCH(LEFT($B327,FIND("_",$B327)-1),WP!$E$2:$E$23,0),2),IF(FIND("-",$B327)&gt;0,INDEX(WP!$A$2:$F$23,MATCH(LEFT($B327,FIND("_",$B327)-1),WP!$E$2:$E$23,0),2))),INDEX(WP!$A$2:$F$23,MATCH(Results!$B327,WP!$E$2:$E$23,0),2)))),IF(RIGHT(IFERROR(IF(FIND("_",$B327)&gt;0,INDEX(WP!$A$2:$F$23,MATCH(LEFT($B327,FIND("_",$B327)-1),WP!$E$2:$E$23,0),2),IF(FIND("-",$B327)&gt;0,INDEX(WP!$A$2:$F$23,MATCH(LEFT($B327,FIND("_",$B327)-1),WP!$E$2:$E$23,0),2))),INDEX(WP!$A$2:$F$23,MATCH(Results!$B327,WP!$E$2:$E$23,0),2)),6)="Series",LEFT(IFERROR(IF(FIND("_",$B327)&gt;0,INDEX(WP!$A$2:$F$23,MATCH(LEFT($B327,FIND("_",$B327)-1),WP!$E$2:$E$23,0),2),IF(FIND("-",$B327)&gt;0,INDEX(WP!$A$2:$F$23,MATCH(LEFT($B327,FIND("_",$B327)-1),WP!$E$2:$E$23,0),2))),INDEX(WP!$A$2:$F$23,MATCH(Results!$B327,WP!$E$2:$E$23,0),2)),5),(IFERROR(IF(FIND("_",$B327)&gt;0,INDEX(WP!$A$2:$F$23,MATCH(LEFT($B327,FIND("_",$B327)-1),WP!$E$2:$E$23,0),2),IF(FIND("-",$B327)&gt;0,INDEX(WP!$A$2:$F$23,MATCH(LEFT($B327,FIND("_",$B327)-1),WP!$E$2:$E$23,0),2))),INDEX(WP!$A$2:$F$23,MATCH(Results!$B327,WP!$E$2:$E$23,0),2))))&amp;"-"&amp;$I327),"")</f>
        <v/>
      </c>
      <c r="G327" s="17" t="str">
        <f>IF(LEN(_xlfn.IFNA(IF(IFERROR(IF(FIND("_",$B327)&gt;0,MID($B327,FIND("_",$B327)+1,LEN($B327)),IF(FIND("-",$B327)&gt;0,MID($B327,FIND("-",$B327)+1,LEN($B327)))),"")="",IFERROR(VLOOKUP($F327,WP!$B$2:$C$23,2,0),VLOOKUP($C327,Series!$A$3:$F$11,6,0)),IFERROR(VLOOKUP($F327,WP!$B$2:$C$23,2,0),VLOOKUP($C327,Series!$A$3:$F$11,6,0))&amp;" - "&amp;(IFERROR(IF(FIND("_",$B327)&gt;0,MID($B327,FIND("_",$B327)+1,LEN($B327)),IF(FIND("-",$B327)&gt;0,MID($B327,FIND("-",$B327)+1,LEN($B327)))),""))),""))&lt;64,_xlfn.IFNA(IF(IFERROR(IF(FIND("_",$B327)&gt;0,MID($B327,FIND("_",$B327)+1,LEN($B327)),IF(FIND("-",$B327)&gt;0,MID($B327,FIND("-",$B327)+1,LEN($B327)))),"")="",IFERROR(VLOOKUP($F327,WP!$B$2:$C$23,2,0),VLOOKUP($C327,Series!$A$3:$F$11,6,0)),IFERROR(VLOOKUP($F327,WP!$B$2:$C$23,2,0),VLOOKUP($C327,Series!$A$3:$F$11,6,0))&amp;" - "&amp;(IFERROR(IF(FIND("_",$B327)&gt;0,MID($B327,FIND("_",$B327)+1,LEN($B327)),IF(FIND("-",$B327)&gt;0,MID($B327,FIND("-",$B327)+1,LEN($B327)))),""))),""),LEFT((_xlfn.IFNA(IF(IFERROR(IF(FIND("_",$B327)&gt;0,MID($B327,FIND("_",$B327)+1,LEN($B327)),IF(FIND("-",$B327)&gt;0,MID($B327,FIND("-",$B327)+1,LEN($B327)))),"")="",IFERROR(VLOOKUP($F327,WP!$B$2:$C$23,2,0),VLOOKUP($C327,Series!$A$3:$F$11,6,0)),IFERROR(VLOOKUP($F327,WP!$B$2:$C$23,2,0),VLOOKUP($C327,Series!$A$3:$F$11,6,0))&amp;" - "&amp;(IFERROR(IF(FIND("_",$B327)&gt;0,MID($B327,FIND("_",$B327)+1,LEN($B327)),IF(FIND("-",$B327)&gt;0,MID($B327,FIND("-",$B327)+1,LEN($B327)))),""))),"")),64))</f>
        <v/>
      </c>
      <c r="H327" s="12"/>
      <c r="I327" s="12" t="str">
        <f>IF($D327&lt;&gt;"",COUNTIF($D$7:$D327,"="&amp;$D327),"")</f>
        <v/>
      </c>
      <c r="J327"/>
      <c r="K327" s="8"/>
      <c r="L327"/>
    </row>
    <row r="328" spans="1:12" x14ac:dyDescent="0.3">
      <c r="A328" s="1"/>
      <c r="B328" s="26"/>
      <c r="C328" s="12" t="str">
        <f>_xlfn.IFNA(IFERROR(IF(FIND("_",$B328)&gt;0,INDEX(WP!$A$2:$F$23,MATCH(LEFT($B328,FIND("_",$B328)-1),WP!$E$2:$E$23,0),1),IF(FIND("-",$B328)&gt;0,INDEX(WP!$A$2:$F$23,MATCH(LEFT($B328,FIND("_",$B328)-1),WP!$E$2:$E$23,0),1))),INDEX(WP!$A$2:$F$23,MATCH(Results!$B328,WP!$E$2:$E$23,0),1)),"")</f>
        <v/>
      </c>
      <c r="D328" s="12" t="str">
        <f>IFERROR(IFERROR(IF(RIGHT(INDEX(WP!$A$2:$F$23,MATCH(IF(FIND("_",$B328)&gt;0,LEFT($B328,FIND("_",$B328)-1)),WP!$E$2:$E$23,0),2),6)="Series",LEFT(INDEX(WP!$A$2:$F$23,MATCH(IF(FIND("_",$B328)&gt;0,LEFT($B328,FIND("_",$B328)-1)),WP!$E$2:$E$23,0),2),5),""),IF(RIGHT(INDEX(WP!$A$2:$F$23,MATCH($B328,WP!$E$2:$E$23,0),2),6)="Series",LEFT(INDEX(WP!$A$2:$F$23,MATCH($B328,WP!$E$2:$E$23,0),2),5),"")),"")</f>
        <v/>
      </c>
      <c r="E328" s="17" t="str">
        <f>IFERROR(VLOOKUP(VALUE($D328),Series!$B$3:$F$11,2,0),"")</f>
        <v/>
      </c>
      <c r="F328" s="12" t="str">
        <f>_xlfn.IFNA(IF(IF($D328&lt;&gt;"",COUNTIF($E:$E,"="&amp;$D328),"")="",IF(RIGHT(IFERROR(IF(FIND("_",$B328)&gt;0,INDEX(WP!$A$2:$F$23,MATCH(LEFT($B328,FIND("_",$B328)-1),WP!$E$2:$E$23,0),2),IF(FIND("-",$B328)&gt;0,INDEX(WP!$A$2:$F$23,MATCH(LEFT($B328,FIND("_",$B328)-1),WP!$E$2:$E$23,0),2))),INDEX(WP!$A$2:$F$23,MATCH(Results!$B328,WP!$E$2:$E$23,0),2)),6)="Series",LEFT(IFERROR(IF(FIND("_",$B328)&gt;0,INDEX(WP!$A$2:$F$23,MATCH(LEFT($B328,FIND("_",$B328)-1),WP!$E$2:$E$23,0),2),IF(FIND("-",$B328)&gt;0,INDEX(WP!$A$2:$F$23,MATCH(LEFT($B328,FIND("_",$B328)-1),WP!$E$2:$E$23,0),2))),INDEX(WP!$A$2:$F$23,MATCH(Results!$B328,WP!$E$2:$E$23,0),2)),5),(IFERROR(IF(FIND("_",$B328)&gt;0,INDEX(WP!$A$2:$F$23,MATCH(LEFT($B328,FIND("_",$B328)-1),WP!$E$2:$E$23,0),2),IF(FIND("-",$B328)&gt;0,INDEX(WP!$A$2:$F$23,MATCH(LEFT($B328,FIND("_",$B328)-1),WP!$E$2:$E$23,0),2))),INDEX(WP!$A$2:$F$23,MATCH(Results!$B328,WP!$E$2:$E$23,0),2)))),IF(RIGHT(IFERROR(IF(FIND("_",$B328)&gt;0,INDEX(WP!$A$2:$F$23,MATCH(LEFT($B328,FIND("_",$B328)-1),WP!$E$2:$E$23,0),2),IF(FIND("-",$B328)&gt;0,INDEX(WP!$A$2:$F$23,MATCH(LEFT($B328,FIND("_",$B328)-1),WP!$E$2:$E$23,0),2))),INDEX(WP!$A$2:$F$23,MATCH(Results!$B328,WP!$E$2:$E$23,0),2)),6)="Series",LEFT(IFERROR(IF(FIND("_",$B328)&gt;0,INDEX(WP!$A$2:$F$23,MATCH(LEFT($B328,FIND("_",$B328)-1),WP!$E$2:$E$23,0),2),IF(FIND("-",$B328)&gt;0,INDEX(WP!$A$2:$F$23,MATCH(LEFT($B328,FIND("_",$B328)-1),WP!$E$2:$E$23,0),2))),INDEX(WP!$A$2:$F$23,MATCH(Results!$B328,WP!$E$2:$E$23,0),2)),5),(IFERROR(IF(FIND("_",$B328)&gt;0,INDEX(WP!$A$2:$F$23,MATCH(LEFT($B328,FIND("_",$B328)-1),WP!$E$2:$E$23,0),2),IF(FIND("-",$B328)&gt;0,INDEX(WP!$A$2:$F$23,MATCH(LEFT($B328,FIND("_",$B328)-1),WP!$E$2:$E$23,0),2))),INDEX(WP!$A$2:$F$23,MATCH(Results!$B328,WP!$E$2:$E$23,0),2))))&amp;"-"&amp;$I328),"")</f>
        <v/>
      </c>
      <c r="G328" s="17" t="str">
        <f>IF(LEN(_xlfn.IFNA(IF(IFERROR(IF(FIND("_",$B328)&gt;0,MID($B328,FIND("_",$B328)+1,LEN($B328)),IF(FIND("-",$B328)&gt;0,MID($B328,FIND("-",$B328)+1,LEN($B328)))),"")="",IFERROR(VLOOKUP($F328,WP!$B$2:$C$23,2,0),VLOOKUP($C328,Series!$A$3:$F$11,6,0)),IFERROR(VLOOKUP($F328,WP!$B$2:$C$23,2,0),VLOOKUP($C328,Series!$A$3:$F$11,6,0))&amp;" - "&amp;(IFERROR(IF(FIND("_",$B328)&gt;0,MID($B328,FIND("_",$B328)+1,LEN($B328)),IF(FIND("-",$B328)&gt;0,MID($B328,FIND("-",$B328)+1,LEN($B328)))),""))),""))&lt;64,_xlfn.IFNA(IF(IFERROR(IF(FIND("_",$B328)&gt;0,MID($B328,FIND("_",$B328)+1,LEN($B328)),IF(FIND("-",$B328)&gt;0,MID($B328,FIND("-",$B328)+1,LEN($B328)))),"")="",IFERROR(VLOOKUP($F328,WP!$B$2:$C$23,2,0),VLOOKUP($C328,Series!$A$3:$F$11,6,0)),IFERROR(VLOOKUP($F328,WP!$B$2:$C$23,2,0),VLOOKUP($C328,Series!$A$3:$F$11,6,0))&amp;" - "&amp;(IFERROR(IF(FIND("_",$B328)&gt;0,MID($B328,FIND("_",$B328)+1,LEN($B328)),IF(FIND("-",$B328)&gt;0,MID($B328,FIND("-",$B328)+1,LEN($B328)))),""))),""),LEFT((_xlfn.IFNA(IF(IFERROR(IF(FIND("_",$B328)&gt;0,MID($B328,FIND("_",$B328)+1,LEN($B328)),IF(FIND("-",$B328)&gt;0,MID($B328,FIND("-",$B328)+1,LEN($B328)))),"")="",IFERROR(VLOOKUP($F328,WP!$B$2:$C$23,2,0),VLOOKUP($C328,Series!$A$3:$F$11,6,0)),IFERROR(VLOOKUP($F328,WP!$B$2:$C$23,2,0),VLOOKUP($C328,Series!$A$3:$F$11,6,0))&amp;" - "&amp;(IFERROR(IF(FIND("_",$B328)&gt;0,MID($B328,FIND("_",$B328)+1,LEN($B328)),IF(FIND("-",$B328)&gt;0,MID($B328,FIND("-",$B328)+1,LEN($B328)))),""))),"")),64))</f>
        <v/>
      </c>
      <c r="H328" s="12"/>
      <c r="I328" s="12" t="str">
        <f>IF($D328&lt;&gt;"",COUNTIF($D$7:$D328,"="&amp;$D328),"")</f>
        <v/>
      </c>
      <c r="J328"/>
      <c r="K328" s="8"/>
      <c r="L328"/>
    </row>
    <row r="329" spans="1:12" x14ac:dyDescent="0.3">
      <c r="A329" s="1"/>
      <c r="B329" s="26"/>
      <c r="C329" s="12" t="str">
        <f>_xlfn.IFNA(IFERROR(IF(FIND("_",$B329)&gt;0,INDEX(WP!$A$2:$F$23,MATCH(LEFT($B329,FIND("_",$B329)-1),WP!$E$2:$E$23,0),1),IF(FIND("-",$B329)&gt;0,INDEX(WP!$A$2:$F$23,MATCH(LEFT($B329,FIND("_",$B329)-1),WP!$E$2:$E$23,0),1))),INDEX(WP!$A$2:$F$23,MATCH(Results!$B329,WP!$E$2:$E$23,0),1)),"")</f>
        <v/>
      </c>
      <c r="D329" s="12" t="str">
        <f>IFERROR(IFERROR(IF(RIGHT(INDEX(WP!$A$2:$F$23,MATCH(IF(FIND("_",$B329)&gt;0,LEFT($B329,FIND("_",$B329)-1)),WP!$E$2:$E$23,0),2),6)="Series",LEFT(INDEX(WP!$A$2:$F$23,MATCH(IF(FIND("_",$B329)&gt;0,LEFT($B329,FIND("_",$B329)-1)),WP!$E$2:$E$23,0),2),5),""),IF(RIGHT(INDEX(WP!$A$2:$F$23,MATCH($B329,WP!$E$2:$E$23,0),2),6)="Series",LEFT(INDEX(WP!$A$2:$F$23,MATCH($B329,WP!$E$2:$E$23,0),2),5),"")),"")</f>
        <v/>
      </c>
      <c r="E329" s="17" t="str">
        <f>IFERROR(VLOOKUP(VALUE($D329),Series!$B$3:$F$11,2,0),"")</f>
        <v/>
      </c>
      <c r="F329" s="12" t="str">
        <f>_xlfn.IFNA(IF(IF($D329&lt;&gt;"",COUNTIF($E:$E,"="&amp;$D329),"")="",IF(RIGHT(IFERROR(IF(FIND("_",$B329)&gt;0,INDEX(WP!$A$2:$F$23,MATCH(LEFT($B329,FIND("_",$B329)-1),WP!$E$2:$E$23,0),2),IF(FIND("-",$B329)&gt;0,INDEX(WP!$A$2:$F$23,MATCH(LEFT($B329,FIND("_",$B329)-1),WP!$E$2:$E$23,0),2))),INDEX(WP!$A$2:$F$23,MATCH(Results!$B329,WP!$E$2:$E$23,0),2)),6)="Series",LEFT(IFERROR(IF(FIND("_",$B329)&gt;0,INDEX(WP!$A$2:$F$23,MATCH(LEFT($B329,FIND("_",$B329)-1),WP!$E$2:$E$23,0),2),IF(FIND("-",$B329)&gt;0,INDEX(WP!$A$2:$F$23,MATCH(LEFT($B329,FIND("_",$B329)-1),WP!$E$2:$E$23,0),2))),INDEX(WP!$A$2:$F$23,MATCH(Results!$B329,WP!$E$2:$E$23,0),2)),5),(IFERROR(IF(FIND("_",$B329)&gt;0,INDEX(WP!$A$2:$F$23,MATCH(LEFT($B329,FIND("_",$B329)-1),WP!$E$2:$E$23,0),2),IF(FIND("-",$B329)&gt;0,INDEX(WP!$A$2:$F$23,MATCH(LEFT($B329,FIND("_",$B329)-1),WP!$E$2:$E$23,0),2))),INDEX(WP!$A$2:$F$23,MATCH(Results!$B329,WP!$E$2:$E$23,0),2)))),IF(RIGHT(IFERROR(IF(FIND("_",$B329)&gt;0,INDEX(WP!$A$2:$F$23,MATCH(LEFT($B329,FIND("_",$B329)-1),WP!$E$2:$E$23,0),2),IF(FIND("-",$B329)&gt;0,INDEX(WP!$A$2:$F$23,MATCH(LEFT($B329,FIND("_",$B329)-1),WP!$E$2:$E$23,0),2))),INDEX(WP!$A$2:$F$23,MATCH(Results!$B329,WP!$E$2:$E$23,0),2)),6)="Series",LEFT(IFERROR(IF(FIND("_",$B329)&gt;0,INDEX(WP!$A$2:$F$23,MATCH(LEFT($B329,FIND("_",$B329)-1),WP!$E$2:$E$23,0),2),IF(FIND("-",$B329)&gt;0,INDEX(WP!$A$2:$F$23,MATCH(LEFT($B329,FIND("_",$B329)-1),WP!$E$2:$E$23,0),2))),INDEX(WP!$A$2:$F$23,MATCH(Results!$B329,WP!$E$2:$E$23,0),2)),5),(IFERROR(IF(FIND("_",$B329)&gt;0,INDEX(WP!$A$2:$F$23,MATCH(LEFT($B329,FIND("_",$B329)-1),WP!$E$2:$E$23,0),2),IF(FIND("-",$B329)&gt;0,INDEX(WP!$A$2:$F$23,MATCH(LEFT($B329,FIND("_",$B329)-1),WP!$E$2:$E$23,0),2))),INDEX(WP!$A$2:$F$23,MATCH(Results!$B329,WP!$E$2:$E$23,0),2))))&amp;"-"&amp;$I329),"")</f>
        <v/>
      </c>
      <c r="G329" s="17" t="str">
        <f>IF(LEN(_xlfn.IFNA(IF(IFERROR(IF(FIND("_",$B329)&gt;0,MID($B329,FIND("_",$B329)+1,LEN($B329)),IF(FIND("-",$B329)&gt;0,MID($B329,FIND("-",$B329)+1,LEN($B329)))),"")="",IFERROR(VLOOKUP($F329,WP!$B$2:$C$23,2,0),VLOOKUP($C329,Series!$A$3:$F$11,6,0)),IFERROR(VLOOKUP($F329,WP!$B$2:$C$23,2,0),VLOOKUP($C329,Series!$A$3:$F$11,6,0))&amp;" - "&amp;(IFERROR(IF(FIND("_",$B329)&gt;0,MID($B329,FIND("_",$B329)+1,LEN($B329)),IF(FIND("-",$B329)&gt;0,MID($B329,FIND("-",$B329)+1,LEN($B329)))),""))),""))&lt;64,_xlfn.IFNA(IF(IFERROR(IF(FIND("_",$B329)&gt;0,MID($B329,FIND("_",$B329)+1,LEN($B329)),IF(FIND("-",$B329)&gt;0,MID($B329,FIND("-",$B329)+1,LEN($B329)))),"")="",IFERROR(VLOOKUP($F329,WP!$B$2:$C$23,2,0),VLOOKUP($C329,Series!$A$3:$F$11,6,0)),IFERROR(VLOOKUP($F329,WP!$B$2:$C$23,2,0),VLOOKUP($C329,Series!$A$3:$F$11,6,0))&amp;" - "&amp;(IFERROR(IF(FIND("_",$B329)&gt;0,MID($B329,FIND("_",$B329)+1,LEN($B329)),IF(FIND("-",$B329)&gt;0,MID($B329,FIND("-",$B329)+1,LEN($B329)))),""))),""),LEFT((_xlfn.IFNA(IF(IFERROR(IF(FIND("_",$B329)&gt;0,MID($B329,FIND("_",$B329)+1,LEN($B329)),IF(FIND("-",$B329)&gt;0,MID($B329,FIND("-",$B329)+1,LEN($B329)))),"")="",IFERROR(VLOOKUP($F329,WP!$B$2:$C$23,2,0),VLOOKUP($C329,Series!$A$3:$F$11,6,0)),IFERROR(VLOOKUP($F329,WP!$B$2:$C$23,2,0),VLOOKUP($C329,Series!$A$3:$F$11,6,0))&amp;" - "&amp;(IFERROR(IF(FIND("_",$B329)&gt;0,MID($B329,FIND("_",$B329)+1,LEN($B329)),IF(FIND("-",$B329)&gt;0,MID($B329,FIND("-",$B329)+1,LEN($B329)))),""))),"")),64))</f>
        <v/>
      </c>
      <c r="H329" s="12"/>
      <c r="I329" s="12" t="str">
        <f>IF($D329&lt;&gt;"",COUNTIF($D$7:$D329,"="&amp;$D329),"")</f>
        <v/>
      </c>
      <c r="J329"/>
      <c r="K329" s="8"/>
      <c r="L329"/>
    </row>
    <row r="330" spans="1:12" x14ac:dyDescent="0.3">
      <c r="A330" s="1"/>
      <c r="B330" s="26"/>
      <c r="C330" s="12" t="str">
        <f>_xlfn.IFNA(IFERROR(IF(FIND("_",$B330)&gt;0,INDEX(WP!$A$2:$F$23,MATCH(LEFT($B330,FIND("_",$B330)-1),WP!$E$2:$E$23,0),1),IF(FIND("-",$B330)&gt;0,INDEX(WP!$A$2:$F$23,MATCH(LEFT($B330,FIND("_",$B330)-1),WP!$E$2:$E$23,0),1))),INDEX(WP!$A$2:$F$23,MATCH(Results!$B330,WP!$E$2:$E$23,0),1)),"")</f>
        <v/>
      </c>
      <c r="D330" s="12" t="str">
        <f>IFERROR(IFERROR(IF(RIGHT(INDEX(WP!$A$2:$F$23,MATCH(IF(FIND("_",$B330)&gt;0,LEFT($B330,FIND("_",$B330)-1)),WP!$E$2:$E$23,0),2),6)="Series",LEFT(INDEX(WP!$A$2:$F$23,MATCH(IF(FIND("_",$B330)&gt;0,LEFT($B330,FIND("_",$B330)-1)),WP!$E$2:$E$23,0),2),5),""),IF(RIGHT(INDEX(WP!$A$2:$F$23,MATCH($B330,WP!$E$2:$E$23,0),2),6)="Series",LEFT(INDEX(WP!$A$2:$F$23,MATCH($B330,WP!$E$2:$E$23,0),2),5),"")),"")</f>
        <v/>
      </c>
      <c r="E330" s="17" t="str">
        <f>IFERROR(VLOOKUP(VALUE($D330),Series!$B$3:$F$11,2,0),"")</f>
        <v/>
      </c>
      <c r="F330" s="12" t="str">
        <f>_xlfn.IFNA(IF(IF($D330&lt;&gt;"",COUNTIF($E:$E,"="&amp;$D330),"")="",IF(RIGHT(IFERROR(IF(FIND("_",$B330)&gt;0,INDEX(WP!$A$2:$F$23,MATCH(LEFT($B330,FIND("_",$B330)-1),WP!$E$2:$E$23,0),2),IF(FIND("-",$B330)&gt;0,INDEX(WP!$A$2:$F$23,MATCH(LEFT($B330,FIND("_",$B330)-1),WP!$E$2:$E$23,0),2))),INDEX(WP!$A$2:$F$23,MATCH(Results!$B330,WP!$E$2:$E$23,0),2)),6)="Series",LEFT(IFERROR(IF(FIND("_",$B330)&gt;0,INDEX(WP!$A$2:$F$23,MATCH(LEFT($B330,FIND("_",$B330)-1),WP!$E$2:$E$23,0),2),IF(FIND("-",$B330)&gt;0,INDEX(WP!$A$2:$F$23,MATCH(LEFT($B330,FIND("_",$B330)-1),WP!$E$2:$E$23,0),2))),INDEX(WP!$A$2:$F$23,MATCH(Results!$B330,WP!$E$2:$E$23,0),2)),5),(IFERROR(IF(FIND("_",$B330)&gt;0,INDEX(WP!$A$2:$F$23,MATCH(LEFT($B330,FIND("_",$B330)-1),WP!$E$2:$E$23,0),2),IF(FIND("-",$B330)&gt;0,INDEX(WP!$A$2:$F$23,MATCH(LEFT($B330,FIND("_",$B330)-1),WP!$E$2:$E$23,0),2))),INDEX(WP!$A$2:$F$23,MATCH(Results!$B330,WP!$E$2:$E$23,0),2)))),IF(RIGHT(IFERROR(IF(FIND("_",$B330)&gt;0,INDEX(WP!$A$2:$F$23,MATCH(LEFT($B330,FIND("_",$B330)-1),WP!$E$2:$E$23,0),2),IF(FIND("-",$B330)&gt;0,INDEX(WP!$A$2:$F$23,MATCH(LEFT($B330,FIND("_",$B330)-1),WP!$E$2:$E$23,0),2))),INDEX(WP!$A$2:$F$23,MATCH(Results!$B330,WP!$E$2:$E$23,0),2)),6)="Series",LEFT(IFERROR(IF(FIND("_",$B330)&gt;0,INDEX(WP!$A$2:$F$23,MATCH(LEFT($B330,FIND("_",$B330)-1),WP!$E$2:$E$23,0),2),IF(FIND("-",$B330)&gt;0,INDEX(WP!$A$2:$F$23,MATCH(LEFT($B330,FIND("_",$B330)-1),WP!$E$2:$E$23,0),2))),INDEX(WP!$A$2:$F$23,MATCH(Results!$B330,WP!$E$2:$E$23,0),2)),5),(IFERROR(IF(FIND("_",$B330)&gt;0,INDEX(WP!$A$2:$F$23,MATCH(LEFT($B330,FIND("_",$B330)-1),WP!$E$2:$E$23,0),2),IF(FIND("-",$B330)&gt;0,INDEX(WP!$A$2:$F$23,MATCH(LEFT($B330,FIND("_",$B330)-1),WP!$E$2:$E$23,0),2))),INDEX(WP!$A$2:$F$23,MATCH(Results!$B330,WP!$E$2:$E$23,0),2))))&amp;"-"&amp;$I330),"")</f>
        <v/>
      </c>
      <c r="G330" s="17" t="str">
        <f>IF(LEN(_xlfn.IFNA(IF(IFERROR(IF(FIND("_",$B330)&gt;0,MID($B330,FIND("_",$B330)+1,LEN($B330)),IF(FIND("-",$B330)&gt;0,MID($B330,FIND("-",$B330)+1,LEN($B330)))),"")="",IFERROR(VLOOKUP($F330,WP!$B$2:$C$23,2,0),VLOOKUP($C330,Series!$A$3:$F$11,6,0)),IFERROR(VLOOKUP($F330,WP!$B$2:$C$23,2,0),VLOOKUP($C330,Series!$A$3:$F$11,6,0))&amp;" - "&amp;(IFERROR(IF(FIND("_",$B330)&gt;0,MID($B330,FIND("_",$B330)+1,LEN($B330)),IF(FIND("-",$B330)&gt;0,MID($B330,FIND("-",$B330)+1,LEN($B330)))),""))),""))&lt;64,_xlfn.IFNA(IF(IFERROR(IF(FIND("_",$B330)&gt;0,MID($B330,FIND("_",$B330)+1,LEN($B330)),IF(FIND("-",$B330)&gt;0,MID($B330,FIND("-",$B330)+1,LEN($B330)))),"")="",IFERROR(VLOOKUP($F330,WP!$B$2:$C$23,2,0),VLOOKUP($C330,Series!$A$3:$F$11,6,0)),IFERROR(VLOOKUP($F330,WP!$B$2:$C$23,2,0),VLOOKUP($C330,Series!$A$3:$F$11,6,0))&amp;" - "&amp;(IFERROR(IF(FIND("_",$B330)&gt;0,MID($B330,FIND("_",$B330)+1,LEN($B330)),IF(FIND("-",$B330)&gt;0,MID($B330,FIND("-",$B330)+1,LEN($B330)))),""))),""),LEFT((_xlfn.IFNA(IF(IFERROR(IF(FIND("_",$B330)&gt;0,MID($B330,FIND("_",$B330)+1,LEN($B330)),IF(FIND("-",$B330)&gt;0,MID($B330,FIND("-",$B330)+1,LEN($B330)))),"")="",IFERROR(VLOOKUP($F330,WP!$B$2:$C$23,2,0),VLOOKUP($C330,Series!$A$3:$F$11,6,0)),IFERROR(VLOOKUP($F330,WP!$B$2:$C$23,2,0),VLOOKUP($C330,Series!$A$3:$F$11,6,0))&amp;" - "&amp;(IFERROR(IF(FIND("_",$B330)&gt;0,MID($B330,FIND("_",$B330)+1,LEN($B330)),IF(FIND("-",$B330)&gt;0,MID($B330,FIND("-",$B330)+1,LEN($B330)))),""))),"")),64))</f>
        <v/>
      </c>
      <c r="H330" s="12"/>
      <c r="I330" s="12" t="str">
        <f>IF($D330&lt;&gt;"",COUNTIF($D$7:$D330,"="&amp;$D330),"")</f>
        <v/>
      </c>
      <c r="J330"/>
      <c r="K330" s="8"/>
      <c r="L330"/>
    </row>
    <row r="331" spans="1:12" x14ac:dyDescent="0.3">
      <c r="A331" s="1"/>
      <c r="B331" s="26"/>
      <c r="C331" s="12" t="str">
        <f>_xlfn.IFNA(IFERROR(IF(FIND("_",$B331)&gt;0,INDEX(WP!$A$2:$F$23,MATCH(LEFT($B331,FIND("_",$B331)-1),WP!$E$2:$E$23,0),1),IF(FIND("-",$B331)&gt;0,INDEX(WP!$A$2:$F$23,MATCH(LEFT($B331,FIND("_",$B331)-1),WP!$E$2:$E$23,0),1))),INDEX(WP!$A$2:$F$23,MATCH(Results!$B331,WP!$E$2:$E$23,0),1)),"")</f>
        <v/>
      </c>
      <c r="D331" s="12" t="str">
        <f>IFERROR(IFERROR(IF(RIGHT(INDEX(WP!$A$2:$F$23,MATCH(IF(FIND("_",$B331)&gt;0,LEFT($B331,FIND("_",$B331)-1)),WP!$E$2:$E$23,0),2),6)="Series",LEFT(INDEX(WP!$A$2:$F$23,MATCH(IF(FIND("_",$B331)&gt;0,LEFT($B331,FIND("_",$B331)-1)),WP!$E$2:$E$23,0),2),5),""),IF(RIGHT(INDEX(WP!$A$2:$F$23,MATCH($B331,WP!$E$2:$E$23,0),2),6)="Series",LEFT(INDEX(WP!$A$2:$F$23,MATCH($B331,WP!$E$2:$E$23,0),2),5),"")),"")</f>
        <v/>
      </c>
      <c r="E331" s="17" t="str">
        <f>IFERROR(VLOOKUP(VALUE($D331),Series!$B$3:$F$11,2,0),"")</f>
        <v/>
      </c>
      <c r="F331" s="12" t="str">
        <f>_xlfn.IFNA(IF(IF($D331&lt;&gt;"",COUNTIF($E:$E,"="&amp;$D331),"")="",IF(RIGHT(IFERROR(IF(FIND("_",$B331)&gt;0,INDEX(WP!$A$2:$F$23,MATCH(LEFT($B331,FIND("_",$B331)-1),WP!$E$2:$E$23,0),2),IF(FIND("-",$B331)&gt;0,INDEX(WP!$A$2:$F$23,MATCH(LEFT($B331,FIND("_",$B331)-1),WP!$E$2:$E$23,0),2))),INDEX(WP!$A$2:$F$23,MATCH(Results!$B331,WP!$E$2:$E$23,0),2)),6)="Series",LEFT(IFERROR(IF(FIND("_",$B331)&gt;0,INDEX(WP!$A$2:$F$23,MATCH(LEFT($B331,FIND("_",$B331)-1),WP!$E$2:$E$23,0),2),IF(FIND("-",$B331)&gt;0,INDEX(WP!$A$2:$F$23,MATCH(LEFT($B331,FIND("_",$B331)-1),WP!$E$2:$E$23,0),2))),INDEX(WP!$A$2:$F$23,MATCH(Results!$B331,WP!$E$2:$E$23,0),2)),5),(IFERROR(IF(FIND("_",$B331)&gt;0,INDEX(WP!$A$2:$F$23,MATCH(LEFT($B331,FIND("_",$B331)-1),WP!$E$2:$E$23,0),2),IF(FIND("-",$B331)&gt;0,INDEX(WP!$A$2:$F$23,MATCH(LEFT($B331,FIND("_",$B331)-1),WP!$E$2:$E$23,0),2))),INDEX(WP!$A$2:$F$23,MATCH(Results!$B331,WP!$E$2:$E$23,0),2)))),IF(RIGHT(IFERROR(IF(FIND("_",$B331)&gt;0,INDEX(WP!$A$2:$F$23,MATCH(LEFT($B331,FIND("_",$B331)-1),WP!$E$2:$E$23,0),2),IF(FIND("-",$B331)&gt;0,INDEX(WP!$A$2:$F$23,MATCH(LEFT($B331,FIND("_",$B331)-1),WP!$E$2:$E$23,0),2))),INDEX(WP!$A$2:$F$23,MATCH(Results!$B331,WP!$E$2:$E$23,0),2)),6)="Series",LEFT(IFERROR(IF(FIND("_",$B331)&gt;0,INDEX(WP!$A$2:$F$23,MATCH(LEFT($B331,FIND("_",$B331)-1),WP!$E$2:$E$23,0),2),IF(FIND("-",$B331)&gt;0,INDEX(WP!$A$2:$F$23,MATCH(LEFT($B331,FIND("_",$B331)-1),WP!$E$2:$E$23,0),2))),INDEX(WP!$A$2:$F$23,MATCH(Results!$B331,WP!$E$2:$E$23,0),2)),5),(IFERROR(IF(FIND("_",$B331)&gt;0,INDEX(WP!$A$2:$F$23,MATCH(LEFT($B331,FIND("_",$B331)-1),WP!$E$2:$E$23,0),2),IF(FIND("-",$B331)&gt;0,INDEX(WP!$A$2:$F$23,MATCH(LEFT($B331,FIND("_",$B331)-1),WP!$E$2:$E$23,0),2))),INDEX(WP!$A$2:$F$23,MATCH(Results!$B331,WP!$E$2:$E$23,0),2))))&amp;"-"&amp;$I331),"")</f>
        <v/>
      </c>
      <c r="G331" s="17" t="str">
        <f>IF(LEN(_xlfn.IFNA(IF(IFERROR(IF(FIND("_",$B331)&gt;0,MID($B331,FIND("_",$B331)+1,LEN($B331)),IF(FIND("-",$B331)&gt;0,MID($B331,FIND("-",$B331)+1,LEN($B331)))),"")="",IFERROR(VLOOKUP($F331,WP!$B$2:$C$23,2,0),VLOOKUP($C331,Series!$A$3:$F$11,6,0)),IFERROR(VLOOKUP($F331,WP!$B$2:$C$23,2,0),VLOOKUP($C331,Series!$A$3:$F$11,6,0))&amp;" - "&amp;(IFERROR(IF(FIND("_",$B331)&gt;0,MID($B331,FIND("_",$B331)+1,LEN($B331)),IF(FIND("-",$B331)&gt;0,MID($B331,FIND("-",$B331)+1,LEN($B331)))),""))),""))&lt;64,_xlfn.IFNA(IF(IFERROR(IF(FIND("_",$B331)&gt;0,MID($B331,FIND("_",$B331)+1,LEN($B331)),IF(FIND("-",$B331)&gt;0,MID($B331,FIND("-",$B331)+1,LEN($B331)))),"")="",IFERROR(VLOOKUP($F331,WP!$B$2:$C$23,2,0),VLOOKUP($C331,Series!$A$3:$F$11,6,0)),IFERROR(VLOOKUP($F331,WP!$B$2:$C$23,2,0),VLOOKUP($C331,Series!$A$3:$F$11,6,0))&amp;" - "&amp;(IFERROR(IF(FIND("_",$B331)&gt;0,MID($B331,FIND("_",$B331)+1,LEN($B331)),IF(FIND("-",$B331)&gt;0,MID($B331,FIND("-",$B331)+1,LEN($B331)))),""))),""),LEFT((_xlfn.IFNA(IF(IFERROR(IF(FIND("_",$B331)&gt;0,MID($B331,FIND("_",$B331)+1,LEN($B331)),IF(FIND("-",$B331)&gt;0,MID($B331,FIND("-",$B331)+1,LEN($B331)))),"")="",IFERROR(VLOOKUP($F331,WP!$B$2:$C$23,2,0),VLOOKUP($C331,Series!$A$3:$F$11,6,0)),IFERROR(VLOOKUP($F331,WP!$B$2:$C$23,2,0),VLOOKUP($C331,Series!$A$3:$F$11,6,0))&amp;" - "&amp;(IFERROR(IF(FIND("_",$B331)&gt;0,MID($B331,FIND("_",$B331)+1,LEN($B331)),IF(FIND("-",$B331)&gt;0,MID($B331,FIND("-",$B331)+1,LEN($B331)))),""))),"")),64))</f>
        <v/>
      </c>
      <c r="H331" s="12"/>
      <c r="I331" s="12" t="str">
        <f>IF($D331&lt;&gt;"",COUNTIF($D$7:$D331,"="&amp;$D331),"")</f>
        <v/>
      </c>
      <c r="J331"/>
      <c r="K331" s="8"/>
      <c r="L331"/>
    </row>
    <row r="332" spans="1:12" x14ac:dyDescent="0.3">
      <c r="A332" s="1"/>
      <c r="B332" s="26"/>
      <c r="C332" s="12" t="str">
        <f>_xlfn.IFNA(IFERROR(IF(FIND("_",$B332)&gt;0,INDEX(WP!$A$2:$F$23,MATCH(LEFT($B332,FIND("_",$B332)-1),WP!$E$2:$E$23,0),1),IF(FIND("-",$B332)&gt;0,INDEX(WP!$A$2:$F$23,MATCH(LEFT($B332,FIND("_",$B332)-1),WP!$E$2:$E$23,0),1))),INDEX(WP!$A$2:$F$23,MATCH(Results!$B332,WP!$E$2:$E$23,0),1)),"")</f>
        <v/>
      </c>
      <c r="D332" s="12" t="str">
        <f>IFERROR(IFERROR(IF(RIGHT(INDEX(WP!$A$2:$F$23,MATCH(IF(FIND("_",$B332)&gt;0,LEFT($B332,FIND("_",$B332)-1)),WP!$E$2:$E$23,0),2),6)="Series",LEFT(INDEX(WP!$A$2:$F$23,MATCH(IF(FIND("_",$B332)&gt;0,LEFT($B332,FIND("_",$B332)-1)),WP!$E$2:$E$23,0),2),5),""),IF(RIGHT(INDEX(WP!$A$2:$F$23,MATCH($B332,WP!$E$2:$E$23,0),2),6)="Series",LEFT(INDEX(WP!$A$2:$F$23,MATCH($B332,WP!$E$2:$E$23,0),2),5),"")),"")</f>
        <v/>
      </c>
      <c r="E332" s="17" t="str">
        <f>IFERROR(VLOOKUP(VALUE($D332),Series!$B$3:$F$11,2,0),"")</f>
        <v/>
      </c>
      <c r="F332" s="12" t="str">
        <f>_xlfn.IFNA(IF(IF($D332&lt;&gt;"",COUNTIF($E:$E,"="&amp;$D332),"")="",IF(RIGHT(IFERROR(IF(FIND("_",$B332)&gt;0,INDEX(WP!$A$2:$F$23,MATCH(LEFT($B332,FIND("_",$B332)-1),WP!$E$2:$E$23,0),2),IF(FIND("-",$B332)&gt;0,INDEX(WP!$A$2:$F$23,MATCH(LEFT($B332,FIND("_",$B332)-1),WP!$E$2:$E$23,0),2))),INDEX(WP!$A$2:$F$23,MATCH(Results!$B332,WP!$E$2:$E$23,0),2)),6)="Series",LEFT(IFERROR(IF(FIND("_",$B332)&gt;0,INDEX(WP!$A$2:$F$23,MATCH(LEFT($B332,FIND("_",$B332)-1),WP!$E$2:$E$23,0),2),IF(FIND("-",$B332)&gt;0,INDEX(WP!$A$2:$F$23,MATCH(LEFT($B332,FIND("_",$B332)-1),WP!$E$2:$E$23,0),2))),INDEX(WP!$A$2:$F$23,MATCH(Results!$B332,WP!$E$2:$E$23,0),2)),5),(IFERROR(IF(FIND("_",$B332)&gt;0,INDEX(WP!$A$2:$F$23,MATCH(LEFT($B332,FIND("_",$B332)-1),WP!$E$2:$E$23,0),2),IF(FIND("-",$B332)&gt;0,INDEX(WP!$A$2:$F$23,MATCH(LEFT($B332,FIND("_",$B332)-1),WP!$E$2:$E$23,0),2))),INDEX(WP!$A$2:$F$23,MATCH(Results!$B332,WP!$E$2:$E$23,0),2)))),IF(RIGHT(IFERROR(IF(FIND("_",$B332)&gt;0,INDEX(WP!$A$2:$F$23,MATCH(LEFT($B332,FIND("_",$B332)-1),WP!$E$2:$E$23,0),2),IF(FIND("-",$B332)&gt;0,INDEX(WP!$A$2:$F$23,MATCH(LEFT($B332,FIND("_",$B332)-1),WP!$E$2:$E$23,0),2))),INDEX(WP!$A$2:$F$23,MATCH(Results!$B332,WP!$E$2:$E$23,0),2)),6)="Series",LEFT(IFERROR(IF(FIND("_",$B332)&gt;0,INDEX(WP!$A$2:$F$23,MATCH(LEFT($B332,FIND("_",$B332)-1),WP!$E$2:$E$23,0),2),IF(FIND("-",$B332)&gt;0,INDEX(WP!$A$2:$F$23,MATCH(LEFT($B332,FIND("_",$B332)-1),WP!$E$2:$E$23,0),2))),INDEX(WP!$A$2:$F$23,MATCH(Results!$B332,WP!$E$2:$E$23,0),2)),5),(IFERROR(IF(FIND("_",$B332)&gt;0,INDEX(WP!$A$2:$F$23,MATCH(LEFT($B332,FIND("_",$B332)-1),WP!$E$2:$E$23,0),2),IF(FIND("-",$B332)&gt;0,INDEX(WP!$A$2:$F$23,MATCH(LEFT($B332,FIND("_",$B332)-1),WP!$E$2:$E$23,0),2))),INDEX(WP!$A$2:$F$23,MATCH(Results!$B332,WP!$E$2:$E$23,0),2))))&amp;"-"&amp;$I332),"")</f>
        <v/>
      </c>
      <c r="G332" s="17" t="str">
        <f>IF(LEN(_xlfn.IFNA(IF(IFERROR(IF(FIND("_",$B332)&gt;0,MID($B332,FIND("_",$B332)+1,LEN($B332)),IF(FIND("-",$B332)&gt;0,MID($B332,FIND("-",$B332)+1,LEN($B332)))),"")="",IFERROR(VLOOKUP($F332,WP!$B$2:$C$23,2,0),VLOOKUP($C332,Series!$A$3:$F$11,6,0)),IFERROR(VLOOKUP($F332,WP!$B$2:$C$23,2,0),VLOOKUP($C332,Series!$A$3:$F$11,6,0))&amp;" - "&amp;(IFERROR(IF(FIND("_",$B332)&gt;0,MID($B332,FIND("_",$B332)+1,LEN($B332)),IF(FIND("-",$B332)&gt;0,MID($B332,FIND("-",$B332)+1,LEN($B332)))),""))),""))&lt;64,_xlfn.IFNA(IF(IFERROR(IF(FIND("_",$B332)&gt;0,MID($B332,FIND("_",$B332)+1,LEN($B332)),IF(FIND("-",$B332)&gt;0,MID($B332,FIND("-",$B332)+1,LEN($B332)))),"")="",IFERROR(VLOOKUP($F332,WP!$B$2:$C$23,2,0),VLOOKUP($C332,Series!$A$3:$F$11,6,0)),IFERROR(VLOOKUP($F332,WP!$B$2:$C$23,2,0),VLOOKUP($C332,Series!$A$3:$F$11,6,0))&amp;" - "&amp;(IFERROR(IF(FIND("_",$B332)&gt;0,MID($B332,FIND("_",$B332)+1,LEN($B332)),IF(FIND("-",$B332)&gt;0,MID($B332,FIND("-",$B332)+1,LEN($B332)))),""))),""),LEFT((_xlfn.IFNA(IF(IFERROR(IF(FIND("_",$B332)&gt;0,MID($B332,FIND("_",$B332)+1,LEN($B332)),IF(FIND("-",$B332)&gt;0,MID($B332,FIND("-",$B332)+1,LEN($B332)))),"")="",IFERROR(VLOOKUP($F332,WP!$B$2:$C$23,2,0),VLOOKUP($C332,Series!$A$3:$F$11,6,0)),IFERROR(VLOOKUP($F332,WP!$B$2:$C$23,2,0),VLOOKUP($C332,Series!$A$3:$F$11,6,0))&amp;" - "&amp;(IFERROR(IF(FIND("_",$B332)&gt;0,MID($B332,FIND("_",$B332)+1,LEN($B332)),IF(FIND("-",$B332)&gt;0,MID($B332,FIND("-",$B332)+1,LEN($B332)))),""))),"")),64))</f>
        <v/>
      </c>
      <c r="H332" s="12"/>
      <c r="I332" s="12" t="str">
        <f>IF($D332&lt;&gt;"",COUNTIF($D$7:$D332,"="&amp;$D332),"")</f>
        <v/>
      </c>
      <c r="J332"/>
      <c r="K332" s="8"/>
      <c r="L332"/>
    </row>
    <row r="333" spans="1:12" x14ac:dyDescent="0.3">
      <c r="A333" s="1"/>
      <c r="B333" s="26"/>
      <c r="C333" s="12" t="str">
        <f>_xlfn.IFNA(IFERROR(IF(FIND("_",$B333)&gt;0,INDEX(WP!$A$2:$F$23,MATCH(LEFT($B333,FIND("_",$B333)-1),WP!$E$2:$E$23,0),1),IF(FIND("-",$B333)&gt;0,INDEX(WP!$A$2:$F$23,MATCH(LEFT($B333,FIND("_",$B333)-1),WP!$E$2:$E$23,0),1))),INDEX(WP!$A$2:$F$23,MATCH(Results!$B333,WP!$E$2:$E$23,0),1)),"")</f>
        <v/>
      </c>
      <c r="D333" s="12" t="str">
        <f>IFERROR(IFERROR(IF(RIGHT(INDEX(WP!$A$2:$F$23,MATCH(IF(FIND("_",$B333)&gt;0,LEFT($B333,FIND("_",$B333)-1)),WP!$E$2:$E$23,0),2),6)="Series",LEFT(INDEX(WP!$A$2:$F$23,MATCH(IF(FIND("_",$B333)&gt;0,LEFT($B333,FIND("_",$B333)-1)),WP!$E$2:$E$23,0),2),5),""),IF(RIGHT(INDEX(WP!$A$2:$F$23,MATCH($B333,WP!$E$2:$E$23,0),2),6)="Series",LEFT(INDEX(WP!$A$2:$F$23,MATCH($B333,WP!$E$2:$E$23,0),2),5),"")),"")</f>
        <v/>
      </c>
      <c r="E333" s="17" t="str">
        <f>IFERROR(VLOOKUP(VALUE($D333),Series!$B$3:$F$11,2,0),"")</f>
        <v/>
      </c>
      <c r="F333" s="12" t="str">
        <f>_xlfn.IFNA(IF(IF($D333&lt;&gt;"",COUNTIF($E:$E,"="&amp;$D333),"")="",IF(RIGHT(IFERROR(IF(FIND("_",$B333)&gt;0,INDEX(WP!$A$2:$F$23,MATCH(LEFT($B333,FIND("_",$B333)-1),WP!$E$2:$E$23,0),2),IF(FIND("-",$B333)&gt;0,INDEX(WP!$A$2:$F$23,MATCH(LEFT($B333,FIND("_",$B333)-1),WP!$E$2:$E$23,0),2))),INDEX(WP!$A$2:$F$23,MATCH(Results!$B333,WP!$E$2:$E$23,0),2)),6)="Series",LEFT(IFERROR(IF(FIND("_",$B333)&gt;0,INDEX(WP!$A$2:$F$23,MATCH(LEFT($B333,FIND("_",$B333)-1),WP!$E$2:$E$23,0),2),IF(FIND("-",$B333)&gt;0,INDEX(WP!$A$2:$F$23,MATCH(LEFT($B333,FIND("_",$B333)-1),WP!$E$2:$E$23,0),2))),INDEX(WP!$A$2:$F$23,MATCH(Results!$B333,WP!$E$2:$E$23,0),2)),5),(IFERROR(IF(FIND("_",$B333)&gt;0,INDEX(WP!$A$2:$F$23,MATCH(LEFT($B333,FIND("_",$B333)-1),WP!$E$2:$E$23,0),2),IF(FIND("-",$B333)&gt;0,INDEX(WP!$A$2:$F$23,MATCH(LEFT($B333,FIND("_",$B333)-1),WP!$E$2:$E$23,0),2))),INDEX(WP!$A$2:$F$23,MATCH(Results!$B333,WP!$E$2:$E$23,0),2)))),IF(RIGHT(IFERROR(IF(FIND("_",$B333)&gt;0,INDEX(WP!$A$2:$F$23,MATCH(LEFT($B333,FIND("_",$B333)-1),WP!$E$2:$E$23,0),2),IF(FIND("-",$B333)&gt;0,INDEX(WP!$A$2:$F$23,MATCH(LEFT($B333,FIND("_",$B333)-1),WP!$E$2:$E$23,0),2))),INDEX(WP!$A$2:$F$23,MATCH(Results!$B333,WP!$E$2:$E$23,0),2)),6)="Series",LEFT(IFERROR(IF(FIND("_",$B333)&gt;0,INDEX(WP!$A$2:$F$23,MATCH(LEFT($B333,FIND("_",$B333)-1),WP!$E$2:$E$23,0),2),IF(FIND("-",$B333)&gt;0,INDEX(WP!$A$2:$F$23,MATCH(LEFT($B333,FIND("_",$B333)-1),WP!$E$2:$E$23,0),2))),INDEX(WP!$A$2:$F$23,MATCH(Results!$B333,WP!$E$2:$E$23,0),2)),5),(IFERROR(IF(FIND("_",$B333)&gt;0,INDEX(WP!$A$2:$F$23,MATCH(LEFT($B333,FIND("_",$B333)-1),WP!$E$2:$E$23,0),2),IF(FIND("-",$B333)&gt;0,INDEX(WP!$A$2:$F$23,MATCH(LEFT($B333,FIND("_",$B333)-1),WP!$E$2:$E$23,0),2))),INDEX(WP!$A$2:$F$23,MATCH(Results!$B333,WP!$E$2:$E$23,0),2))))&amp;"-"&amp;$I333),"")</f>
        <v/>
      </c>
      <c r="G333" s="17" t="str">
        <f>IF(LEN(_xlfn.IFNA(IF(IFERROR(IF(FIND("_",$B333)&gt;0,MID($B333,FIND("_",$B333)+1,LEN($B333)),IF(FIND("-",$B333)&gt;0,MID($B333,FIND("-",$B333)+1,LEN($B333)))),"")="",IFERROR(VLOOKUP($F333,WP!$B$2:$C$23,2,0),VLOOKUP($C333,Series!$A$3:$F$11,6,0)),IFERROR(VLOOKUP($F333,WP!$B$2:$C$23,2,0),VLOOKUP($C333,Series!$A$3:$F$11,6,0))&amp;" - "&amp;(IFERROR(IF(FIND("_",$B333)&gt;0,MID($B333,FIND("_",$B333)+1,LEN($B333)),IF(FIND("-",$B333)&gt;0,MID($B333,FIND("-",$B333)+1,LEN($B333)))),""))),""))&lt;64,_xlfn.IFNA(IF(IFERROR(IF(FIND("_",$B333)&gt;0,MID($B333,FIND("_",$B333)+1,LEN($B333)),IF(FIND("-",$B333)&gt;0,MID($B333,FIND("-",$B333)+1,LEN($B333)))),"")="",IFERROR(VLOOKUP($F333,WP!$B$2:$C$23,2,0),VLOOKUP($C333,Series!$A$3:$F$11,6,0)),IFERROR(VLOOKUP($F333,WP!$B$2:$C$23,2,0),VLOOKUP($C333,Series!$A$3:$F$11,6,0))&amp;" - "&amp;(IFERROR(IF(FIND("_",$B333)&gt;0,MID($B333,FIND("_",$B333)+1,LEN($B333)),IF(FIND("-",$B333)&gt;0,MID($B333,FIND("-",$B333)+1,LEN($B333)))),""))),""),LEFT((_xlfn.IFNA(IF(IFERROR(IF(FIND("_",$B333)&gt;0,MID($B333,FIND("_",$B333)+1,LEN($B333)),IF(FIND("-",$B333)&gt;0,MID($B333,FIND("-",$B333)+1,LEN($B333)))),"")="",IFERROR(VLOOKUP($F333,WP!$B$2:$C$23,2,0),VLOOKUP($C333,Series!$A$3:$F$11,6,0)),IFERROR(VLOOKUP($F333,WP!$B$2:$C$23,2,0),VLOOKUP($C333,Series!$A$3:$F$11,6,0))&amp;" - "&amp;(IFERROR(IF(FIND("_",$B333)&gt;0,MID($B333,FIND("_",$B333)+1,LEN($B333)),IF(FIND("-",$B333)&gt;0,MID($B333,FIND("-",$B333)+1,LEN($B333)))),""))),"")),64))</f>
        <v/>
      </c>
      <c r="H333" s="12"/>
      <c r="I333" s="12" t="str">
        <f>IF($D333&lt;&gt;"",COUNTIF($D$7:$D333,"="&amp;$D333),"")</f>
        <v/>
      </c>
      <c r="J333"/>
      <c r="K333" s="8"/>
      <c r="L333"/>
    </row>
    <row r="334" spans="1:12" x14ac:dyDescent="0.3">
      <c r="A334" s="1"/>
      <c r="B334" s="26"/>
      <c r="C334" s="12" t="str">
        <f>_xlfn.IFNA(IFERROR(IF(FIND("_",$B334)&gt;0,INDEX(WP!$A$2:$F$23,MATCH(LEFT($B334,FIND("_",$B334)-1),WP!$E$2:$E$23,0),1),IF(FIND("-",$B334)&gt;0,INDEX(WP!$A$2:$F$23,MATCH(LEFT($B334,FIND("_",$B334)-1),WP!$E$2:$E$23,0),1))),INDEX(WP!$A$2:$F$23,MATCH(Results!$B334,WP!$E$2:$E$23,0),1)),"")</f>
        <v/>
      </c>
      <c r="D334" s="12" t="str">
        <f>IFERROR(IFERROR(IF(RIGHT(INDEX(WP!$A$2:$F$23,MATCH(IF(FIND("_",$B334)&gt;0,LEFT($B334,FIND("_",$B334)-1)),WP!$E$2:$E$23,0),2),6)="Series",LEFT(INDEX(WP!$A$2:$F$23,MATCH(IF(FIND("_",$B334)&gt;0,LEFT($B334,FIND("_",$B334)-1)),WP!$E$2:$E$23,0),2),5),""),IF(RIGHT(INDEX(WP!$A$2:$F$23,MATCH($B334,WP!$E$2:$E$23,0),2),6)="Series",LEFT(INDEX(WP!$A$2:$F$23,MATCH($B334,WP!$E$2:$E$23,0),2),5),"")),"")</f>
        <v/>
      </c>
      <c r="E334" s="17" t="str">
        <f>IFERROR(VLOOKUP(VALUE($D334),Series!$B$3:$F$11,2,0),"")</f>
        <v/>
      </c>
      <c r="F334" s="12" t="str">
        <f>_xlfn.IFNA(IF(IF($D334&lt;&gt;"",COUNTIF($E:$E,"="&amp;$D334),"")="",IF(RIGHT(IFERROR(IF(FIND("_",$B334)&gt;0,INDEX(WP!$A$2:$F$23,MATCH(LEFT($B334,FIND("_",$B334)-1),WP!$E$2:$E$23,0),2),IF(FIND("-",$B334)&gt;0,INDEX(WP!$A$2:$F$23,MATCH(LEFT($B334,FIND("_",$B334)-1),WP!$E$2:$E$23,0),2))),INDEX(WP!$A$2:$F$23,MATCH(Results!$B334,WP!$E$2:$E$23,0),2)),6)="Series",LEFT(IFERROR(IF(FIND("_",$B334)&gt;0,INDEX(WP!$A$2:$F$23,MATCH(LEFT($B334,FIND("_",$B334)-1),WP!$E$2:$E$23,0),2),IF(FIND("-",$B334)&gt;0,INDEX(WP!$A$2:$F$23,MATCH(LEFT($B334,FIND("_",$B334)-1),WP!$E$2:$E$23,0),2))),INDEX(WP!$A$2:$F$23,MATCH(Results!$B334,WP!$E$2:$E$23,0),2)),5),(IFERROR(IF(FIND("_",$B334)&gt;0,INDEX(WP!$A$2:$F$23,MATCH(LEFT($B334,FIND("_",$B334)-1),WP!$E$2:$E$23,0),2),IF(FIND("-",$B334)&gt;0,INDEX(WP!$A$2:$F$23,MATCH(LEFT($B334,FIND("_",$B334)-1),WP!$E$2:$E$23,0),2))),INDEX(WP!$A$2:$F$23,MATCH(Results!$B334,WP!$E$2:$E$23,0),2)))),IF(RIGHT(IFERROR(IF(FIND("_",$B334)&gt;0,INDEX(WP!$A$2:$F$23,MATCH(LEFT($B334,FIND("_",$B334)-1),WP!$E$2:$E$23,0),2),IF(FIND("-",$B334)&gt;0,INDEX(WP!$A$2:$F$23,MATCH(LEFT($B334,FIND("_",$B334)-1),WP!$E$2:$E$23,0),2))),INDEX(WP!$A$2:$F$23,MATCH(Results!$B334,WP!$E$2:$E$23,0),2)),6)="Series",LEFT(IFERROR(IF(FIND("_",$B334)&gt;0,INDEX(WP!$A$2:$F$23,MATCH(LEFT($B334,FIND("_",$B334)-1),WP!$E$2:$E$23,0),2),IF(FIND("-",$B334)&gt;0,INDEX(WP!$A$2:$F$23,MATCH(LEFT($B334,FIND("_",$B334)-1),WP!$E$2:$E$23,0),2))),INDEX(WP!$A$2:$F$23,MATCH(Results!$B334,WP!$E$2:$E$23,0),2)),5),(IFERROR(IF(FIND("_",$B334)&gt;0,INDEX(WP!$A$2:$F$23,MATCH(LEFT($B334,FIND("_",$B334)-1),WP!$E$2:$E$23,0),2),IF(FIND("-",$B334)&gt;0,INDEX(WP!$A$2:$F$23,MATCH(LEFT($B334,FIND("_",$B334)-1),WP!$E$2:$E$23,0),2))),INDEX(WP!$A$2:$F$23,MATCH(Results!$B334,WP!$E$2:$E$23,0),2))))&amp;"-"&amp;$I334),"")</f>
        <v/>
      </c>
      <c r="G334" s="17" t="str">
        <f>IF(LEN(_xlfn.IFNA(IF(IFERROR(IF(FIND("_",$B334)&gt;0,MID($B334,FIND("_",$B334)+1,LEN($B334)),IF(FIND("-",$B334)&gt;0,MID($B334,FIND("-",$B334)+1,LEN($B334)))),"")="",IFERROR(VLOOKUP($F334,WP!$B$2:$C$23,2,0),VLOOKUP($C334,Series!$A$3:$F$11,6,0)),IFERROR(VLOOKUP($F334,WP!$B$2:$C$23,2,0),VLOOKUP($C334,Series!$A$3:$F$11,6,0))&amp;" - "&amp;(IFERROR(IF(FIND("_",$B334)&gt;0,MID($B334,FIND("_",$B334)+1,LEN($B334)),IF(FIND("-",$B334)&gt;0,MID($B334,FIND("-",$B334)+1,LEN($B334)))),""))),""))&lt;64,_xlfn.IFNA(IF(IFERROR(IF(FIND("_",$B334)&gt;0,MID($B334,FIND("_",$B334)+1,LEN($B334)),IF(FIND("-",$B334)&gt;0,MID($B334,FIND("-",$B334)+1,LEN($B334)))),"")="",IFERROR(VLOOKUP($F334,WP!$B$2:$C$23,2,0),VLOOKUP($C334,Series!$A$3:$F$11,6,0)),IFERROR(VLOOKUP($F334,WP!$B$2:$C$23,2,0),VLOOKUP($C334,Series!$A$3:$F$11,6,0))&amp;" - "&amp;(IFERROR(IF(FIND("_",$B334)&gt;0,MID($B334,FIND("_",$B334)+1,LEN($B334)),IF(FIND("-",$B334)&gt;0,MID($B334,FIND("-",$B334)+1,LEN($B334)))),""))),""),LEFT((_xlfn.IFNA(IF(IFERROR(IF(FIND("_",$B334)&gt;0,MID($B334,FIND("_",$B334)+1,LEN($B334)),IF(FIND("-",$B334)&gt;0,MID($B334,FIND("-",$B334)+1,LEN($B334)))),"")="",IFERROR(VLOOKUP($F334,WP!$B$2:$C$23,2,0),VLOOKUP($C334,Series!$A$3:$F$11,6,0)),IFERROR(VLOOKUP($F334,WP!$B$2:$C$23,2,0),VLOOKUP($C334,Series!$A$3:$F$11,6,0))&amp;" - "&amp;(IFERROR(IF(FIND("_",$B334)&gt;0,MID($B334,FIND("_",$B334)+1,LEN($B334)),IF(FIND("-",$B334)&gt;0,MID($B334,FIND("-",$B334)+1,LEN($B334)))),""))),"")),64))</f>
        <v/>
      </c>
      <c r="H334" s="12"/>
      <c r="I334" s="12" t="str">
        <f>IF($D334&lt;&gt;"",COUNTIF($D$7:$D334,"="&amp;$D334),"")</f>
        <v/>
      </c>
      <c r="J334"/>
      <c r="K334" s="8"/>
      <c r="L334"/>
    </row>
    <row r="335" spans="1:12" x14ac:dyDescent="0.3">
      <c r="A335" s="1"/>
      <c r="B335" s="26"/>
      <c r="C335" s="12" t="str">
        <f>_xlfn.IFNA(IFERROR(IF(FIND("_",$B335)&gt;0,INDEX(WP!$A$2:$F$23,MATCH(LEFT($B335,FIND("_",$B335)-1),WP!$E$2:$E$23,0),1),IF(FIND("-",$B335)&gt;0,INDEX(WP!$A$2:$F$23,MATCH(LEFT($B335,FIND("_",$B335)-1),WP!$E$2:$E$23,0),1))),INDEX(WP!$A$2:$F$23,MATCH(Results!$B335,WP!$E$2:$E$23,0),1)),"")</f>
        <v/>
      </c>
      <c r="D335" s="12" t="str">
        <f>IFERROR(IFERROR(IF(RIGHT(INDEX(WP!$A$2:$F$23,MATCH(IF(FIND("_",$B335)&gt;0,LEFT($B335,FIND("_",$B335)-1)),WP!$E$2:$E$23,0),2),6)="Series",LEFT(INDEX(WP!$A$2:$F$23,MATCH(IF(FIND("_",$B335)&gt;0,LEFT($B335,FIND("_",$B335)-1)),WP!$E$2:$E$23,0),2),5),""),IF(RIGHT(INDEX(WP!$A$2:$F$23,MATCH($B335,WP!$E$2:$E$23,0),2),6)="Series",LEFT(INDEX(WP!$A$2:$F$23,MATCH($B335,WP!$E$2:$E$23,0),2),5),"")),"")</f>
        <v/>
      </c>
      <c r="E335" s="17" t="str">
        <f>IFERROR(VLOOKUP(VALUE($D335),Series!$B$3:$F$11,2,0),"")</f>
        <v/>
      </c>
      <c r="F335" s="12" t="str">
        <f>_xlfn.IFNA(IF(IF($D335&lt;&gt;"",COUNTIF($E:$E,"="&amp;$D335),"")="",IF(RIGHT(IFERROR(IF(FIND("_",$B335)&gt;0,INDEX(WP!$A$2:$F$23,MATCH(LEFT($B335,FIND("_",$B335)-1),WP!$E$2:$E$23,0),2),IF(FIND("-",$B335)&gt;0,INDEX(WP!$A$2:$F$23,MATCH(LEFT($B335,FIND("_",$B335)-1),WP!$E$2:$E$23,0),2))),INDEX(WP!$A$2:$F$23,MATCH(Results!$B335,WP!$E$2:$E$23,0),2)),6)="Series",LEFT(IFERROR(IF(FIND("_",$B335)&gt;0,INDEX(WP!$A$2:$F$23,MATCH(LEFT($B335,FIND("_",$B335)-1),WP!$E$2:$E$23,0),2),IF(FIND("-",$B335)&gt;0,INDEX(WP!$A$2:$F$23,MATCH(LEFT($B335,FIND("_",$B335)-1),WP!$E$2:$E$23,0),2))),INDEX(WP!$A$2:$F$23,MATCH(Results!$B335,WP!$E$2:$E$23,0),2)),5),(IFERROR(IF(FIND("_",$B335)&gt;0,INDEX(WP!$A$2:$F$23,MATCH(LEFT($B335,FIND("_",$B335)-1),WP!$E$2:$E$23,0),2),IF(FIND("-",$B335)&gt;0,INDEX(WP!$A$2:$F$23,MATCH(LEFT($B335,FIND("_",$B335)-1),WP!$E$2:$E$23,0),2))),INDEX(WP!$A$2:$F$23,MATCH(Results!$B335,WP!$E$2:$E$23,0),2)))),IF(RIGHT(IFERROR(IF(FIND("_",$B335)&gt;0,INDEX(WP!$A$2:$F$23,MATCH(LEFT($B335,FIND("_",$B335)-1),WP!$E$2:$E$23,0),2),IF(FIND("-",$B335)&gt;0,INDEX(WP!$A$2:$F$23,MATCH(LEFT($B335,FIND("_",$B335)-1),WP!$E$2:$E$23,0),2))),INDEX(WP!$A$2:$F$23,MATCH(Results!$B335,WP!$E$2:$E$23,0),2)),6)="Series",LEFT(IFERROR(IF(FIND("_",$B335)&gt;0,INDEX(WP!$A$2:$F$23,MATCH(LEFT($B335,FIND("_",$B335)-1),WP!$E$2:$E$23,0),2),IF(FIND("-",$B335)&gt;0,INDEX(WP!$A$2:$F$23,MATCH(LEFT($B335,FIND("_",$B335)-1),WP!$E$2:$E$23,0),2))),INDEX(WP!$A$2:$F$23,MATCH(Results!$B335,WP!$E$2:$E$23,0),2)),5),(IFERROR(IF(FIND("_",$B335)&gt;0,INDEX(WP!$A$2:$F$23,MATCH(LEFT($B335,FIND("_",$B335)-1),WP!$E$2:$E$23,0),2),IF(FIND("-",$B335)&gt;0,INDEX(WP!$A$2:$F$23,MATCH(LEFT($B335,FIND("_",$B335)-1),WP!$E$2:$E$23,0),2))),INDEX(WP!$A$2:$F$23,MATCH(Results!$B335,WP!$E$2:$E$23,0),2))))&amp;"-"&amp;$I335),"")</f>
        <v/>
      </c>
      <c r="G335" s="17" t="str">
        <f>IF(LEN(_xlfn.IFNA(IF(IFERROR(IF(FIND("_",$B335)&gt;0,MID($B335,FIND("_",$B335)+1,LEN($B335)),IF(FIND("-",$B335)&gt;0,MID($B335,FIND("-",$B335)+1,LEN($B335)))),"")="",IFERROR(VLOOKUP($F335,WP!$B$2:$C$23,2,0),VLOOKUP($C335,Series!$A$3:$F$11,6,0)),IFERROR(VLOOKUP($F335,WP!$B$2:$C$23,2,0),VLOOKUP($C335,Series!$A$3:$F$11,6,0))&amp;" - "&amp;(IFERROR(IF(FIND("_",$B335)&gt;0,MID($B335,FIND("_",$B335)+1,LEN($B335)),IF(FIND("-",$B335)&gt;0,MID($B335,FIND("-",$B335)+1,LEN($B335)))),""))),""))&lt;64,_xlfn.IFNA(IF(IFERROR(IF(FIND("_",$B335)&gt;0,MID($B335,FIND("_",$B335)+1,LEN($B335)),IF(FIND("-",$B335)&gt;0,MID($B335,FIND("-",$B335)+1,LEN($B335)))),"")="",IFERROR(VLOOKUP($F335,WP!$B$2:$C$23,2,0),VLOOKUP($C335,Series!$A$3:$F$11,6,0)),IFERROR(VLOOKUP($F335,WP!$B$2:$C$23,2,0),VLOOKUP($C335,Series!$A$3:$F$11,6,0))&amp;" - "&amp;(IFERROR(IF(FIND("_",$B335)&gt;0,MID($B335,FIND("_",$B335)+1,LEN($B335)),IF(FIND("-",$B335)&gt;0,MID($B335,FIND("-",$B335)+1,LEN($B335)))),""))),""),LEFT((_xlfn.IFNA(IF(IFERROR(IF(FIND("_",$B335)&gt;0,MID($B335,FIND("_",$B335)+1,LEN($B335)),IF(FIND("-",$B335)&gt;0,MID($B335,FIND("-",$B335)+1,LEN($B335)))),"")="",IFERROR(VLOOKUP($F335,WP!$B$2:$C$23,2,0),VLOOKUP($C335,Series!$A$3:$F$11,6,0)),IFERROR(VLOOKUP($F335,WP!$B$2:$C$23,2,0),VLOOKUP($C335,Series!$A$3:$F$11,6,0))&amp;" - "&amp;(IFERROR(IF(FIND("_",$B335)&gt;0,MID($B335,FIND("_",$B335)+1,LEN($B335)),IF(FIND("-",$B335)&gt;0,MID($B335,FIND("-",$B335)+1,LEN($B335)))),""))),"")),64))</f>
        <v/>
      </c>
      <c r="H335" s="12"/>
      <c r="I335" s="12" t="str">
        <f>IF($D335&lt;&gt;"",COUNTIF($D$7:$D335,"="&amp;$D335),"")</f>
        <v/>
      </c>
      <c r="J335"/>
      <c r="K335" s="8"/>
      <c r="L335"/>
    </row>
    <row r="336" spans="1:12" x14ac:dyDescent="0.3">
      <c r="A336" s="1"/>
      <c r="B336" s="26"/>
      <c r="C336" s="12" t="str">
        <f>_xlfn.IFNA(IFERROR(IF(FIND("_",$B336)&gt;0,INDEX(WP!$A$2:$F$23,MATCH(LEFT($B336,FIND("_",$B336)-1),WP!$E$2:$E$23,0),1),IF(FIND("-",$B336)&gt;0,INDEX(WP!$A$2:$F$23,MATCH(LEFT($B336,FIND("_",$B336)-1),WP!$E$2:$E$23,0),1))),INDEX(WP!$A$2:$F$23,MATCH(Results!$B336,WP!$E$2:$E$23,0),1)),"")</f>
        <v/>
      </c>
      <c r="D336" s="12" t="str">
        <f>IFERROR(IFERROR(IF(RIGHT(INDEX(WP!$A$2:$F$23,MATCH(IF(FIND("_",$B336)&gt;0,LEFT($B336,FIND("_",$B336)-1)),WP!$E$2:$E$23,0),2),6)="Series",LEFT(INDEX(WP!$A$2:$F$23,MATCH(IF(FIND("_",$B336)&gt;0,LEFT($B336,FIND("_",$B336)-1)),WP!$E$2:$E$23,0),2),5),""),IF(RIGHT(INDEX(WP!$A$2:$F$23,MATCH($B336,WP!$E$2:$E$23,0),2),6)="Series",LEFT(INDEX(WP!$A$2:$F$23,MATCH($B336,WP!$E$2:$E$23,0),2),5),"")),"")</f>
        <v/>
      </c>
      <c r="E336" s="17" t="str">
        <f>IFERROR(VLOOKUP(VALUE($D336),Series!$B$3:$F$11,2,0),"")</f>
        <v/>
      </c>
      <c r="F336" s="12" t="str">
        <f>_xlfn.IFNA(IF(IF($D336&lt;&gt;"",COUNTIF($E:$E,"="&amp;$D336),"")="",IF(RIGHT(IFERROR(IF(FIND("_",$B336)&gt;0,INDEX(WP!$A$2:$F$23,MATCH(LEFT($B336,FIND("_",$B336)-1),WP!$E$2:$E$23,0),2),IF(FIND("-",$B336)&gt;0,INDEX(WP!$A$2:$F$23,MATCH(LEFT($B336,FIND("_",$B336)-1),WP!$E$2:$E$23,0),2))),INDEX(WP!$A$2:$F$23,MATCH(Results!$B336,WP!$E$2:$E$23,0),2)),6)="Series",LEFT(IFERROR(IF(FIND("_",$B336)&gt;0,INDEX(WP!$A$2:$F$23,MATCH(LEFT($B336,FIND("_",$B336)-1),WP!$E$2:$E$23,0),2),IF(FIND("-",$B336)&gt;0,INDEX(WP!$A$2:$F$23,MATCH(LEFT($B336,FIND("_",$B336)-1),WP!$E$2:$E$23,0),2))),INDEX(WP!$A$2:$F$23,MATCH(Results!$B336,WP!$E$2:$E$23,0),2)),5),(IFERROR(IF(FIND("_",$B336)&gt;0,INDEX(WP!$A$2:$F$23,MATCH(LEFT($B336,FIND("_",$B336)-1),WP!$E$2:$E$23,0),2),IF(FIND("-",$B336)&gt;0,INDEX(WP!$A$2:$F$23,MATCH(LEFT($B336,FIND("_",$B336)-1),WP!$E$2:$E$23,0),2))),INDEX(WP!$A$2:$F$23,MATCH(Results!$B336,WP!$E$2:$E$23,0),2)))),IF(RIGHT(IFERROR(IF(FIND("_",$B336)&gt;0,INDEX(WP!$A$2:$F$23,MATCH(LEFT($B336,FIND("_",$B336)-1),WP!$E$2:$E$23,0),2),IF(FIND("-",$B336)&gt;0,INDEX(WP!$A$2:$F$23,MATCH(LEFT($B336,FIND("_",$B336)-1),WP!$E$2:$E$23,0),2))),INDEX(WP!$A$2:$F$23,MATCH(Results!$B336,WP!$E$2:$E$23,0),2)),6)="Series",LEFT(IFERROR(IF(FIND("_",$B336)&gt;0,INDEX(WP!$A$2:$F$23,MATCH(LEFT($B336,FIND("_",$B336)-1),WP!$E$2:$E$23,0),2),IF(FIND("-",$B336)&gt;0,INDEX(WP!$A$2:$F$23,MATCH(LEFT($B336,FIND("_",$B336)-1),WP!$E$2:$E$23,0),2))),INDEX(WP!$A$2:$F$23,MATCH(Results!$B336,WP!$E$2:$E$23,0),2)),5),(IFERROR(IF(FIND("_",$B336)&gt;0,INDEX(WP!$A$2:$F$23,MATCH(LEFT($B336,FIND("_",$B336)-1),WP!$E$2:$E$23,0),2),IF(FIND("-",$B336)&gt;0,INDEX(WP!$A$2:$F$23,MATCH(LEFT($B336,FIND("_",$B336)-1),WP!$E$2:$E$23,0),2))),INDEX(WP!$A$2:$F$23,MATCH(Results!$B336,WP!$E$2:$E$23,0),2))))&amp;"-"&amp;$I336),"")</f>
        <v/>
      </c>
      <c r="G336" s="17" t="str">
        <f>IF(LEN(_xlfn.IFNA(IF(IFERROR(IF(FIND("_",$B336)&gt;0,MID($B336,FIND("_",$B336)+1,LEN($B336)),IF(FIND("-",$B336)&gt;0,MID($B336,FIND("-",$B336)+1,LEN($B336)))),"")="",IFERROR(VLOOKUP($F336,WP!$B$2:$C$23,2,0),VLOOKUP($C336,Series!$A$3:$F$11,6,0)),IFERROR(VLOOKUP($F336,WP!$B$2:$C$23,2,0),VLOOKUP($C336,Series!$A$3:$F$11,6,0))&amp;" - "&amp;(IFERROR(IF(FIND("_",$B336)&gt;0,MID($B336,FIND("_",$B336)+1,LEN($B336)),IF(FIND("-",$B336)&gt;0,MID($B336,FIND("-",$B336)+1,LEN($B336)))),""))),""))&lt;64,_xlfn.IFNA(IF(IFERROR(IF(FIND("_",$B336)&gt;0,MID($B336,FIND("_",$B336)+1,LEN($B336)),IF(FIND("-",$B336)&gt;0,MID($B336,FIND("-",$B336)+1,LEN($B336)))),"")="",IFERROR(VLOOKUP($F336,WP!$B$2:$C$23,2,0),VLOOKUP($C336,Series!$A$3:$F$11,6,0)),IFERROR(VLOOKUP($F336,WP!$B$2:$C$23,2,0),VLOOKUP($C336,Series!$A$3:$F$11,6,0))&amp;" - "&amp;(IFERROR(IF(FIND("_",$B336)&gt;0,MID($B336,FIND("_",$B336)+1,LEN($B336)),IF(FIND("-",$B336)&gt;0,MID($B336,FIND("-",$B336)+1,LEN($B336)))),""))),""),LEFT((_xlfn.IFNA(IF(IFERROR(IF(FIND("_",$B336)&gt;0,MID($B336,FIND("_",$B336)+1,LEN($B336)),IF(FIND("-",$B336)&gt;0,MID($B336,FIND("-",$B336)+1,LEN($B336)))),"")="",IFERROR(VLOOKUP($F336,WP!$B$2:$C$23,2,0),VLOOKUP($C336,Series!$A$3:$F$11,6,0)),IFERROR(VLOOKUP($F336,WP!$B$2:$C$23,2,0),VLOOKUP($C336,Series!$A$3:$F$11,6,0))&amp;" - "&amp;(IFERROR(IF(FIND("_",$B336)&gt;0,MID($B336,FIND("_",$B336)+1,LEN($B336)),IF(FIND("-",$B336)&gt;0,MID($B336,FIND("-",$B336)+1,LEN($B336)))),""))),"")),64))</f>
        <v/>
      </c>
      <c r="H336" s="12"/>
      <c r="I336" s="12" t="str">
        <f>IF($D336&lt;&gt;"",COUNTIF($D$7:$D336,"="&amp;$D336),"")</f>
        <v/>
      </c>
      <c r="J336"/>
      <c r="K336" s="8"/>
      <c r="L336"/>
    </row>
    <row r="337" spans="1:12" x14ac:dyDescent="0.3">
      <c r="A337" s="1"/>
      <c r="B337" s="26"/>
      <c r="C337" s="12" t="str">
        <f>_xlfn.IFNA(IFERROR(IF(FIND("_",$B337)&gt;0,INDEX(WP!$A$2:$F$23,MATCH(LEFT($B337,FIND("_",$B337)-1),WP!$E$2:$E$23,0),1),IF(FIND("-",$B337)&gt;0,INDEX(WP!$A$2:$F$23,MATCH(LEFT($B337,FIND("_",$B337)-1),WP!$E$2:$E$23,0),1))),INDEX(WP!$A$2:$F$23,MATCH(Results!$B337,WP!$E$2:$E$23,0),1)),"")</f>
        <v/>
      </c>
      <c r="D337" s="12" t="str">
        <f>IFERROR(IFERROR(IF(RIGHT(INDEX(WP!$A$2:$F$23,MATCH(IF(FIND("_",$B337)&gt;0,LEFT($B337,FIND("_",$B337)-1)),WP!$E$2:$E$23,0),2),6)="Series",LEFT(INDEX(WP!$A$2:$F$23,MATCH(IF(FIND("_",$B337)&gt;0,LEFT($B337,FIND("_",$B337)-1)),WP!$E$2:$E$23,0),2),5),""),IF(RIGHT(INDEX(WP!$A$2:$F$23,MATCH($B337,WP!$E$2:$E$23,0),2),6)="Series",LEFT(INDEX(WP!$A$2:$F$23,MATCH($B337,WP!$E$2:$E$23,0),2),5),"")),"")</f>
        <v/>
      </c>
      <c r="E337" s="17" t="str">
        <f>IFERROR(VLOOKUP(VALUE($D337),Series!$B$3:$F$11,2,0),"")</f>
        <v/>
      </c>
      <c r="F337" s="12" t="str">
        <f>_xlfn.IFNA(IF(IF($D337&lt;&gt;"",COUNTIF($E:$E,"="&amp;$D337),"")="",IF(RIGHT(IFERROR(IF(FIND("_",$B337)&gt;0,INDEX(WP!$A$2:$F$23,MATCH(LEFT($B337,FIND("_",$B337)-1),WP!$E$2:$E$23,0),2),IF(FIND("-",$B337)&gt;0,INDEX(WP!$A$2:$F$23,MATCH(LEFT($B337,FIND("_",$B337)-1),WP!$E$2:$E$23,0),2))),INDEX(WP!$A$2:$F$23,MATCH(Results!$B337,WP!$E$2:$E$23,0),2)),6)="Series",LEFT(IFERROR(IF(FIND("_",$B337)&gt;0,INDEX(WP!$A$2:$F$23,MATCH(LEFT($B337,FIND("_",$B337)-1),WP!$E$2:$E$23,0),2),IF(FIND("-",$B337)&gt;0,INDEX(WP!$A$2:$F$23,MATCH(LEFT($B337,FIND("_",$B337)-1),WP!$E$2:$E$23,0),2))),INDEX(WP!$A$2:$F$23,MATCH(Results!$B337,WP!$E$2:$E$23,0),2)),5),(IFERROR(IF(FIND("_",$B337)&gt;0,INDEX(WP!$A$2:$F$23,MATCH(LEFT($B337,FIND("_",$B337)-1),WP!$E$2:$E$23,0),2),IF(FIND("-",$B337)&gt;0,INDEX(WP!$A$2:$F$23,MATCH(LEFT($B337,FIND("_",$B337)-1),WP!$E$2:$E$23,0),2))),INDEX(WP!$A$2:$F$23,MATCH(Results!$B337,WP!$E$2:$E$23,0),2)))),IF(RIGHT(IFERROR(IF(FIND("_",$B337)&gt;0,INDEX(WP!$A$2:$F$23,MATCH(LEFT($B337,FIND("_",$B337)-1),WP!$E$2:$E$23,0),2),IF(FIND("-",$B337)&gt;0,INDEX(WP!$A$2:$F$23,MATCH(LEFT($B337,FIND("_",$B337)-1),WP!$E$2:$E$23,0),2))),INDEX(WP!$A$2:$F$23,MATCH(Results!$B337,WP!$E$2:$E$23,0),2)),6)="Series",LEFT(IFERROR(IF(FIND("_",$B337)&gt;0,INDEX(WP!$A$2:$F$23,MATCH(LEFT($B337,FIND("_",$B337)-1),WP!$E$2:$E$23,0),2),IF(FIND("-",$B337)&gt;0,INDEX(WP!$A$2:$F$23,MATCH(LEFT($B337,FIND("_",$B337)-1),WP!$E$2:$E$23,0),2))),INDEX(WP!$A$2:$F$23,MATCH(Results!$B337,WP!$E$2:$E$23,0),2)),5),(IFERROR(IF(FIND("_",$B337)&gt;0,INDEX(WP!$A$2:$F$23,MATCH(LEFT($B337,FIND("_",$B337)-1),WP!$E$2:$E$23,0),2),IF(FIND("-",$B337)&gt;0,INDEX(WP!$A$2:$F$23,MATCH(LEFT($B337,FIND("_",$B337)-1),WP!$E$2:$E$23,0),2))),INDEX(WP!$A$2:$F$23,MATCH(Results!$B337,WP!$E$2:$E$23,0),2))))&amp;"-"&amp;$I337),"")</f>
        <v/>
      </c>
      <c r="G337" s="17" t="str">
        <f>IF(LEN(_xlfn.IFNA(IF(IFERROR(IF(FIND("_",$B337)&gt;0,MID($B337,FIND("_",$B337)+1,LEN($B337)),IF(FIND("-",$B337)&gt;0,MID($B337,FIND("-",$B337)+1,LEN($B337)))),"")="",IFERROR(VLOOKUP($F337,WP!$B$2:$C$23,2,0),VLOOKUP($C337,Series!$A$3:$F$11,6,0)),IFERROR(VLOOKUP($F337,WP!$B$2:$C$23,2,0),VLOOKUP($C337,Series!$A$3:$F$11,6,0))&amp;" - "&amp;(IFERROR(IF(FIND("_",$B337)&gt;0,MID($B337,FIND("_",$B337)+1,LEN($B337)),IF(FIND("-",$B337)&gt;0,MID($B337,FIND("-",$B337)+1,LEN($B337)))),""))),""))&lt;64,_xlfn.IFNA(IF(IFERROR(IF(FIND("_",$B337)&gt;0,MID($B337,FIND("_",$B337)+1,LEN($B337)),IF(FIND("-",$B337)&gt;0,MID($B337,FIND("-",$B337)+1,LEN($B337)))),"")="",IFERROR(VLOOKUP($F337,WP!$B$2:$C$23,2,0),VLOOKUP($C337,Series!$A$3:$F$11,6,0)),IFERROR(VLOOKUP($F337,WP!$B$2:$C$23,2,0),VLOOKUP($C337,Series!$A$3:$F$11,6,0))&amp;" - "&amp;(IFERROR(IF(FIND("_",$B337)&gt;0,MID($B337,FIND("_",$B337)+1,LEN($B337)),IF(FIND("-",$B337)&gt;0,MID($B337,FIND("-",$B337)+1,LEN($B337)))),""))),""),LEFT((_xlfn.IFNA(IF(IFERROR(IF(FIND("_",$B337)&gt;0,MID($B337,FIND("_",$B337)+1,LEN($B337)),IF(FIND("-",$B337)&gt;0,MID($B337,FIND("-",$B337)+1,LEN($B337)))),"")="",IFERROR(VLOOKUP($F337,WP!$B$2:$C$23,2,0),VLOOKUP($C337,Series!$A$3:$F$11,6,0)),IFERROR(VLOOKUP($F337,WP!$B$2:$C$23,2,0),VLOOKUP($C337,Series!$A$3:$F$11,6,0))&amp;" - "&amp;(IFERROR(IF(FIND("_",$B337)&gt;0,MID($B337,FIND("_",$B337)+1,LEN($B337)),IF(FIND("-",$B337)&gt;0,MID($B337,FIND("-",$B337)+1,LEN($B337)))),""))),"")),64))</f>
        <v/>
      </c>
      <c r="H337" s="12"/>
      <c r="I337" s="12" t="str">
        <f>IF($D337&lt;&gt;"",COUNTIF($D$7:$D337,"="&amp;$D337),"")</f>
        <v/>
      </c>
      <c r="J337"/>
      <c r="K337" s="8"/>
      <c r="L337"/>
    </row>
    <row r="338" spans="1:12" x14ac:dyDescent="0.3">
      <c r="A338" s="1"/>
      <c r="B338" s="26"/>
      <c r="C338" s="12" t="str">
        <f>_xlfn.IFNA(IFERROR(IF(FIND("_",$B338)&gt;0,INDEX(WP!$A$2:$F$23,MATCH(LEFT($B338,FIND("_",$B338)-1),WP!$E$2:$E$23,0),1),IF(FIND("-",$B338)&gt;0,INDEX(WP!$A$2:$F$23,MATCH(LEFT($B338,FIND("_",$B338)-1),WP!$E$2:$E$23,0),1))),INDEX(WP!$A$2:$F$23,MATCH(Results!$B338,WP!$E$2:$E$23,0),1)),"")</f>
        <v/>
      </c>
      <c r="D338" s="12" t="str">
        <f>IFERROR(IFERROR(IF(RIGHT(INDEX(WP!$A$2:$F$23,MATCH(IF(FIND("_",$B338)&gt;0,LEFT($B338,FIND("_",$B338)-1)),WP!$E$2:$E$23,0),2),6)="Series",LEFT(INDEX(WP!$A$2:$F$23,MATCH(IF(FIND("_",$B338)&gt;0,LEFT($B338,FIND("_",$B338)-1)),WP!$E$2:$E$23,0),2),5),""),IF(RIGHT(INDEX(WP!$A$2:$F$23,MATCH($B338,WP!$E$2:$E$23,0),2),6)="Series",LEFT(INDEX(WP!$A$2:$F$23,MATCH($B338,WP!$E$2:$E$23,0),2),5),"")),"")</f>
        <v/>
      </c>
      <c r="E338" s="17" t="str">
        <f>IFERROR(VLOOKUP(VALUE($D338),Series!$B$3:$F$11,2,0),"")</f>
        <v/>
      </c>
      <c r="F338" s="12" t="str">
        <f>_xlfn.IFNA(IF(IF($D338&lt;&gt;"",COUNTIF($E:$E,"="&amp;$D338),"")="",IF(RIGHT(IFERROR(IF(FIND("_",$B338)&gt;0,INDEX(WP!$A$2:$F$23,MATCH(LEFT($B338,FIND("_",$B338)-1),WP!$E$2:$E$23,0),2),IF(FIND("-",$B338)&gt;0,INDEX(WP!$A$2:$F$23,MATCH(LEFT($B338,FIND("_",$B338)-1),WP!$E$2:$E$23,0),2))),INDEX(WP!$A$2:$F$23,MATCH(Results!$B338,WP!$E$2:$E$23,0),2)),6)="Series",LEFT(IFERROR(IF(FIND("_",$B338)&gt;0,INDEX(WP!$A$2:$F$23,MATCH(LEFT($B338,FIND("_",$B338)-1),WP!$E$2:$E$23,0),2),IF(FIND("-",$B338)&gt;0,INDEX(WP!$A$2:$F$23,MATCH(LEFT($B338,FIND("_",$B338)-1),WP!$E$2:$E$23,0),2))),INDEX(WP!$A$2:$F$23,MATCH(Results!$B338,WP!$E$2:$E$23,0),2)),5),(IFERROR(IF(FIND("_",$B338)&gt;0,INDEX(WP!$A$2:$F$23,MATCH(LEFT($B338,FIND("_",$B338)-1),WP!$E$2:$E$23,0),2),IF(FIND("-",$B338)&gt;0,INDEX(WP!$A$2:$F$23,MATCH(LEFT($B338,FIND("_",$B338)-1),WP!$E$2:$E$23,0),2))),INDEX(WP!$A$2:$F$23,MATCH(Results!$B338,WP!$E$2:$E$23,0),2)))),IF(RIGHT(IFERROR(IF(FIND("_",$B338)&gt;0,INDEX(WP!$A$2:$F$23,MATCH(LEFT($B338,FIND("_",$B338)-1),WP!$E$2:$E$23,0),2),IF(FIND("-",$B338)&gt;0,INDEX(WP!$A$2:$F$23,MATCH(LEFT($B338,FIND("_",$B338)-1),WP!$E$2:$E$23,0),2))),INDEX(WP!$A$2:$F$23,MATCH(Results!$B338,WP!$E$2:$E$23,0),2)),6)="Series",LEFT(IFERROR(IF(FIND("_",$B338)&gt;0,INDEX(WP!$A$2:$F$23,MATCH(LEFT($B338,FIND("_",$B338)-1),WP!$E$2:$E$23,0),2),IF(FIND("-",$B338)&gt;0,INDEX(WP!$A$2:$F$23,MATCH(LEFT($B338,FIND("_",$B338)-1),WP!$E$2:$E$23,0),2))),INDEX(WP!$A$2:$F$23,MATCH(Results!$B338,WP!$E$2:$E$23,0),2)),5),(IFERROR(IF(FIND("_",$B338)&gt;0,INDEX(WP!$A$2:$F$23,MATCH(LEFT($B338,FIND("_",$B338)-1),WP!$E$2:$E$23,0),2),IF(FIND("-",$B338)&gt;0,INDEX(WP!$A$2:$F$23,MATCH(LEFT($B338,FIND("_",$B338)-1),WP!$E$2:$E$23,0),2))),INDEX(WP!$A$2:$F$23,MATCH(Results!$B338,WP!$E$2:$E$23,0),2))))&amp;"-"&amp;$I338),"")</f>
        <v/>
      </c>
      <c r="G338" s="17" t="str">
        <f>IF(LEN(_xlfn.IFNA(IF(IFERROR(IF(FIND("_",$B338)&gt;0,MID($B338,FIND("_",$B338)+1,LEN($B338)),IF(FIND("-",$B338)&gt;0,MID($B338,FIND("-",$B338)+1,LEN($B338)))),"")="",IFERROR(VLOOKUP($F338,WP!$B$2:$C$23,2,0),VLOOKUP($C338,Series!$A$3:$F$11,6,0)),IFERROR(VLOOKUP($F338,WP!$B$2:$C$23,2,0),VLOOKUP($C338,Series!$A$3:$F$11,6,0))&amp;" - "&amp;(IFERROR(IF(FIND("_",$B338)&gt;0,MID($B338,FIND("_",$B338)+1,LEN($B338)),IF(FIND("-",$B338)&gt;0,MID($B338,FIND("-",$B338)+1,LEN($B338)))),""))),""))&lt;64,_xlfn.IFNA(IF(IFERROR(IF(FIND("_",$B338)&gt;0,MID($B338,FIND("_",$B338)+1,LEN($B338)),IF(FIND("-",$B338)&gt;0,MID($B338,FIND("-",$B338)+1,LEN($B338)))),"")="",IFERROR(VLOOKUP($F338,WP!$B$2:$C$23,2,0),VLOOKUP($C338,Series!$A$3:$F$11,6,0)),IFERROR(VLOOKUP($F338,WP!$B$2:$C$23,2,0),VLOOKUP($C338,Series!$A$3:$F$11,6,0))&amp;" - "&amp;(IFERROR(IF(FIND("_",$B338)&gt;0,MID($B338,FIND("_",$B338)+1,LEN($B338)),IF(FIND("-",$B338)&gt;0,MID($B338,FIND("-",$B338)+1,LEN($B338)))),""))),""),LEFT((_xlfn.IFNA(IF(IFERROR(IF(FIND("_",$B338)&gt;0,MID($B338,FIND("_",$B338)+1,LEN($B338)),IF(FIND("-",$B338)&gt;0,MID($B338,FIND("-",$B338)+1,LEN($B338)))),"")="",IFERROR(VLOOKUP($F338,WP!$B$2:$C$23,2,0),VLOOKUP($C338,Series!$A$3:$F$11,6,0)),IFERROR(VLOOKUP($F338,WP!$B$2:$C$23,2,0),VLOOKUP($C338,Series!$A$3:$F$11,6,0))&amp;" - "&amp;(IFERROR(IF(FIND("_",$B338)&gt;0,MID($B338,FIND("_",$B338)+1,LEN($B338)),IF(FIND("-",$B338)&gt;0,MID($B338,FIND("-",$B338)+1,LEN($B338)))),""))),"")),64))</f>
        <v/>
      </c>
      <c r="H338" s="12"/>
      <c r="I338" s="12" t="str">
        <f>IF($D338&lt;&gt;"",COUNTIF($D$7:$D338,"="&amp;$D338),"")</f>
        <v/>
      </c>
      <c r="J338"/>
      <c r="K338" s="8"/>
      <c r="L338"/>
    </row>
    <row r="339" spans="1:12" x14ac:dyDescent="0.3">
      <c r="A339" s="1"/>
      <c r="B339" s="26"/>
      <c r="C339" s="12" t="str">
        <f>_xlfn.IFNA(IFERROR(IF(FIND("_",$B339)&gt;0,INDEX(WP!$A$2:$F$23,MATCH(LEFT($B339,FIND("_",$B339)-1),WP!$E$2:$E$23,0),1),IF(FIND("-",$B339)&gt;0,INDEX(WP!$A$2:$F$23,MATCH(LEFT($B339,FIND("_",$B339)-1),WP!$E$2:$E$23,0),1))),INDEX(WP!$A$2:$F$23,MATCH(Results!$B339,WP!$E$2:$E$23,0),1)),"")</f>
        <v/>
      </c>
      <c r="D339" s="12" t="str">
        <f>IFERROR(IFERROR(IF(RIGHT(INDEX(WP!$A$2:$F$23,MATCH(IF(FIND("_",$B339)&gt;0,LEFT($B339,FIND("_",$B339)-1)),WP!$E$2:$E$23,0),2),6)="Series",LEFT(INDEX(WP!$A$2:$F$23,MATCH(IF(FIND("_",$B339)&gt;0,LEFT($B339,FIND("_",$B339)-1)),WP!$E$2:$E$23,0),2),5),""),IF(RIGHT(INDEX(WP!$A$2:$F$23,MATCH($B339,WP!$E$2:$E$23,0),2),6)="Series",LEFT(INDEX(WP!$A$2:$F$23,MATCH($B339,WP!$E$2:$E$23,0),2),5),"")),"")</f>
        <v/>
      </c>
      <c r="E339" s="17" t="str">
        <f>IFERROR(VLOOKUP(VALUE($D339),Series!$B$3:$F$11,2,0),"")</f>
        <v/>
      </c>
      <c r="F339" s="12" t="str">
        <f>_xlfn.IFNA(IF(IF($D339&lt;&gt;"",COUNTIF($E:$E,"="&amp;$D339),"")="",IF(RIGHT(IFERROR(IF(FIND("_",$B339)&gt;0,INDEX(WP!$A$2:$F$23,MATCH(LEFT($B339,FIND("_",$B339)-1),WP!$E$2:$E$23,0),2),IF(FIND("-",$B339)&gt;0,INDEX(WP!$A$2:$F$23,MATCH(LEFT($B339,FIND("_",$B339)-1),WP!$E$2:$E$23,0),2))),INDEX(WP!$A$2:$F$23,MATCH(Results!$B339,WP!$E$2:$E$23,0),2)),6)="Series",LEFT(IFERROR(IF(FIND("_",$B339)&gt;0,INDEX(WP!$A$2:$F$23,MATCH(LEFT($B339,FIND("_",$B339)-1),WP!$E$2:$E$23,0),2),IF(FIND("-",$B339)&gt;0,INDEX(WP!$A$2:$F$23,MATCH(LEFT($B339,FIND("_",$B339)-1),WP!$E$2:$E$23,0),2))),INDEX(WP!$A$2:$F$23,MATCH(Results!$B339,WP!$E$2:$E$23,0),2)),5),(IFERROR(IF(FIND("_",$B339)&gt;0,INDEX(WP!$A$2:$F$23,MATCH(LEFT($B339,FIND("_",$B339)-1),WP!$E$2:$E$23,0),2),IF(FIND("-",$B339)&gt;0,INDEX(WP!$A$2:$F$23,MATCH(LEFT($B339,FIND("_",$B339)-1),WP!$E$2:$E$23,0),2))),INDEX(WP!$A$2:$F$23,MATCH(Results!$B339,WP!$E$2:$E$23,0),2)))),IF(RIGHT(IFERROR(IF(FIND("_",$B339)&gt;0,INDEX(WP!$A$2:$F$23,MATCH(LEFT($B339,FIND("_",$B339)-1),WP!$E$2:$E$23,0),2),IF(FIND("-",$B339)&gt;0,INDEX(WP!$A$2:$F$23,MATCH(LEFT($B339,FIND("_",$B339)-1),WP!$E$2:$E$23,0),2))),INDEX(WP!$A$2:$F$23,MATCH(Results!$B339,WP!$E$2:$E$23,0),2)),6)="Series",LEFT(IFERROR(IF(FIND("_",$B339)&gt;0,INDEX(WP!$A$2:$F$23,MATCH(LEFT($B339,FIND("_",$B339)-1),WP!$E$2:$E$23,0),2),IF(FIND("-",$B339)&gt;0,INDEX(WP!$A$2:$F$23,MATCH(LEFT($B339,FIND("_",$B339)-1),WP!$E$2:$E$23,0),2))),INDEX(WP!$A$2:$F$23,MATCH(Results!$B339,WP!$E$2:$E$23,0),2)),5),(IFERROR(IF(FIND("_",$B339)&gt;0,INDEX(WP!$A$2:$F$23,MATCH(LEFT($B339,FIND("_",$B339)-1),WP!$E$2:$E$23,0),2),IF(FIND("-",$B339)&gt;0,INDEX(WP!$A$2:$F$23,MATCH(LEFT($B339,FIND("_",$B339)-1),WP!$E$2:$E$23,0),2))),INDEX(WP!$A$2:$F$23,MATCH(Results!$B339,WP!$E$2:$E$23,0),2))))&amp;"-"&amp;$I339),"")</f>
        <v/>
      </c>
      <c r="G339" s="17" t="str">
        <f>IF(LEN(_xlfn.IFNA(IF(IFERROR(IF(FIND("_",$B339)&gt;0,MID($B339,FIND("_",$B339)+1,LEN($B339)),IF(FIND("-",$B339)&gt;0,MID($B339,FIND("-",$B339)+1,LEN($B339)))),"")="",IFERROR(VLOOKUP($F339,WP!$B$2:$C$23,2,0),VLOOKUP($C339,Series!$A$3:$F$11,6,0)),IFERROR(VLOOKUP($F339,WP!$B$2:$C$23,2,0),VLOOKUP($C339,Series!$A$3:$F$11,6,0))&amp;" - "&amp;(IFERROR(IF(FIND("_",$B339)&gt;0,MID($B339,FIND("_",$B339)+1,LEN($B339)),IF(FIND("-",$B339)&gt;0,MID($B339,FIND("-",$B339)+1,LEN($B339)))),""))),""))&lt;64,_xlfn.IFNA(IF(IFERROR(IF(FIND("_",$B339)&gt;0,MID($B339,FIND("_",$B339)+1,LEN($B339)),IF(FIND("-",$B339)&gt;0,MID($B339,FIND("-",$B339)+1,LEN($B339)))),"")="",IFERROR(VLOOKUP($F339,WP!$B$2:$C$23,2,0),VLOOKUP($C339,Series!$A$3:$F$11,6,0)),IFERROR(VLOOKUP($F339,WP!$B$2:$C$23,2,0),VLOOKUP($C339,Series!$A$3:$F$11,6,0))&amp;" - "&amp;(IFERROR(IF(FIND("_",$B339)&gt;0,MID($B339,FIND("_",$B339)+1,LEN($B339)),IF(FIND("-",$B339)&gt;0,MID($B339,FIND("-",$B339)+1,LEN($B339)))),""))),""),LEFT((_xlfn.IFNA(IF(IFERROR(IF(FIND("_",$B339)&gt;0,MID($B339,FIND("_",$B339)+1,LEN($B339)),IF(FIND("-",$B339)&gt;0,MID($B339,FIND("-",$B339)+1,LEN($B339)))),"")="",IFERROR(VLOOKUP($F339,WP!$B$2:$C$23,2,0),VLOOKUP($C339,Series!$A$3:$F$11,6,0)),IFERROR(VLOOKUP($F339,WP!$B$2:$C$23,2,0),VLOOKUP($C339,Series!$A$3:$F$11,6,0))&amp;" - "&amp;(IFERROR(IF(FIND("_",$B339)&gt;0,MID($B339,FIND("_",$B339)+1,LEN($B339)),IF(FIND("-",$B339)&gt;0,MID($B339,FIND("-",$B339)+1,LEN($B339)))),""))),"")),64))</f>
        <v/>
      </c>
      <c r="H339" s="12"/>
      <c r="I339" s="12" t="str">
        <f>IF($D339&lt;&gt;"",COUNTIF($D$7:$D339,"="&amp;$D339),"")</f>
        <v/>
      </c>
      <c r="J339"/>
      <c r="K339" s="8"/>
      <c r="L339"/>
    </row>
    <row r="340" spans="1:12" x14ac:dyDescent="0.3">
      <c r="A340" s="1"/>
      <c r="B340" s="26"/>
      <c r="C340" s="12" t="str">
        <f>_xlfn.IFNA(IFERROR(IF(FIND("_",$B340)&gt;0,INDEX(WP!$A$2:$F$23,MATCH(LEFT($B340,FIND("_",$B340)-1),WP!$E$2:$E$23,0),1),IF(FIND("-",$B340)&gt;0,INDEX(WP!$A$2:$F$23,MATCH(LEFT($B340,FIND("_",$B340)-1),WP!$E$2:$E$23,0),1))),INDEX(WP!$A$2:$F$23,MATCH(Results!$B340,WP!$E$2:$E$23,0),1)),"")</f>
        <v/>
      </c>
      <c r="D340" s="12" t="str">
        <f>IFERROR(IFERROR(IF(RIGHT(INDEX(WP!$A$2:$F$23,MATCH(IF(FIND("_",$B340)&gt;0,LEFT($B340,FIND("_",$B340)-1)),WP!$E$2:$E$23,0),2),6)="Series",LEFT(INDEX(WP!$A$2:$F$23,MATCH(IF(FIND("_",$B340)&gt;0,LEFT($B340,FIND("_",$B340)-1)),WP!$E$2:$E$23,0),2),5),""),IF(RIGHT(INDEX(WP!$A$2:$F$23,MATCH($B340,WP!$E$2:$E$23,0),2),6)="Series",LEFT(INDEX(WP!$A$2:$F$23,MATCH($B340,WP!$E$2:$E$23,0),2),5),"")),"")</f>
        <v/>
      </c>
      <c r="E340" s="17" t="str">
        <f>IFERROR(VLOOKUP(VALUE($D340),Series!$B$3:$F$11,2,0),"")</f>
        <v/>
      </c>
      <c r="F340" s="12" t="str">
        <f>_xlfn.IFNA(IF(IF($D340&lt;&gt;"",COUNTIF($E:$E,"="&amp;$D340),"")="",IF(RIGHT(IFERROR(IF(FIND("_",$B340)&gt;0,INDEX(WP!$A$2:$F$23,MATCH(LEFT($B340,FIND("_",$B340)-1),WP!$E$2:$E$23,0),2),IF(FIND("-",$B340)&gt;0,INDEX(WP!$A$2:$F$23,MATCH(LEFT($B340,FIND("_",$B340)-1),WP!$E$2:$E$23,0),2))),INDEX(WP!$A$2:$F$23,MATCH(Results!$B340,WP!$E$2:$E$23,0),2)),6)="Series",LEFT(IFERROR(IF(FIND("_",$B340)&gt;0,INDEX(WP!$A$2:$F$23,MATCH(LEFT($B340,FIND("_",$B340)-1),WP!$E$2:$E$23,0),2),IF(FIND("-",$B340)&gt;0,INDEX(WP!$A$2:$F$23,MATCH(LEFT($B340,FIND("_",$B340)-1),WP!$E$2:$E$23,0),2))),INDEX(WP!$A$2:$F$23,MATCH(Results!$B340,WP!$E$2:$E$23,0),2)),5),(IFERROR(IF(FIND("_",$B340)&gt;0,INDEX(WP!$A$2:$F$23,MATCH(LEFT($B340,FIND("_",$B340)-1),WP!$E$2:$E$23,0),2),IF(FIND("-",$B340)&gt;0,INDEX(WP!$A$2:$F$23,MATCH(LEFT($B340,FIND("_",$B340)-1),WP!$E$2:$E$23,0),2))),INDEX(WP!$A$2:$F$23,MATCH(Results!$B340,WP!$E$2:$E$23,0),2)))),IF(RIGHT(IFERROR(IF(FIND("_",$B340)&gt;0,INDEX(WP!$A$2:$F$23,MATCH(LEFT($B340,FIND("_",$B340)-1),WP!$E$2:$E$23,0),2),IF(FIND("-",$B340)&gt;0,INDEX(WP!$A$2:$F$23,MATCH(LEFT($B340,FIND("_",$B340)-1),WP!$E$2:$E$23,0),2))),INDEX(WP!$A$2:$F$23,MATCH(Results!$B340,WP!$E$2:$E$23,0),2)),6)="Series",LEFT(IFERROR(IF(FIND("_",$B340)&gt;0,INDEX(WP!$A$2:$F$23,MATCH(LEFT($B340,FIND("_",$B340)-1),WP!$E$2:$E$23,0),2),IF(FIND("-",$B340)&gt;0,INDEX(WP!$A$2:$F$23,MATCH(LEFT($B340,FIND("_",$B340)-1),WP!$E$2:$E$23,0),2))),INDEX(WP!$A$2:$F$23,MATCH(Results!$B340,WP!$E$2:$E$23,0),2)),5),(IFERROR(IF(FIND("_",$B340)&gt;0,INDEX(WP!$A$2:$F$23,MATCH(LEFT($B340,FIND("_",$B340)-1),WP!$E$2:$E$23,0),2),IF(FIND("-",$B340)&gt;0,INDEX(WP!$A$2:$F$23,MATCH(LEFT($B340,FIND("_",$B340)-1),WP!$E$2:$E$23,0),2))),INDEX(WP!$A$2:$F$23,MATCH(Results!$B340,WP!$E$2:$E$23,0),2))))&amp;"-"&amp;$I340),"")</f>
        <v/>
      </c>
      <c r="G340" s="17" t="str">
        <f>IF(LEN(_xlfn.IFNA(IF(IFERROR(IF(FIND("_",$B340)&gt;0,MID($B340,FIND("_",$B340)+1,LEN($B340)),IF(FIND("-",$B340)&gt;0,MID($B340,FIND("-",$B340)+1,LEN($B340)))),"")="",IFERROR(VLOOKUP($F340,WP!$B$2:$C$23,2,0),VLOOKUP($C340,Series!$A$3:$F$11,6,0)),IFERROR(VLOOKUP($F340,WP!$B$2:$C$23,2,0),VLOOKUP($C340,Series!$A$3:$F$11,6,0))&amp;" - "&amp;(IFERROR(IF(FIND("_",$B340)&gt;0,MID($B340,FIND("_",$B340)+1,LEN($B340)),IF(FIND("-",$B340)&gt;0,MID($B340,FIND("-",$B340)+1,LEN($B340)))),""))),""))&lt;64,_xlfn.IFNA(IF(IFERROR(IF(FIND("_",$B340)&gt;0,MID($B340,FIND("_",$B340)+1,LEN($B340)),IF(FIND("-",$B340)&gt;0,MID($B340,FIND("-",$B340)+1,LEN($B340)))),"")="",IFERROR(VLOOKUP($F340,WP!$B$2:$C$23,2,0),VLOOKUP($C340,Series!$A$3:$F$11,6,0)),IFERROR(VLOOKUP($F340,WP!$B$2:$C$23,2,0),VLOOKUP($C340,Series!$A$3:$F$11,6,0))&amp;" - "&amp;(IFERROR(IF(FIND("_",$B340)&gt;0,MID($B340,FIND("_",$B340)+1,LEN($B340)),IF(FIND("-",$B340)&gt;0,MID($B340,FIND("-",$B340)+1,LEN($B340)))),""))),""),LEFT((_xlfn.IFNA(IF(IFERROR(IF(FIND("_",$B340)&gt;0,MID($B340,FIND("_",$B340)+1,LEN($B340)),IF(FIND("-",$B340)&gt;0,MID($B340,FIND("-",$B340)+1,LEN($B340)))),"")="",IFERROR(VLOOKUP($F340,WP!$B$2:$C$23,2,0),VLOOKUP($C340,Series!$A$3:$F$11,6,0)),IFERROR(VLOOKUP($F340,WP!$B$2:$C$23,2,0),VLOOKUP($C340,Series!$A$3:$F$11,6,0))&amp;" - "&amp;(IFERROR(IF(FIND("_",$B340)&gt;0,MID($B340,FIND("_",$B340)+1,LEN($B340)),IF(FIND("-",$B340)&gt;0,MID($B340,FIND("-",$B340)+1,LEN($B340)))),""))),"")),64))</f>
        <v/>
      </c>
      <c r="H340" s="12"/>
      <c r="I340" s="12" t="str">
        <f>IF($D340&lt;&gt;"",COUNTIF($D$7:$D340,"="&amp;$D340),"")</f>
        <v/>
      </c>
      <c r="J340"/>
      <c r="K340" s="8"/>
      <c r="L340"/>
    </row>
    <row r="341" spans="1:12" x14ac:dyDescent="0.3">
      <c r="A341" s="1"/>
      <c r="B341" s="26"/>
      <c r="C341" s="12" t="str">
        <f>_xlfn.IFNA(IFERROR(IF(FIND("_",$B341)&gt;0,INDEX(WP!$A$2:$F$23,MATCH(LEFT($B341,FIND("_",$B341)-1),WP!$E$2:$E$23,0),1),IF(FIND("-",$B341)&gt;0,INDEX(WP!$A$2:$F$23,MATCH(LEFT($B341,FIND("_",$B341)-1),WP!$E$2:$E$23,0),1))),INDEX(WP!$A$2:$F$23,MATCH(Results!$B341,WP!$E$2:$E$23,0),1)),"")</f>
        <v/>
      </c>
      <c r="D341" s="12" t="str">
        <f>IFERROR(IFERROR(IF(RIGHT(INDEX(WP!$A$2:$F$23,MATCH(IF(FIND("_",$B341)&gt;0,LEFT($B341,FIND("_",$B341)-1)),WP!$E$2:$E$23,0),2),6)="Series",LEFT(INDEX(WP!$A$2:$F$23,MATCH(IF(FIND("_",$B341)&gt;0,LEFT($B341,FIND("_",$B341)-1)),WP!$E$2:$E$23,0),2),5),""),IF(RIGHT(INDEX(WP!$A$2:$F$23,MATCH($B341,WP!$E$2:$E$23,0),2),6)="Series",LEFT(INDEX(WP!$A$2:$F$23,MATCH($B341,WP!$E$2:$E$23,0),2),5),"")),"")</f>
        <v/>
      </c>
      <c r="E341" s="17" t="str">
        <f>IFERROR(VLOOKUP(VALUE($D341),Series!$B$3:$F$11,2,0),"")</f>
        <v/>
      </c>
      <c r="F341" s="12" t="str">
        <f>_xlfn.IFNA(IF(IF($D341&lt;&gt;"",COUNTIF($E:$E,"="&amp;$D341),"")="",IF(RIGHT(IFERROR(IF(FIND("_",$B341)&gt;0,INDEX(WP!$A$2:$F$23,MATCH(LEFT($B341,FIND("_",$B341)-1),WP!$E$2:$E$23,0),2),IF(FIND("-",$B341)&gt;0,INDEX(WP!$A$2:$F$23,MATCH(LEFT($B341,FIND("_",$B341)-1),WP!$E$2:$E$23,0),2))),INDEX(WP!$A$2:$F$23,MATCH(Results!$B341,WP!$E$2:$E$23,0),2)),6)="Series",LEFT(IFERROR(IF(FIND("_",$B341)&gt;0,INDEX(WP!$A$2:$F$23,MATCH(LEFT($B341,FIND("_",$B341)-1),WP!$E$2:$E$23,0),2),IF(FIND("-",$B341)&gt;0,INDEX(WP!$A$2:$F$23,MATCH(LEFT($B341,FIND("_",$B341)-1),WP!$E$2:$E$23,0),2))),INDEX(WP!$A$2:$F$23,MATCH(Results!$B341,WP!$E$2:$E$23,0),2)),5),(IFERROR(IF(FIND("_",$B341)&gt;0,INDEX(WP!$A$2:$F$23,MATCH(LEFT($B341,FIND("_",$B341)-1),WP!$E$2:$E$23,0),2),IF(FIND("-",$B341)&gt;0,INDEX(WP!$A$2:$F$23,MATCH(LEFT($B341,FIND("_",$B341)-1),WP!$E$2:$E$23,0),2))),INDEX(WP!$A$2:$F$23,MATCH(Results!$B341,WP!$E$2:$E$23,0),2)))),IF(RIGHT(IFERROR(IF(FIND("_",$B341)&gt;0,INDEX(WP!$A$2:$F$23,MATCH(LEFT($B341,FIND("_",$B341)-1),WP!$E$2:$E$23,0),2),IF(FIND("-",$B341)&gt;0,INDEX(WP!$A$2:$F$23,MATCH(LEFT($B341,FIND("_",$B341)-1),WP!$E$2:$E$23,0),2))),INDEX(WP!$A$2:$F$23,MATCH(Results!$B341,WP!$E$2:$E$23,0),2)),6)="Series",LEFT(IFERROR(IF(FIND("_",$B341)&gt;0,INDEX(WP!$A$2:$F$23,MATCH(LEFT($B341,FIND("_",$B341)-1),WP!$E$2:$E$23,0),2),IF(FIND("-",$B341)&gt;0,INDEX(WP!$A$2:$F$23,MATCH(LEFT($B341,FIND("_",$B341)-1),WP!$E$2:$E$23,0),2))),INDEX(WP!$A$2:$F$23,MATCH(Results!$B341,WP!$E$2:$E$23,0),2)),5),(IFERROR(IF(FIND("_",$B341)&gt;0,INDEX(WP!$A$2:$F$23,MATCH(LEFT($B341,FIND("_",$B341)-1),WP!$E$2:$E$23,0),2),IF(FIND("-",$B341)&gt;0,INDEX(WP!$A$2:$F$23,MATCH(LEFT($B341,FIND("_",$B341)-1),WP!$E$2:$E$23,0),2))),INDEX(WP!$A$2:$F$23,MATCH(Results!$B341,WP!$E$2:$E$23,0),2))))&amp;"-"&amp;$I341),"")</f>
        <v/>
      </c>
      <c r="G341" s="17" t="str">
        <f>IF(LEN(_xlfn.IFNA(IF(IFERROR(IF(FIND("_",$B341)&gt;0,MID($B341,FIND("_",$B341)+1,LEN($B341)),IF(FIND("-",$B341)&gt;0,MID($B341,FIND("-",$B341)+1,LEN($B341)))),"")="",IFERROR(VLOOKUP($F341,WP!$B$2:$C$23,2,0),VLOOKUP($C341,Series!$A$3:$F$11,6,0)),IFERROR(VLOOKUP($F341,WP!$B$2:$C$23,2,0),VLOOKUP($C341,Series!$A$3:$F$11,6,0))&amp;" - "&amp;(IFERROR(IF(FIND("_",$B341)&gt;0,MID($B341,FIND("_",$B341)+1,LEN($B341)),IF(FIND("-",$B341)&gt;0,MID($B341,FIND("-",$B341)+1,LEN($B341)))),""))),""))&lt;64,_xlfn.IFNA(IF(IFERROR(IF(FIND("_",$B341)&gt;0,MID($B341,FIND("_",$B341)+1,LEN($B341)),IF(FIND("-",$B341)&gt;0,MID($B341,FIND("-",$B341)+1,LEN($B341)))),"")="",IFERROR(VLOOKUP($F341,WP!$B$2:$C$23,2,0),VLOOKUP($C341,Series!$A$3:$F$11,6,0)),IFERROR(VLOOKUP($F341,WP!$B$2:$C$23,2,0),VLOOKUP($C341,Series!$A$3:$F$11,6,0))&amp;" - "&amp;(IFERROR(IF(FIND("_",$B341)&gt;0,MID($B341,FIND("_",$B341)+1,LEN($B341)),IF(FIND("-",$B341)&gt;0,MID($B341,FIND("-",$B341)+1,LEN($B341)))),""))),""),LEFT((_xlfn.IFNA(IF(IFERROR(IF(FIND("_",$B341)&gt;0,MID($B341,FIND("_",$B341)+1,LEN($B341)),IF(FIND("-",$B341)&gt;0,MID($B341,FIND("-",$B341)+1,LEN($B341)))),"")="",IFERROR(VLOOKUP($F341,WP!$B$2:$C$23,2,0),VLOOKUP($C341,Series!$A$3:$F$11,6,0)),IFERROR(VLOOKUP($F341,WP!$B$2:$C$23,2,0),VLOOKUP($C341,Series!$A$3:$F$11,6,0))&amp;" - "&amp;(IFERROR(IF(FIND("_",$B341)&gt;0,MID($B341,FIND("_",$B341)+1,LEN($B341)),IF(FIND("-",$B341)&gt;0,MID($B341,FIND("-",$B341)+1,LEN($B341)))),""))),"")),64))</f>
        <v/>
      </c>
      <c r="H341" s="12"/>
      <c r="I341" s="12" t="str">
        <f>IF($D341&lt;&gt;"",COUNTIF($D$7:$D341,"="&amp;$D341),"")</f>
        <v/>
      </c>
      <c r="J341"/>
      <c r="K341" s="8"/>
      <c r="L341"/>
    </row>
    <row r="342" spans="1:12" x14ac:dyDescent="0.3">
      <c r="A342" s="1"/>
      <c r="B342" s="26"/>
      <c r="C342" s="12" t="str">
        <f>_xlfn.IFNA(IFERROR(IF(FIND("_",$B342)&gt;0,INDEX(WP!$A$2:$F$23,MATCH(LEFT($B342,FIND("_",$B342)-1),WP!$E$2:$E$23,0),1),IF(FIND("-",$B342)&gt;0,INDEX(WP!$A$2:$F$23,MATCH(LEFT($B342,FIND("_",$B342)-1),WP!$E$2:$E$23,0),1))),INDEX(WP!$A$2:$F$23,MATCH(Results!$B342,WP!$E$2:$E$23,0),1)),"")</f>
        <v/>
      </c>
      <c r="D342" s="12" t="str">
        <f>IFERROR(IFERROR(IF(RIGHT(INDEX(WP!$A$2:$F$23,MATCH(IF(FIND("_",$B342)&gt;0,LEFT($B342,FIND("_",$B342)-1)),WP!$E$2:$E$23,0),2),6)="Series",LEFT(INDEX(WP!$A$2:$F$23,MATCH(IF(FIND("_",$B342)&gt;0,LEFT($B342,FIND("_",$B342)-1)),WP!$E$2:$E$23,0),2),5),""),IF(RIGHT(INDEX(WP!$A$2:$F$23,MATCH($B342,WP!$E$2:$E$23,0),2),6)="Series",LEFT(INDEX(WP!$A$2:$F$23,MATCH($B342,WP!$E$2:$E$23,0),2),5),"")),"")</f>
        <v/>
      </c>
      <c r="E342" s="17" t="str">
        <f>IFERROR(VLOOKUP(VALUE($D342),Series!$B$3:$F$11,2,0),"")</f>
        <v/>
      </c>
      <c r="F342" s="12" t="str">
        <f>_xlfn.IFNA(IF(IF($D342&lt;&gt;"",COUNTIF($E:$E,"="&amp;$D342),"")="",IF(RIGHT(IFERROR(IF(FIND("_",$B342)&gt;0,INDEX(WP!$A$2:$F$23,MATCH(LEFT($B342,FIND("_",$B342)-1),WP!$E$2:$E$23,0),2),IF(FIND("-",$B342)&gt;0,INDEX(WP!$A$2:$F$23,MATCH(LEFT($B342,FIND("_",$B342)-1),WP!$E$2:$E$23,0),2))),INDEX(WP!$A$2:$F$23,MATCH(Results!$B342,WP!$E$2:$E$23,0),2)),6)="Series",LEFT(IFERROR(IF(FIND("_",$B342)&gt;0,INDEX(WP!$A$2:$F$23,MATCH(LEFT($B342,FIND("_",$B342)-1),WP!$E$2:$E$23,0),2),IF(FIND("-",$B342)&gt;0,INDEX(WP!$A$2:$F$23,MATCH(LEFT($B342,FIND("_",$B342)-1),WP!$E$2:$E$23,0),2))),INDEX(WP!$A$2:$F$23,MATCH(Results!$B342,WP!$E$2:$E$23,0),2)),5),(IFERROR(IF(FIND("_",$B342)&gt;0,INDEX(WP!$A$2:$F$23,MATCH(LEFT($B342,FIND("_",$B342)-1),WP!$E$2:$E$23,0),2),IF(FIND("-",$B342)&gt;0,INDEX(WP!$A$2:$F$23,MATCH(LEFT($B342,FIND("_",$B342)-1),WP!$E$2:$E$23,0),2))),INDEX(WP!$A$2:$F$23,MATCH(Results!$B342,WP!$E$2:$E$23,0),2)))),IF(RIGHT(IFERROR(IF(FIND("_",$B342)&gt;0,INDEX(WP!$A$2:$F$23,MATCH(LEFT($B342,FIND("_",$B342)-1),WP!$E$2:$E$23,0),2),IF(FIND("-",$B342)&gt;0,INDEX(WP!$A$2:$F$23,MATCH(LEFT($B342,FIND("_",$B342)-1),WP!$E$2:$E$23,0),2))),INDEX(WP!$A$2:$F$23,MATCH(Results!$B342,WP!$E$2:$E$23,0),2)),6)="Series",LEFT(IFERROR(IF(FIND("_",$B342)&gt;0,INDEX(WP!$A$2:$F$23,MATCH(LEFT($B342,FIND("_",$B342)-1),WP!$E$2:$E$23,0),2),IF(FIND("-",$B342)&gt;0,INDEX(WP!$A$2:$F$23,MATCH(LEFT($B342,FIND("_",$B342)-1),WP!$E$2:$E$23,0),2))),INDEX(WP!$A$2:$F$23,MATCH(Results!$B342,WP!$E$2:$E$23,0),2)),5),(IFERROR(IF(FIND("_",$B342)&gt;0,INDEX(WP!$A$2:$F$23,MATCH(LEFT($B342,FIND("_",$B342)-1),WP!$E$2:$E$23,0),2),IF(FIND("-",$B342)&gt;0,INDEX(WP!$A$2:$F$23,MATCH(LEFT($B342,FIND("_",$B342)-1),WP!$E$2:$E$23,0),2))),INDEX(WP!$A$2:$F$23,MATCH(Results!$B342,WP!$E$2:$E$23,0),2))))&amp;"-"&amp;$I342),"")</f>
        <v/>
      </c>
      <c r="G342" s="17" t="str">
        <f>IF(LEN(_xlfn.IFNA(IF(IFERROR(IF(FIND("_",$B342)&gt;0,MID($B342,FIND("_",$B342)+1,LEN($B342)),IF(FIND("-",$B342)&gt;0,MID($B342,FIND("-",$B342)+1,LEN($B342)))),"")="",IFERROR(VLOOKUP($F342,WP!$B$2:$C$23,2,0),VLOOKUP($C342,Series!$A$3:$F$11,6,0)),IFERROR(VLOOKUP($F342,WP!$B$2:$C$23,2,0),VLOOKUP($C342,Series!$A$3:$F$11,6,0))&amp;" - "&amp;(IFERROR(IF(FIND("_",$B342)&gt;0,MID($B342,FIND("_",$B342)+1,LEN($B342)),IF(FIND("-",$B342)&gt;0,MID($B342,FIND("-",$B342)+1,LEN($B342)))),""))),""))&lt;64,_xlfn.IFNA(IF(IFERROR(IF(FIND("_",$B342)&gt;0,MID($B342,FIND("_",$B342)+1,LEN($B342)),IF(FIND("-",$B342)&gt;0,MID($B342,FIND("-",$B342)+1,LEN($B342)))),"")="",IFERROR(VLOOKUP($F342,WP!$B$2:$C$23,2,0),VLOOKUP($C342,Series!$A$3:$F$11,6,0)),IFERROR(VLOOKUP($F342,WP!$B$2:$C$23,2,0),VLOOKUP($C342,Series!$A$3:$F$11,6,0))&amp;" - "&amp;(IFERROR(IF(FIND("_",$B342)&gt;0,MID($B342,FIND("_",$B342)+1,LEN($B342)),IF(FIND("-",$B342)&gt;0,MID($B342,FIND("-",$B342)+1,LEN($B342)))),""))),""),LEFT((_xlfn.IFNA(IF(IFERROR(IF(FIND("_",$B342)&gt;0,MID($B342,FIND("_",$B342)+1,LEN($B342)),IF(FIND("-",$B342)&gt;0,MID($B342,FIND("-",$B342)+1,LEN($B342)))),"")="",IFERROR(VLOOKUP($F342,WP!$B$2:$C$23,2,0),VLOOKUP($C342,Series!$A$3:$F$11,6,0)),IFERROR(VLOOKUP($F342,WP!$B$2:$C$23,2,0),VLOOKUP($C342,Series!$A$3:$F$11,6,0))&amp;" - "&amp;(IFERROR(IF(FIND("_",$B342)&gt;0,MID($B342,FIND("_",$B342)+1,LEN($B342)),IF(FIND("-",$B342)&gt;0,MID($B342,FIND("-",$B342)+1,LEN($B342)))),""))),"")),64))</f>
        <v/>
      </c>
      <c r="H342" s="12"/>
      <c r="I342" s="12" t="str">
        <f>IF($D342&lt;&gt;"",COUNTIF($D$7:$D342,"="&amp;$D342),"")</f>
        <v/>
      </c>
      <c r="J342"/>
      <c r="K342" s="8"/>
      <c r="L342"/>
    </row>
    <row r="343" spans="1:12" x14ac:dyDescent="0.3">
      <c r="A343" s="1"/>
      <c r="B343" s="26"/>
      <c r="C343" s="12" t="str">
        <f>_xlfn.IFNA(IFERROR(IF(FIND("_",$B343)&gt;0,INDEX(WP!$A$2:$F$23,MATCH(LEFT($B343,FIND("_",$B343)-1),WP!$E$2:$E$23,0),1),IF(FIND("-",$B343)&gt;0,INDEX(WP!$A$2:$F$23,MATCH(LEFT($B343,FIND("_",$B343)-1),WP!$E$2:$E$23,0),1))),INDEX(WP!$A$2:$F$23,MATCH(Results!$B343,WP!$E$2:$E$23,0),1)),"")</f>
        <v/>
      </c>
      <c r="D343" s="12" t="str">
        <f>IFERROR(IFERROR(IF(RIGHT(INDEX(WP!$A$2:$F$23,MATCH(IF(FIND("_",$B343)&gt;0,LEFT($B343,FIND("_",$B343)-1)),WP!$E$2:$E$23,0),2),6)="Series",LEFT(INDEX(WP!$A$2:$F$23,MATCH(IF(FIND("_",$B343)&gt;0,LEFT($B343,FIND("_",$B343)-1)),WP!$E$2:$E$23,0),2),5),""),IF(RIGHT(INDEX(WP!$A$2:$F$23,MATCH($B343,WP!$E$2:$E$23,0),2),6)="Series",LEFT(INDEX(WP!$A$2:$F$23,MATCH($B343,WP!$E$2:$E$23,0),2),5),"")),"")</f>
        <v/>
      </c>
      <c r="E343" s="17" t="str">
        <f>IFERROR(VLOOKUP(VALUE($D343),Series!$B$3:$F$11,2,0),"")</f>
        <v/>
      </c>
      <c r="F343" s="12" t="str">
        <f>_xlfn.IFNA(IF(IF($D343&lt;&gt;"",COUNTIF($E:$E,"="&amp;$D343),"")="",IF(RIGHT(IFERROR(IF(FIND("_",$B343)&gt;0,INDEX(WP!$A$2:$F$23,MATCH(LEFT($B343,FIND("_",$B343)-1),WP!$E$2:$E$23,0),2),IF(FIND("-",$B343)&gt;0,INDEX(WP!$A$2:$F$23,MATCH(LEFT($B343,FIND("_",$B343)-1),WP!$E$2:$E$23,0),2))),INDEX(WP!$A$2:$F$23,MATCH(Results!$B343,WP!$E$2:$E$23,0),2)),6)="Series",LEFT(IFERROR(IF(FIND("_",$B343)&gt;0,INDEX(WP!$A$2:$F$23,MATCH(LEFT($B343,FIND("_",$B343)-1),WP!$E$2:$E$23,0),2),IF(FIND("-",$B343)&gt;0,INDEX(WP!$A$2:$F$23,MATCH(LEFT($B343,FIND("_",$B343)-1),WP!$E$2:$E$23,0),2))),INDEX(WP!$A$2:$F$23,MATCH(Results!$B343,WP!$E$2:$E$23,0),2)),5),(IFERROR(IF(FIND("_",$B343)&gt;0,INDEX(WP!$A$2:$F$23,MATCH(LEFT($B343,FIND("_",$B343)-1),WP!$E$2:$E$23,0),2),IF(FIND("-",$B343)&gt;0,INDEX(WP!$A$2:$F$23,MATCH(LEFT($B343,FIND("_",$B343)-1),WP!$E$2:$E$23,0),2))),INDEX(WP!$A$2:$F$23,MATCH(Results!$B343,WP!$E$2:$E$23,0),2)))),IF(RIGHT(IFERROR(IF(FIND("_",$B343)&gt;0,INDEX(WP!$A$2:$F$23,MATCH(LEFT($B343,FIND("_",$B343)-1),WP!$E$2:$E$23,0),2),IF(FIND("-",$B343)&gt;0,INDEX(WP!$A$2:$F$23,MATCH(LEFT($B343,FIND("_",$B343)-1),WP!$E$2:$E$23,0),2))),INDEX(WP!$A$2:$F$23,MATCH(Results!$B343,WP!$E$2:$E$23,0),2)),6)="Series",LEFT(IFERROR(IF(FIND("_",$B343)&gt;0,INDEX(WP!$A$2:$F$23,MATCH(LEFT($B343,FIND("_",$B343)-1),WP!$E$2:$E$23,0),2),IF(FIND("-",$B343)&gt;0,INDEX(WP!$A$2:$F$23,MATCH(LEFT($B343,FIND("_",$B343)-1),WP!$E$2:$E$23,0),2))),INDEX(WP!$A$2:$F$23,MATCH(Results!$B343,WP!$E$2:$E$23,0),2)),5),(IFERROR(IF(FIND("_",$B343)&gt;0,INDEX(WP!$A$2:$F$23,MATCH(LEFT($B343,FIND("_",$B343)-1),WP!$E$2:$E$23,0),2),IF(FIND("-",$B343)&gt;0,INDEX(WP!$A$2:$F$23,MATCH(LEFT($B343,FIND("_",$B343)-1),WP!$E$2:$E$23,0),2))),INDEX(WP!$A$2:$F$23,MATCH(Results!$B343,WP!$E$2:$E$23,0),2))))&amp;"-"&amp;$I343),"")</f>
        <v/>
      </c>
      <c r="G343" s="17" t="str">
        <f>IF(LEN(_xlfn.IFNA(IF(IFERROR(IF(FIND("_",$B343)&gt;0,MID($B343,FIND("_",$B343)+1,LEN($B343)),IF(FIND("-",$B343)&gt;0,MID($B343,FIND("-",$B343)+1,LEN($B343)))),"")="",IFERROR(VLOOKUP($F343,WP!$B$2:$C$23,2,0),VLOOKUP($C343,Series!$A$3:$F$11,6,0)),IFERROR(VLOOKUP($F343,WP!$B$2:$C$23,2,0),VLOOKUP($C343,Series!$A$3:$F$11,6,0))&amp;" - "&amp;(IFERROR(IF(FIND("_",$B343)&gt;0,MID($B343,FIND("_",$B343)+1,LEN($B343)),IF(FIND("-",$B343)&gt;0,MID($B343,FIND("-",$B343)+1,LEN($B343)))),""))),""))&lt;64,_xlfn.IFNA(IF(IFERROR(IF(FIND("_",$B343)&gt;0,MID($B343,FIND("_",$B343)+1,LEN($B343)),IF(FIND("-",$B343)&gt;0,MID($B343,FIND("-",$B343)+1,LEN($B343)))),"")="",IFERROR(VLOOKUP($F343,WP!$B$2:$C$23,2,0),VLOOKUP($C343,Series!$A$3:$F$11,6,0)),IFERROR(VLOOKUP($F343,WP!$B$2:$C$23,2,0),VLOOKUP($C343,Series!$A$3:$F$11,6,0))&amp;" - "&amp;(IFERROR(IF(FIND("_",$B343)&gt;0,MID($B343,FIND("_",$B343)+1,LEN($B343)),IF(FIND("-",$B343)&gt;0,MID($B343,FIND("-",$B343)+1,LEN($B343)))),""))),""),LEFT((_xlfn.IFNA(IF(IFERROR(IF(FIND("_",$B343)&gt;0,MID($B343,FIND("_",$B343)+1,LEN($B343)),IF(FIND("-",$B343)&gt;0,MID($B343,FIND("-",$B343)+1,LEN($B343)))),"")="",IFERROR(VLOOKUP($F343,WP!$B$2:$C$23,2,0),VLOOKUP($C343,Series!$A$3:$F$11,6,0)),IFERROR(VLOOKUP($F343,WP!$B$2:$C$23,2,0),VLOOKUP($C343,Series!$A$3:$F$11,6,0))&amp;" - "&amp;(IFERROR(IF(FIND("_",$B343)&gt;0,MID($B343,FIND("_",$B343)+1,LEN($B343)),IF(FIND("-",$B343)&gt;0,MID($B343,FIND("-",$B343)+1,LEN($B343)))),""))),"")),64))</f>
        <v/>
      </c>
      <c r="H343" s="12"/>
      <c r="I343" s="12" t="str">
        <f>IF($D343&lt;&gt;"",COUNTIF($D$7:$D343,"="&amp;$D343),"")</f>
        <v/>
      </c>
      <c r="J343"/>
      <c r="K343" s="8"/>
      <c r="L343"/>
    </row>
    <row r="344" spans="1:12" x14ac:dyDescent="0.3">
      <c r="A344" s="1"/>
      <c r="B344" s="26"/>
      <c r="C344" s="12" t="str">
        <f>_xlfn.IFNA(IFERROR(IF(FIND("_",$B344)&gt;0,INDEX(WP!$A$2:$F$23,MATCH(LEFT($B344,FIND("_",$B344)-1),WP!$E$2:$E$23,0),1),IF(FIND("-",$B344)&gt;0,INDEX(WP!$A$2:$F$23,MATCH(LEFT($B344,FIND("_",$B344)-1),WP!$E$2:$E$23,0),1))),INDEX(WP!$A$2:$F$23,MATCH(Results!$B344,WP!$E$2:$E$23,0),1)),"")</f>
        <v/>
      </c>
      <c r="D344" s="12" t="str">
        <f>IFERROR(IFERROR(IF(RIGHT(INDEX(WP!$A$2:$F$23,MATCH(IF(FIND("_",$B344)&gt;0,LEFT($B344,FIND("_",$B344)-1)),WP!$E$2:$E$23,0),2),6)="Series",LEFT(INDEX(WP!$A$2:$F$23,MATCH(IF(FIND("_",$B344)&gt;0,LEFT($B344,FIND("_",$B344)-1)),WP!$E$2:$E$23,0),2),5),""),IF(RIGHT(INDEX(WP!$A$2:$F$23,MATCH($B344,WP!$E$2:$E$23,0),2),6)="Series",LEFT(INDEX(WP!$A$2:$F$23,MATCH($B344,WP!$E$2:$E$23,0),2),5),"")),"")</f>
        <v/>
      </c>
      <c r="E344" s="17" t="str">
        <f>IFERROR(VLOOKUP(VALUE($D344),Series!$B$3:$F$11,2,0),"")</f>
        <v/>
      </c>
      <c r="F344" s="12" t="str">
        <f>_xlfn.IFNA(IF(IF($D344&lt;&gt;"",COUNTIF($E:$E,"="&amp;$D344),"")="",IF(RIGHT(IFERROR(IF(FIND("_",$B344)&gt;0,INDEX(WP!$A$2:$F$23,MATCH(LEFT($B344,FIND("_",$B344)-1),WP!$E$2:$E$23,0),2),IF(FIND("-",$B344)&gt;0,INDEX(WP!$A$2:$F$23,MATCH(LEFT($B344,FIND("_",$B344)-1),WP!$E$2:$E$23,0),2))),INDEX(WP!$A$2:$F$23,MATCH(Results!$B344,WP!$E$2:$E$23,0),2)),6)="Series",LEFT(IFERROR(IF(FIND("_",$B344)&gt;0,INDEX(WP!$A$2:$F$23,MATCH(LEFT($B344,FIND("_",$B344)-1),WP!$E$2:$E$23,0),2),IF(FIND("-",$B344)&gt;0,INDEX(WP!$A$2:$F$23,MATCH(LEFT($B344,FIND("_",$B344)-1),WP!$E$2:$E$23,0),2))),INDEX(WP!$A$2:$F$23,MATCH(Results!$B344,WP!$E$2:$E$23,0),2)),5),(IFERROR(IF(FIND("_",$B344)&gt;0,INDEX(WP!$A$2:$F$23,MATCH(LEFT($B344,FIND("_",$B344)-1),WP!$E$2:$E$23,0),2),IF(FIND("-",$B344)&gt;0,INDEX(WP!$A$2:$F$23,MATCH(LEFT($B344,FIND("_",$B344)-1),WP!$E$2:$E$23,0),2))),INDEX(WP!$A$2:$F$23,MATCH(Results!$B344,WP!$E$2:$E$23,0),2)))),IF(RIGHT(IFERROR(IF(FIND("_",$B344)&gt;0,INDEX(WP!$A$2:$F$23,MATCH(LEFT($B344,FIND("_",$B344)-1),WP!$E$2:$E$23,0),2),IF(FIND("-",$B344)&gt;0,INDEX(WP!$A$2:$F$23,MATCH(LEFT($B344,FIND("_",$B344)-1),WP!$E$2:$E$23,0),2))),INDEX(WP!$A$2:$F$23,MATCH(Results!$B344,WP!$E$2:$E$23,0),2)),6)="Series",LEFT(IFERROR(IF(FIND("_",$B344)&gt;0,INDEX(WP!$A$2:$F$23,MATCH(LEFT($B344,FIND("_",$B344)-1),WP!$E$2:$E$23,0),2),IF(FIND("-",$B344)&gt;0,INDEX(WP!$A$2:$F$23,MATCH(LEFT($B344,FIND("_",$B344)-1),WP!$E$2:$E$23,0),2))),INDEX(WP!$A$2:$F$23,MATCH(Results!$B344,WP!$E$2:$E$23,0),2)),5),(IFERROR(IF(FIND("_",$B344)&gt;0,INDEX(WP!$A$2:$F$23,MATCH(LEFT($B344,FIND("_",$B344)-1),WP!$E$2:$E$23,0),2),IF(FIND("-",$B344)&gt;0,INDEX(WP!$A$2:$F$23,MATCH(LEFT($B344,FIND("_",$B344)-1),WP!$E$2:$E$23,0),2))),INDEX(WP!$A$2:$F$23,MATCH(Results!$B344,WP!$E$2:$E$23,0),2))))&amp;"-"&amp;$I344),"")</f>
        <v/>
      </c>
      <c r="G344" s="17" t="str">
        <f>IF(LEN(_xlfn.IFNA(IF(IFERROR(IF(FIND("_",$B344)&gt;0,MID($B344,FIND("_",$B344)+1,LEN($B344)),IF(FIND("-",$B344)&gt;0,MID($B344,FIND("-",$B344)+1,LEN($B344)))),"")="",IFERROR(VLOOKUP($F344,WP!$B$2:$C$23,2,0),VLOOKUP($C344,Series!$A$3:$F$11,6,0)),IFERROR(VLOOKUP($F344,WP!$B$2:$C$23,2,0),VLOOKUP($C344,Series!$A$3:$F$11,6,0))&amp;" - "&amp;(IFERROR(IF(FIND("_",$B344)&gt;0,MID($B344,FIND("_",$B344)+1,LEN($B344)),IF(FIND("-",$B344)&gt;0,MID($B344,FIND("-",$B344)+1,LEN($B344)))),""))),""))&lt;64,_xlfn.IFNA(IF(IFERROR(IF(FIND("_",$B344)&gt;0,MID($B344,FIND("_",$B344)+1,LEN($B344)),IF(FIND("-",$B344)&gt;0,MID($B344,FIND("-",$B344)+1,LEN($B344)))),"")="",IFERROR(VLOOKUP($F344,WP!$B$2:$C$23,2,0),VLOOKUP($C344,Series!$A$3:$F$11,6,0)),IFERROR(VLOOKUP($F344,WP!$B$2:$C$23,2,0),VLOOKUP($C344,Series!$A$3:$F$11,6,0))&amp;" - "&amp;(IFERROR(IF(FIND("_",$B344)&gt;0,MID($B344,FIND("_",$B344)+1,LEN($B344)),IF(FIND("-",$B344)&gt;0,MID($B344,FIND("-",$B344)+1,LEN($B344)))),""))),""),LEFT((_xlfn.IFNA(IF(IFERROR(IF(FIND("_",$B344)&gt;0,MID($B344,FIND("_",$B344)+1,LEN($B344)),IF(FIND("-",$B344)&gt;0,MID($B344,FIND("-",$B344)+1,LEN($B344)))),"")="",IFERROR(VLOOKUP($F344,WP!$B$2:$C$23,2,0),VLOOKUP($C344,Series!$A$3:$F$11,6,0)),IFERROR(VLOOKUP($F344,WP!$B$2:$C$23,2,0),VLOOKUP($C344,Series!$A$3:$F$11,6,0))&amp;" - "&amp;(IFERROR(IF(FIND("_",$B344)&gt;0,MID($B344,FIND("_",$B344)+1,LEN($B344)),IF(FIND("-",$B344)&gt;0,MID($B344,FIND("-",$B344)+1,LEN($B344)))),""))),"")),64))</f>
        <v/>
      </c>
      <c r="H344" s="12"/>
      <c r="I344" s="12" t="str">
        <f>IF($D344&lt;&gt;"",COUNTIF($D$7:$D344,"="&amp;$D344),"")</f>
        <v/>
      </c>
      <c r="J344"/>
      <c r="K344" s="8"/>
      <c r="L344"/>
    </row>
    <row r="345" spans="1:12" x14ac:dyDescent="0.3">
      <c r="A345" s="1"/>
      <c r="B345" s="26"/>
      <c r="C345" s="12" t="str">
        <f>_xlfn.IFNA(IFERROR(IF(FIND("_",$B345)&gt;0,INDEX(WP!$A$2:$F$23,MATCH(LEFT($B345,FIND("_",$B345)-1),WP!$E$2:$E$23,0),1),IF(FIND("-",$B345)&gt;0,INDEX(WP!$A$2:$F$23,MATCH(LEFT($B345,FIND("_",$B345)-1),WP!$E$2:$E$23,0),1))),INDEX(WP!$A$2:$F$23,MATCH(Results!$B345,WP!$E$2:$E$23,0),1)),"")</f>
        <v/>
      </c>
      <c r="D345" s="12" t="str">
        <f>IFERROR(IFERROR(IF(RIGHT(INDEX(WP!$A$2:$F$23,MATCH(IF(FIND("_",$B345)&gt;0,LEFT($B345,FIND("_",$B345)-1)),WP!$E$2:$E$23,0),2),6)="Series",LEFT(INDEX(WP!$A$2:$F$23,MATCH(IF(FIND("_",$B345)&gt;0,LEFT($B345,FIND("_",$B345)-1)),WP!$E$2:$E$23,0),2),5),""),IF(RIGHT(INDEX(WP!$A$2:$F$23,MATCH($B345,WP!$E$2:$E$23,0),2),6)="Series",LEFT(INDEX(WP!$A$2:$F$23,MATCH($B345,WP!$E$2:$E$23,0),2),5),"")),"")</f>
        <v/>
      </c>
      <c r="E345" s="17" t="str">
        <f>IFERROR(VLOOKUP(VALUE($D345),Series!$B$3:$F$11,2,0),"")</f>
        <v/>
      </c>
      <c r="F345" s="12" t="str">
        <f>_xlfn.IFNA(IF(IF($D345&lt;&gt;"",COUNTIF($E:$E,"="&amp;$D345),"")="",IF(RIGHT(IFERROR(IF(FIND("_",$B345)&gt;0,INDEX(WP!$A$2:$F$23,MATCH(LEFT($B345,FIND("_",$B345)-1),WP!$E$2:$E$23,0),2),IF(FIND("-",$B345)&gt;0,INDEX(WP!$A$2:$F$23,MATCH(LEFT($B345,FIND("_",$B345)-1),WP!$E$2:$E$23,0),2))),INDEX(WP!$A$2:$F$23,MATCH(Results!$B345,WP!$E$2:$E$23,0),2)),6)="Series",LEFT(IFERROR(IF(FIND("_",$B345)&gt;0,INDEX(WP!$A$2:$F$23,MATCH(LEFT($B345,FIND("_",$B345)-1),WP!$E$2:$E$23,0),2),IF(FIND("-",$B345)&gt;0,INDEX(WP!$A$2:$F$23,MATCH(LEFT($B345,FIND("_",$B345)-1),WP!$E$2:$E$23,0),2))),INDEX(WP!$A$2:$F$23,MATCH(Results!$B345,WP!$E$2:$E$23,0),2)),5),(IFERROR(IF(FIND("_",$B345)&gt;0,INDEX(WP!$A$2:$F$23,MATCH(LEFT($B345,FIND("_",$B345)-1),WP!$E$2:$E$23,0),2),IF(FIND("-",$B345)&gt;0,INDEX(WP!$A$2:$F$23,MATCH(LEFT($B345,FIND("_",$B345)-1),WP!$E$2:$E$23,0),2))),INDEX(WP!$A$2:$F$23,MATCH(Results!$B345,WP!$E$2:$E$23,0),2)))),IF(RIGHT(IFERROR(IF(FIND("_",$B345)&gt;0,INDEX(WP!$A$2:$F$23,MATCH(LEFT($B345,FIND("_",$B345)-1),WP!$E$2:$E$23,0),2),IF(FIND("-",$B345)&gt;0,INDEX(WP!$A$2:$F$23,MATCH(LEFT($B345,FIND("_",$B345)-1),WP!$E$2:$E$23,0),2))),INDEX(WP!$A$2:$F$23,MATCH(Results!$B345,WP!$E$2:$E$23,0),2)),6)="Series",LEFT(IFERROR(IF(FIND("_",$B345)&gt;0,INDEX(WP!$A$2:$F$23,MATCH(LEFT($B345,FIND("_",$B345)-1),WP!$E$2:$E$23,0),2),IF(FIND("-",$B345)&gt;0,INDEX(WP!$A$2:$F$23,MATCH(LEFT($B345,FIND("_",$B345)-1),WP!$E$2:$E$23,0),2))),INDEX(WP!$A$2:$F$23,MATCH(Results!$B345,WP!$E$2:$E$23,0),2)),5),(IFERROR(IF(FIND("_",$B345)&gt;0,INDEX(WP!$A$2:$F$23,MATCH(LEFT($B345,FIND("_",$B345)-1),WP!$E$2:$E$23,0),2),IF(FIND("-",$B345)&gt;0,INDEX(WP!$A$2:$F$23,MATCH(LEFT($B345,FIND("_",$B345)-1),WP!$E$2:$E$23,0),2))),INDEX(WP!$A$2:$F$23,MATCH(Results!$B345,WP!$E$2:$E$23,0),2))))&amp;"-"&amp;$I345),"")</f>
        <v/>
      </c>
      <c r="G345" s="17" t="str">
        <f>IF(LEN(_xlfn.IFNA(IF(IFERROR(IF(FIND("_",$B345)&gt;0,MID($B345,FIND("_",$B345)+1,LEN($B345)),IF(FIND("-",$B345)&gt;0,MID($B345,FIND("-",$B345)+1,LEN($B345)))),"")="",IFERROR(VLOOKUP($F345,WP!$B$2:$C$23,2,0),VLOOKUP($C345,Series!$A$3:$F$11,6,0)),IFERROR(VLOOKUP($F345,WP!$B$2:$C$23,2,0),VLOOKUP($C345,Series!$A$3:$F$11,6,0))&amp;" - "&amp;(IFERROR(IF(FIND("_",$B345)&gt;0,MID($B345,FIND("_",$B345)+1,LEN($B345)),IF(FIND("-",$B345)&gt;0,MID($B345,FIND("-",$B345)+1,LEN($B345)))),""))),""))&lt;64,_xlfn.IFNA(IF(IFERROR(IF(FIND("_",$B345)&gt;0,MID($B345,FIND("_",$B345)+1,LEN($B345)),IF(FIND("-",$B345)&gt;0,MID($B345,FIND("-",$B345)+1,LEN($B345)))),"")="",IFERROR(VLOOKUP($F345,WP!$B$2:$C$23,2,0),VLOOKUP($C345,Series!$A$3:$F$11,6,0)),IFERROR(VLOOKUP($F345,WP!$B$2:$C$23,2,0),VLOOKUP($C345,Series!$A$3:$F$11,6,0))&amp;" - "&amp;(IFERROR(IF(FIND("_",$B345)&gt;0,MID($B345,FIND("_",$B345)+1,LEN($B345)),IF(FIND("-",$B345)&gt;0,MID($B345,FIND("-",$B345)+1,LEN($B345)))),""))),""),LEFT((_xlfn.IFNA(IF(IFERROR(IF(FIND("_",$B345)&gt;0,MID($B345,FIND("_",$B345)+1,LEN($B345)),IF(FIND("-",$B345)&gt;0,MID($B345,FIND("-",$B345)+1,LEN($B345)))),"")="",IFERROR(VLOOKUP($F345,WP!$B$2:$C$23,2,0),VLOOKUP($C345,Series!$A$3:$F$11,6,0)),IFERROR(VLOOKUP($F345,WP!$B$2:$C$23,2,0),VLOOKUP($C345,Series!$A$3:$F$11,6,0))&amp;" - "&amp;(IFERROR(IF(FIND("_",$B345)&gt;0,MID($B345,FIND("_",$B345)+1,LEN($B345)),IF(FIND("-",$B345)&gt;0,MID($B345,FIND("-",$B345)+1,LEN($B345)))),""))),"")),64))</f>
        <v/>
      </c>
      <c r="H345" s="12"/>
      <c r="I345" s="12" t="str">
        <f>IF($D345&lt;&gt;"",COUNTIF($D$7:$D345,"="&amp;$D345),"")</f>
        <v/>
      </c>
      <c r="J345"/>
      <c r="K345" s="8"/>
      <c r="L345"/>
    </row>
    <row r="346" spans="1:12" x14ac:dyDescent="0.3">
      <c r="A346" s="1"/>
      <c r="B346" s="26"/>
      <c r="C346" s="12" t="str">
        <f>_xlfn.IFNA(IFERROR(IF(FIND("_",$B346)&gt;0,INDEX(WP!$A$2:$F$23,MATCH(LEFT($B346,FIND("_",$B346)-1),WP!$E$2:$E$23,0),1),IF(FIND("-",$B346)&gt;0,INDEX(WP!$A$2:$F$23,MATCH(LEFT($B346,FIND("_",$B346)-1),WP!$E$2:$E$23,0),1))),INDEX(WP!$A$2:$F$23,MATCH(Results!$B346,WP!$E$2:$E$23,0),1)),"")</f>
        <v/>
      </c>
      <c r="D346" s="12" t="str">
        <f>IFERROR(IFERROR(IF(RIGHT(INDEX(WP!$A$2:$F$23,MATCH(IF(FIND("_",$B346)&gt;0,LEFT($B346,FIND("_",$B346)-1)),WP!$E$2:$E$23,0),2),6)="Series",LEFT(INDEX(WP!$A$2:$F$23,MATCH(IF(FIND("_",$B346)&gt;0,LEFT($B346,FIND("_",$B346)-1)),WP!$E$2:$E$23,0),2),5),""),IF(RIGHT(INDEX(WP!$A$2:$F$23,MATCH($B346,WP!$E$2:$E$23,0),2),6)="Series",LEFT(INDEX(WP!$A$2:$F$23,MATCH($B346,WP!$E$2:$E$23,0),2),5),"")),"")</f>
        <v/>
      </c>
      <c r="E346" s="17" t="str">
        <f>IFERROR(VLOOKUP(VALUE($D346),Series!$B$3:$F$11,2,0),"")</f>
        <v/>
      </c>
      <c r="F346" s="12" t="str">
        <f>_xlfn.IFNA(IF(IF($D346&lt;&gt;"",COUNTIF($E:$E,"="&amp;$D346),"")="",IF(RIGHT(IFERROR(IF(FIND("_",$B346)&gt;0,INDEX(WP!$A$2:$F$23,MATCH(LEFT($B346,FIND("_",$B346)-1),WP!$E$2:$E$23,0),2),IF(FIND("-",$B346)&gt;0,INDEX(WP!$A$2:$F$23,MATCH(LEFT($B346,FIND("_",$B346)-1),WP!$E$2:$E$23,0),2))),INDEX(WP!$A$2:$F$23,MATCH(Results!$B346,WP!$E$2:$E$23,0),2)),6)="Series",LEFT(IFERROR(IF(FIND("_",$B346)&gt;0,INDEX(WP!$A$2:$F$23,MATCH(LEFT($B346,FIND("_",$B346)-1),WP!$E$2:$E$23,0),2),IF(FIND("-",$B346)&gt;0,INDEX(WP!$A$2:$F$23,MATCH(LEFT($B346,FIND("_",$B346)-1),WP!$E$2:$E$23,0),2))),INDEX(WP!$A$2:$F$23,MATCH(Results!$B346,WP!$E$2:$E$23,0),2)),5),(IFERROR(IF(FIND("_",$B346)&gt;0,INDEX(WP!$A$2:$F$23,MATCH(LEFT($B346,FIND("_",$B346)-1),WP!$E$2:$E$23,0),2),IF(FIND("-",$B346)&gt;0,INDEX(WP!$A$2:$F$23,MATCH(LEFT($B346,FIND("_",$B346)-1),WP!$E$2:$E$23,0),2))),INDEX(WP!$A$2:$F$23,MATCH(Results!$B346,WP!$E$2:$E$23,0),2)))),IF(RIGHT(IFERROR(IF(FIND("_",$B346)&gt;0,INDEX(WP!$A$2:$F$23,MATCH(LEFT($B346,FIND("_",$B346)-1),WP!$E$2:$E$23,0),2),IF(FIND("-",$B346)&gt;0,INDEX(WP!$A$2:$F$23,MATCH(LEFT($B346,FIND("_",$B346)-1),WP!$E$2:$E$23,0),2))),INDEX(WP!$A$2:$F$23,MATCH(Results!$B346,WP!$E$2:$E$23,0),2)),6)="Series",LEFT(IFERROR(IF(FIND("_",$B346)&gt;0,INDEX(WP!$A$2:$F$23,MATCH(LEFT($B346,FIND("_",$B346)-1),WP!$E$2:$E$23,0),2),IF(FIND("-",$B346)&gt;0,INDEX(WP!$A$2:$F$23,MATCH(LEFT($B346,FIND("_",$B346)-1),WP!$E$2:$E$23,0),2))),INDEX(WP!$A$2:$F$23,MATCH(Results!$B346,WP!$E$2:$E$23,0),2)),5),(IFERROR(IF(FIND("_",$B346)&gt;0,INDEX(WP!$A$2:$F$23,MATCH(LEFT($B346,FIND("_",$B346)-1),WP!$E$2:$E$23,0),2),IF(FIND("-",$B346)&gt;0,INDEX(WP!$A$2:$F$23,MATCH(LEFT($B346,FIND("_",$B346)-1),WP!$E$2:$E$23,0),2))),INDEX(WP!$A$2:$F$23,MATCH(Results!$B346,WP!$E$2:$E$23,0),2))))&amp;"-"&amp;$I346),"")</f>
        <v/>
      </c>
      <c r="G346" s="17" t="str">
        <f>IF(LEN(_xlfn.IFNA(IF(IFERROR(IF(FIND("_",$B346)&gt;0,MID($B346,FIND("_",$B346)+1,LEN($B346)),IF(FIND("-",$B346)&gt;0,MID($B346,FIND("-",$B346)+1,LEN($B346)))),"")="",IFERROR(VLOOKUP($F346,WP!$B$2:$C$23,2,0),VLOOKUP($C346,Series!$A$3:$F$11,6,0)),IFERROR(VLOOKUP($F346,WP!$B$2:$C$23,2,0),VLOOKUP($C346,Series!$A$3:$F$11,6,0))&amp;" - "&amp;(IFERROR(IF(FIND("_",$B346)&gt;0,MID($B346,FIND("_",$B346)+1,LEN($B346)),IF(FIND("-",$B346)&gt;0,MID($B346,FIND("-",$B346)+1,LEN($B346)))),""))),""))&lt;64,_xlfn.IFNA(IF(IFERROR(IF(FIND("_",$B346)&gt;0,MID($B346,FIND("_",$B346)+1,LEN($B346)),IF(FIND("-",$B346)&gt;0,MID($B346,FIND("-",$B346)+1,LEN($B346)))),"")="",IFERROR(VLOOKUP($F346,WP!$B$2:$C$23,2,0),VLOOKUP($C346,Series!$A$3:$F$11,6,0)),IFERROR(VLOOKUP($F346,WP!$B$2:$C$23,2,0),VLOOKUP($C346,Series!$A$3:$F$11,6,0))&amp;" - "&amp;(IFERROR(IF(FIND("_",$B346)&gt;0,MID($B346,FIND("_",$B346)+1,LEN($B346)),IF(FIND("-",$B346)&gt;0,MID($B346,FIND("-",$B346)+1,LEN($B346)))),""))),""),LEFT((_xlfn.IFNA(IF(IFERROR(IF(FIND("_",$B346)&gt;0,MID($B346,FIND("_",$B346)+1,LEN($B346)),IF(FIND("-",$B346)&gt;0,MID($B346,FIND("-",$B346)+1,LEN($B346)))),"")="",IFERROR(VLOOKUP($F346,WP!$B$2:$C$23,2,0),VLOOKUP($C346,Series!$A$3:$F$11,6,0)),IFERROR(VLOOKUP($F346,WP!$B$2:$C$23,2,0),VLOOKUP($C346,Series!$A$3:$F$11,6,0))&amp;" - "&amp;(IFERROR(IF(FIND("_",$B346)&gt;0,MID($B346,FIND("_",$B346)+1,LEN($B346)),IF(FIND("-",$B346)&gt;0,MID($B346,FIND("-",$B346)+1,LEN($B346)))),""))),"")),64))</f>
        <v/>
      </c>
      <c r="H346" s="12"/>
      <c r="I346" s="12" t="str">
        <f>IF($D346&lt;&gt;"",COUNTIF($D$7:$D346,"="&amp;$D346),"")</f>
        <v/>
      </c>
      <c r="J346"/>
      <c r="K346" s="8"/>
      <c r="L346"/>
    </row>
    <row r="347" spans="1:12" x14ac:dyDescent="0.3">
      <c r="A347" s="1"/>
      <c r="B347" s="26"/>
      <c r="C347" s="12" t="str">
        <f>_xlfn.IFNA(IFERROR(IF(FIND("_",$B347)&gt;0,INDEX(WP!$A$2:$F$23,MATCH(LEFT($B347,FIND("_",$B347)-1),WP!$E$2:$E$23,0),1),IF(FIND("-",$B347)&gt;0,INDEX(WP!$A$2:$F$23,MATCH(LEFT($B347,FIND("_",$B347)-1),WP!$E$2:$E$23,0),1))),INDEX(WP!$A$2:$F$23,MATCH(Results!$B347,WP!$E$2:$E$23,0),1)),"")</f>
        <v/>
      </c>
      <c r="D347" s="12" t="str">
        <f>IFERROR(IFERROR(IF(RIGHT(INDEX(WP!$A$2:$F$23,MATCH(IF(FIND("_",$B347)&gt;0,LEFT($B347,FIND("_",$B347)-1)),WP!$E$2:$E$23,0),2),6)="Series",LEFT(INDEX(WP!$A$2:$F$23,MATCH(IF(FIND("_",$B347)&gt;0,LEFT($B347,FIND("_",$B347)-1)),WP!$E$2:$E$23,0),2),5),""),IF(RIGHT(INDEX(WP!$A$2:$F$23,MATCH($B347,WP!$E$2:$E$23,0),2),6)="Series",LEFT(INDEX(WP!$A$2:$F$23,MATCH($B347,WP!$E$2:$E$23,0),2),5),"")),"")</f>
        <v/>
      </c>
      <c r="E347" s="17" t="str">
        <f>IFERROR(VLOOKUP(VALUE($D347),Series!$B$3:$F$11,2,0),"")</f>
        <v/>
      </c>
      <c r="F347" s="12" t="str">
        <f>_xlfn.IFNA(IF(IF($D347&lt;&gt;"",COUNTIF($E:$E,"="&amp;$D347),"")="",IF(RIGHT(IFERROR(IF(FIND("_",$B347)&gt;0,INDEX(WP!$A$2:$F$23,MATCH(LEFT($B347,FIND("_",$B347)-1),WP!$E$2:$E$23,0),2),IF(FIND("-",$B347)&gt;0,INDEX(WP!$A$2:$F$23,MATCH(LEFT($B347,FIND("_",$B347)-1),WP!$E$2:$E$23,0),2))),INDEX(WP!$A$2:$F$23,MATCH(Results!$B347,WP!$E$2:$E$23,0),2)),6)="Series",LEFT(IFERROR(IF(FIND("_",$B347)&gt;0,INDEX(WP!$A$2:$F$23,MATCH(LEFT($B347,FIND("_",$B347)-1),WP!$E$2:$E$23,0),2),IF(FIND("-",$B347)&gt;0,INDEX(WP!$A$2:$F$23,MATCH(LEFT($B347,FIND("_",$B347)-1),WP!$E$2:$E$23,0),2))),INDEX(WP!$A$2:$F$23,MATCH(Results!$B347,WP!$E$2:$E$23,0),2)),5),(IFERROR(IF(FIND("_",$B347)&gt;0,INDEX(WP!$A$2:$F$23,MATCH(LEFT($B347,FIND("_",$B347)-1),WP!$E$2:$E$23,0),2),IF(FIND("-",$B347)&gt;0,INDEX(WP!$A$2:$F$23,MATCH(LEFT($B347,FIND("_",$B347)-1),WP!$E$2:$E$23,0),2))),INDEX(WP!$A$2:$F$23,MATCH(Results!$B347,WP!$E$2:$E$23,0),2)))),IF(RIGHT(IFERROR(IF(FIND("_",$B347)&gt;0,INDEX(WP!$A$2:$F$23,MATCH(LEFT($B347,FIND("_",$B347)-1),WP!$E$2:$E$23,0),2),IF(FIND("-",$B347)&gt;0,INDEX(WP!$A$2:$F$23,MATCH(LEFT($B347,FIND("_",$B347)-1),WP!$E$2:$E$23,0),2))),INDEX(WP!$A$2:$F$23,MATCH(Results!$B347,WP!$E$2:$E$23,0),2)),6)="Series",LEFT(IFERROR(IF(FIND("_",$B347)&gt;0,INDEX(WP!$A$2:$F$23,MATCH(LEFT($B347,FIND("_",$B347)-1),WP!$E$2:$E$23,0),2),IF(FIND("-",$B347)&gt;0,INDEX(WP!$A$2:$F$23,MATCH(LEFT($B347,FIND("_",$B347)-1),WP!$E$2:$E$23,0),2))),INDEX(WP!$A$2:$F$23,MATCH(Results!$B347,WP!$E$2:$E$23,0),2)),5),(IFERROR(IF(FIND("_",$B347)&gt;0,INDEX(WP!$A$2:$F$23,MATCH(LEFT($B347,FIND("_",$B347)-1),WP!$E$2:$E$23,0),2),IF(FIND("-",$B347)&gt;0,INDEX(WP!$A$2:$F$23,MATCH(LEFT($B347,FIND("_",$B347)-1),WP!$E$2:$E$23,0),2))),INDEX(WP!$A$2:$F$23,MATCH(Results!$B347,WP!$E$2:$E$23,0),2))))&amp;"-"&amp;$I347),"")</f>
        <v/>
      </c>
      <c r="G347" s="17" t="str">
        <f>IF(LEN(_xlfn.IFNA(IF(IFERROR(IF(FIND("_",$B347)&gt;0,MID($B347,FIND("_",$B347)+1,LEN($B347)),IF(FIND("-",$B347)&gt;0,MID($B347,FIND("-",$B347)+1,LEN($B347)))),"")="",IFERROR(VLOOKUP($F347,WP!$B$2:$C$23,2,0),VLOOKUP($C347,Series!$A$3:$F$11,6,0)),IFERROR(VLOOKUP($F347,WP!$B$2:$C$23,2,0),VLOOKUP($C347,Series!$A$3:$F$11,6,0))&amp;" - "&amp;(IFERROR(IF(FIND("_",$B347)&gt;0,MID($B347,FIND("_",$B347)+1,LEN($B347)),IF(FIND("-",$B347)&gt;0,MID($B347,FIND("-",$B347)+1,LEN($B347)))),""))),""))&lt;64,_xlfn.IFNA(IF(IFERROR(IF(FIND("_",$B347)&gt;0,MID($B347,FIND("_",$B347)+1,LEN($B347)),IF(FIND("-",$B347)&gt;0,MID($B347,FIND("-",$B347)+1,LEN($B347)))),"")="",IFERROR(VLOOKUP($F347,WP!$B$2:$C$23,2,0),VLOOKUP($C347,Series!$A$3:$F$11,6,0)),IFERROR(VLOOKUP($F347,WP!$B$2:$C$23,2,0),VLOOKUP($C347,Series!$A$3:$F$11,6,0))&amp;" - "&amp;(IFERROR(IF(FIND("_",$B347)&gt;0,MID($B347,FIND("_",$B347)+1,LEN($B347)),IF(FIND("-",$B347)&gt;0,MID($B347,FIND("-",$B347)+1,LEN($B347)))),""))),""),LEFT((_xlfn.IFNA(IF(IFERROR(IF(FIND("_",$B347)&gt;0,MID($B347,FIND("_",$B347)+1,LEN($B347)),IF(FIND("-",$B347)&gt;0,MID($B347,FIND("-",$B347)+1,LEN($B347)))),"")="",IFERROR(VLOOKUP($F347,WP!$B$2:$C$23,2,0),VLOOKUP($C347,Series!$A$3:$F$11,6,0)),IFERROR(VLOOKUP($F347,WP!$B$2:$C$23,2,0),VLOOKUP($C347,Series!$A$3:$F$11,6,0))&amp;" - "&amp;(IFERROR(IF(FIND("_",$B347)&gt;0,MID($B347,FIND("_",$B347)+1,LEN($B347)),IF(FIND("-",$B347)&gt;0,MID($B347,FIND("-",$B347)+1,LEN($B347)))),""))),"")),64))</f>
        <v/>
      </c>
      <c r="H347" s="12"/>
      <c r="I347" s="12" t="str">
        <f>IF($D347&lt;&gt;"",COUNTIF($D$7:$D347,"="&amp;$D347),"")</f>
        <v/>
      </c>
      <c r="J347"/>
      <c r="K347" s="8"/>
      <c r="L347"/>
    </row>
    <row r="348" spans="1:12" x14ac:dyDescent="0.3">
      <c r="A348" s="1"/>
      <c r="B348" s="26"/>
      <c r="C348" s="12" t="str">
        <f>_xlfn.IFNA(IFERROR(IF(FIND("_",$B348)&gt;0,INDEX(WP!$A$2:$F$23,MATCH(LEFT($B348,FIND("_",$B348)-1),WP!$E$2:$E$23,0),1),IF(FIND("-",$B348)&gt;0,INDEX(WP!$A$2:$F$23,MATCH(LEFT($B348,FIND("_",$B348)-1),WP!$E$2:$E$23,0),1))),INDEX(WP!$A$2:$F$23,MATCH(Results!$B348,WP!$E$2:$E$23,0),1)),"")</f>
        <v/>
      </c>
      <c r="D348" s="12" t="str">
        <f>IFERROR(IFERROR(IF(RIGHT(INDEX(WP!$A$2:$F$23,MATCH(IF(FIND("_",$B348)&gt;0,LEFT($B348,FIND("_",$B348)-1)),WP!$E$2:$E$23,0),2),6)="Series",LEFT(INDEX(WP!$A$2:$F$23,MATCH(IF(FIND("_",$B348)&gt;0,LEFT($B348,FIND("_",$B348)-1)),WP!$E$2:$E$23,0),2),5),""),IF(RIGHT(INDEX(WP!$A$2:$F$23,MATCH($B348,WP!$E$2:$E$23,0),2),6)="Series",LEFT(INDEX(WP!$A$2:$F$23,MATCH($B348,WP!$E$2:$E$23,0),2),5),"")),"")</f>
        <v/>
      </c>
      <c r="E348" s="17" t="str">
        <f>IFERROR(VLOOKUP(VALUE($D348),Series!$B$3:$F$11,2,0),"")</f>
        <v/>
      </c>
      <c r="F348" s="12" t="str">
        <f>_xlfn.IFNA(IF(IF($D348&lt;&gt;"",COUNTIF($E:$E,"="&amp;$D348),"")="",IF(RIGHT(IFERROR(IF(FIND("_",$B348)&gt;0,INDEX(WP!$A$2:$F$23,MATCH(LEFT($B348,FIND("_",$B348)-1),WP!$E$2:$E$23,0),2),IF(FIND("-",$B348)&gt;0,INDEX(WP!$A$2:$F$23,MATCH(LEFT($B348,FIND("_",$B348)-1),WP!$E$2:$E$23,0),2))),INDEX(WP!$A$2:$F$23,MATCH(Results!$B348,WP!$E$2:$E$23,0),2)),6)="Series",LEFT(IFERROR(IF(FIND("_",$B348)&gt;0,INDEX(WP!$A$2:$F$23,MATCH(LEFT($B348,FIND("_",$B348)-1),WP!$E$2:$E$23,0),2),IF(FIND("-",$B348)&gt;0,INDEX(WP!$A$2:$F$23,MATCH(LEFT($B348,FIND("_",$B348)-1),WP!$E$2:$E$23,0),2))),INDEX(WP!$A$2:$F$23,MATCH(Results!$B348,WP!$E$2:$E$23,0),2)),5),(IFERROR(IF(FIND("_",$B348)&gt;0,INDEX(WP!$A$2:$F$23,MATCH(LEFT($B348,FIND("_",$B348)-1),WP!$E$2:$E$23,0),2),IF(FIND("-",$B348)&gt;0,INDEX(WP!$A$2:$F$23,MATCH(LEFT($B348,FIND("_",$B348)-1),WP!$E$2:$E$23,0),2))),INDEX(WP!$A$2:$F$23,MATCH(Results!$B348,WP!$E$2:$E$23,0),2)))),IF(RIGHT(IFERROR(IF(FIND("_",$B348)&gt;0,INDEX(WP!$A$2:$F$23,MATCH(LEFT($B348,FIND("_",$B348)-1),WP!$E$2:$E$23,0),2),IF(FIND("-",$B348)&gt;0,INDEX(WP!$A$2:$F$23,MATCH(LEFT($B348,FIND("_",$B348)-1),WP!$E$2:$E$23,0),2))),INDEX(WP!$A$2:$F$23,MATCH(Results!$B348,WP!$E$2:$E$23,0),2)),6)="Series",LEFT(IFERROR(IF(FIND("_",$B348)&gt;0,INDEX(WP!$A$2:$F$23,MATCH(LEFT($B348,FIND("_",$B348)-1),WP!$E$2:$E$23,0),2),IF(FIND("-",$B348)&gt;0,INDEX(WP!$A$2:$F$23,MATCH(LEFT($B348,FIND("_",$B348)-1),WP!$E$2:$E$23,0),2))),INDEX(WP!$A$2:$F$23,MATCH(Results!$B348,WP!$E$2:$E$23,0),2)),5),(IFERROR(IF(FIND("_",$B348)&gt;0,INDEX(WP!$A$2:$F$23,MATCH(LEFT($B348,FIND("_",$B348)-1),WP!$E$2:$E$23,0),2),IF(FIND("-",$B348)&gt;0,INDEX(WP!$A$2:$F$23,MATCH(LEFT($B348,FIND("_",$B348)-1),WP!$E$2:$E$23,0),2))),INDEX(WP!$A$2:$F$23,MATCH(Results!$B348,WP!$E$2:$E$23,0),2))))&amp;"-"&amp;$I348),"")</f>
        <v/>
      </c>
      <c r="G348" s="17" t="str">
        <f>IF(LEN(_xlfn.IFNA(IF(IFERROR(IF(FIND("_",$B348)&gt;0,MID($B348,FIND("_",$B348)+1,LEN($B348)),IF(FIND("-",$B348)&gt;0,MID($B348,FIND("-",$B348)+1,LEN($B348)))),"")="",IFERROR(VLOOKUP($F348,WP!$B$2:$C$23,2,0),VLOOKUP($C348,Series!$A$3:$F$11,6,0)),IFERROR(VLOOKUP($F348,WP!$B$2:$C$23,2,0),VLOOKUP($C348,Series!$A$3:$F$11,6,0))&amp;" - "&amp;(IFERROR(IF(FIND("_",$B348)&gt;0,MID($B348,FIND("_",$B348)+1,LEN($B348)),IF(FIND("-",$B348)&gt;0,MID($B348,FIND("-",$B348)+1,LEN($B348)))),""))),""))&lt;64,_xlfn.IFNA(IF(IFERROR(IF(FIND("_",$B348)&gt;0,MID($B348,FIND("_",$B348)+1,LEN($B348)),IF(FIND("-",$B348)&gt;0,MID($B348,FIND("-",$B348)+1,LEN($B348)))),"")="",IFERROR(VLOOKUP($F348,WP!$B$2:$C$23,2,0),VLOOKUP($C348,Series!$A$3:$F$11,6,0)),IFERROR(VLOOKUP($F348,WP!$B$2:$C$23,2,0),VLOOKUP($C348,Series!$A$3:$F$11,6,0))&amp;" - "&amp;(IFERROR(IF(FIND("_",$B348)&gt;0,MID($B348,FIND("_",$B348)+1,LEN($B348)),IF(FIND("-",$B348)&gt;0,MID($B348,FIND("-",$B348)+1,LEN($B348)))),""))),""),LEFT((_xlfn.IFNA(IF(IFERROR(IF(FIND("_",$B348)&gt;0,MID($B348,FIND("_",$B348)+1,LEN($B348)),IF(FIND("-",$B348)&gt;0,MID($B348,FIND("-",$B348)+1,LEN($B348)))),"")="",IFERROR(VLOOKUP($F348,WP!$B$2:$C$23,2,0),VLOOKUP($C348,Series!$A$3:$F$11,6,0)),IFERROR(VLOOKUP($F348,WP!$B$2:$C$23,2,0),VLOOKUP($C348,Series!$A$3:$F$11,6,0))&amp;" - "&amp;(IFERROR(IF(FIND("_",$B348)&gt;0,MID($B348,FIND("_",$B348)+1,LEN($B348)),IF(FIND("-",$B348)&gt;0,MID($B348,FIND("-",$B348)+1,LEN($B348)))),""))),"")),64))</f>
        <v/>
      </c>
      <c r="H348" s="12"/>
      <c r="I348" s="12" t="str">
        <f>IF($D348&lt;&gt;"",COUNTIF($D$7:$D348,"="&amp;$D348),"")</f>
        <v/>
      </c>
      <c r="J348"/>
      <c r="K348" s="8"/>
      <c r="L348"/>
    </row>
    <row r="349" spans="1:12" x14ac:dyDescent="0.3">
      <c r="A349" s="1"/>
      <c r="B349" s="26"/>
      <c r="C349" s="12" t="str">
        <f>_xlfn.IFNA(IFERROR(IF(FIND("_",$B349)&gt;0,INDEX(WP!$A$2:$F$23,MATCH(LEFT($B349,FIND("_",$B349)-1),WP!$E$2:$E$23,0),1),IF(FIND("-",$B349)&gt;0,INDEX(WP!$A$2:$F$23,MATCH(LEFT($B349,FIND("_",$B349)-1),WP!$E$2:$E$23,0),1))),INDEX(WP!$A$2:$F$23,MATCH(Results!$B349,WP!$E$2:$E$23,0),1)),"")</f>
        <v/>
      </c>
      <c r="D349" s="12" t="str">
        <f>IFERROR(IFERROR(IF(RIGHT(INDEX(WP!$A$2:$F$23,MATCH(IF(FIND("_",$B349)&gt;0,LEFT($B349,FIND("_",$B349)-1)),WP!$E$2:$E$23,0),2),6)="Series",LEFT(INDEX(WP!$A$2:$F$23,MATCH(IF(FIND("_",$B349)&gt;0,LEFT($B349,FIND("_",$B349)-1)),WP!$E$2:$E$23,0),2),5),""),IF(RIGHT(INDEX(WP!$A$2:$F$23,MATCH($B349,WP!$E$2:$E$23,0),2),6)="Series",LEFT(INDEX(WP!$A$2:$F$23,MATCH($B349,WP!$E$2:$E$23,0),2),5),"")),"")</f>
        <v/>
      </c>
      <c r="E349" s="17" t="str">
        <f>IFERROR(VLOOKUP(VALUE($D349),Series!$B$3:$F$11,2,0),"")</f>
        <v/>
      </c>
      <c r="F349" s="12" t="str">
        <f>_xlfn.IFNA(IF(IF($D349&lt;&gt;"",COUNTIF($E:$E,"="&amp;$D349),"")="",IF(RIGHT(IFERROR(IF(FIND("_",$B349)&gt;0,INDEX(WP!$A$2:$F$23,MATCH(LEFT($B349,FIND("_",$B349)-1),WP!$E$2:$E$23,0),2),IF(FIND("-",$B349)&gt;0,INDEX(WP!$A$2:$F$23,MATCH(LEFT($B349,FIND("_",$B349)-1),WP!$E$2:$E$23,0),2))),INDEX(WP!$A$2:$F$23,MATCH(Results!$B349,WP!$E$2:$E$23,0),2)),6)="Series",LEFT(IFERROR(IF(FIND("_",$B349)&gt;0,INDEX(WP!$A$2:$F$23,MATCH(LEFT($B349,FIND("_",$B349)-1),WP!$E$2:$E$23,0),2),IF(FIND("-",$B349)&gt;0,INDEX(WP!$A$2:$F$23,MATCH(LEFT($B349,FIND("_",$B349)-1),WP!$E$2:$E$23,0),2))),INDEX(WP!$A$2:$F$23,MATCH(Results!$B349,WP!$E$2:$E$23,0),2)),5),(IFERROR(IF(FIND("_",$B349)&gt;0,INDEX(WP!$A$2:$F$23,MATCH(LEFT($B349,FIND("_",$B349)-1),WP!$E$2:$E$23,0),2),IF(FIND("-",$B349)&gt;0,INDEX(WP!$A$2:$F$23,MATCH(LEFT($B349,FIND("_",$B349)-1),WP!$E$2:$E$23,0),2))),INDEX(WP!$A$2:$F$23,MATCH(Results!$B349,WP!$E$2:$E$23,0),2)))),IF(RIGHT(IFERROR(IF(FIND("_",$B349)&gt;0,INDEX(WP!$A$2:$F$23,MATCH(LEFT($B349,FIND("_",$B349)-1),WP!$E$2:$E$23,0),2),IF(FIND("-",$B349)&gt;0,INDEX(WP!$A$2:$F$23,MATCH(LEFT($B349,FIND("_",$B349)-1),WP!$E$2:$E$23,0),2))),INDEX(WP!$A$2:$F$23,MATCH(Results!$B349,WP!$E$2:$E$23,0),2)),6)="Series",LEFT(IFERROR(IF(FIND("_",$B349)&gt;0,INDEX(WP!$A$2:$F$23,MATCH(LEFT($B349,FIND("_",$B349)-1),WP!$E$2:$E$23,0),2),IF(FIND("-",$B349)&gt;0,INDEX(WP!$A$2:$F$23,MATCH(LEFT($B349,FIND("_",$B349)-1),WP!$E$2:$E$23,0),2))),INDEX(WP!$A$2:$F$23,MATCH(Results!$B349,WP!$E$2:$E$23,0),2)),5),(IFERROR(IF(FIND("_",$B349)&gt;0,INDEX(WP!$A$2:$F$23,MATCH(LEFT($B349,FIND("_",$B349)-1),WP!$E$2:$E$23,0),2),IF(FIND("-",$B349)&gt;0,INDEX(WP!$A$2:$F$23,MATCH(LEFT($B349,FIND("_",$B349)-1),WP!$E$2:$E$23,0),2))),INDEX(WP!$A$2:$F$23,MATCH(Results!$B349,WP!$E$2:$E$23,0),2))))&amp;"-"&amp;$I349),"")</f>
        <v/>
      </c>
      <c r="G349" s="17" t="str">
        <f>IF(LEN(_xlfn.IFNA(IF(IFERROR(IF(FIND("_",$B349)&gt;0,MID($B349,FIND("_",$B349)+1,LEN($B349)),IF(FIND("-",$B349)&gt;0,MID($B349,FIND("-",$B349)+1,LEN($B349)))),"")="",IFERROR(VLOOKUP($F349,WP!$B$2:$C$23,2,0),VLOOKUP($C349,Series!$A$3:$F$11,6,0)),IFERROR(VLOOKUP($F349,WP!$B$2:$C$23,2,0),VLOOKUP($C349,Series!$A$3:$F$11,6,0))&amp;" - "&amp;(IFERROR(IF(FIND("_",$B349)&gt;0,MID($B349,FIND("_",$B349)+1,LEN($B349)),IF(FIND("-",$B349)&gt;0,MID($B349,FIND("-",$B349)+1,LEN($B349)))),""))),""))&lt;64,_xlfn.IFNA(IF(IFERROR(IF(FIND("_",$B349)&gt;0,MID($B349,FIND("_",$B349)+1,LEN($B349)),IF(FIND("-",$B349)&gt;0,MID($B349,FIND("-",$B349)+1,LEN($B349)))),"")="",IFERROR(VLOOKUP($F349,WP!$B$2:$C$23,2,0),VLOOKUP($C349,Series!$A$3:$F$11,6,0)),IFERROR(VLOOKUP($F349,WP!$B$2:$C$23,2,0),VLOOKUP($C349,Series!$A$3:$F$11,6,0))&amp;" - "&amp;(IFERROR(IF(FIND("_",$B349)&gt;0,MID($B349,FIND("_",$B349)+1,LEN($B349)),IF(FIND("-",$B349)&gt;0,MID($B349,FIND("-",$B349)+1,LEN($B349)))),""))),""),LEFT((_xlfn.IFNA(IF(IFERROR(IF(FIND("_",$B349)&gt;0,MID($B349,FIND("_",$B349)+1,LEN($B349)),IF(FIND("-",$B349)&gt;0,MID($B349,FIND("-",$B349)+1,LEN($B349)))),"")="",IFERROR(VLOOKUP($F349,WP!$B$2:$C$23,2,0),VLOOKUP($C349,Series!$A$3:$F$11,6,0)),IFERROR(VLOOKUP($F349,WP!$B$2:$C$23,2,0),VLOOKUP($C349,Series!$A$3:$F$11,6,0))&amp;" - "&amp;(IFERROR(IF(FIND("_",$B349)&gt;0,MID($B349,FIND("_",$B349)+1,LEN($B349)),IF(FIND("-",$B349)&gt;0,MID($B349,FIND("-",$B349)+1,LEN($B349)))),""))),"")),64))</f>
        <v/>
      </c>
      <c r="H349" s="12"/>
      <c r="I349" s="12" t="str">
        <f>IF($D349&lt;&gt;"",COUNTIF($D$7:$D349,"="&amp;$D349),"")</f>
        <v/>
      </c>
      <c r="J349"/>
      <c r="K349" s="8"/>
      <c r="L349"/>
    </row>
    <row r="350" spans="1:12" x14ac:dyDescent="0.3">
      <c r="A350" s="1"/>
      <c r="B350" s="26"/>
      <c r="C350" s="12" t="str">
        <f>_xlfn.IFNA(IFERROR(IF(FIND("_",$B350)&gt;0,INDEX(WP!$A$2:$F$23,MATCH(LEFT($B350,FIND("_",$B350)-1),WP!$E$2:$E$23,0),1),IF(FIND("-",$B350)&gt;0,INDEX(WP!$A$2:$F$23,MATCH(LEFT($B350,FIND("_",$B350)-1),WP!$E$2:$E$23,0),1))),INDEX(WP!$A$2:$F$23,MATCH(Results!$B350,WP!$E$2:$E$23,0),1)),"")</f>
        <v/>
      </c>
      <c r="D350" s="12" t="str">
        <f>IFERROR(IFERROR(IF(RIGHT(INDEX(WP!$A$2:$F$23,MATCH(IF(FIND("_",$B350)&gt;0,LEFT($B350,FIND("_",$B350)-1)),WP!$E$2:$E$23,0),2),6)="Series",LEFT(INDEX(WP!$A$2:$F$23,MATCH(IF(FIND("_",$B350)&gt;0,LEFT($B350,FIND("_",$B350)-1)),WP!$E$2:$E$23,0),2),5),""),IF(RIGHT(INDEX(WP!$A$2:$F$23,MATCH($B350,WP!$E$2:$E$23,0),2),6)="Series",LEFT(INDEX(WP!$A$2:$F$23,MATCH($B350,WP!$E$2:$E$23,0),2),5),"")),"")</f>
        <v/>
      </c>
      <c r="E350" s="17" t="str">
        <f>IFERROR(VLOOKUP(VALUE($D350),Series!$B$3:$F$11,2,0),"")</f>
        <v/>
      </c>
      <c r="F350" s="12" t="str">
        <f>_xlfn.IFNA(IF(IF($D350&lt;&gt;"",COUNTIF($E:$E,"="&amp;$D350),"")="",IF(RIGHT(IFERROR(IF(FIND("_",$B350)&gt;0,INDEX(WP!$A$2:$F$23,MATCH(LEFT($B350,FIND("_",$B350)-1),WP!$E$2:$E$23,0),2),IF(FIND("-",$B350)&gt;0,INDEX(WP!$A$2:$F$23,MATCH(LEFT($B350,FIND("_",$B350)-1),WP!$E$2:$E$23,0),2))),INDEX(WP!$A$2:$F$23,MATCH(Results!$B350,WP!$E$2:$E$23,0),2)),6)="Series",LEFT(IFERROR(IF(FIND("_",$B350)&gt;0,INDEX(WP!$A$2:$F$23,MATCH(LEFT($B350,FIND("_",$B350)-1),WP!$E$2:$E$23,0),2),IF(FIND("-",$B350)&gt;0,INDEX(WP!$A$2:$F$23,MATCH(LEFT($B350,FIND("_",$B350)-1),WP!$E$2:$E$23,0),2))),INDEX(WP!$A$2:$F$23,MATCH(Results!$B350,WP!$E$2:$E$23,0),2)),5),(IFERROR(IF(FIND("_",$B350)&gt;0,INDEX(WP!$A$2:$F$23,MATCH(LEFT($B350,FIND("_",$B350)-1),WP!$E$2:$E$23,0),2),IF(FIND("-",$B350)&gt;0,INDEX(WP!$A$2:$F$23,MATCH(LEFT($B350,FIND("_",$B350)-1),WP!$E$2:$E$23,0),2))),INDEX(WP!$A$2:$F$23,MATCH(Results!$B350,WP!$E$2:$E$23,0),2)))),IF(RIGHT(IFERROR(IF(FIND("_",$B350)&gt;0,INDEX(WP!$A$2:$F$23,MATCH(LEFT($B350,FIND("_",$B350)-1),WP!$E$2:$E$23,0),2),IF(FIND("-",$B350)&gt;0,INDEX(WP!$A$2:$F$23,MATCH(LEFT($B350,FIND("_",$B350)-1),WP!$E$2:$E$23,0),2))),INDEX(WP!$A$2:$F$23,MATCH(Results!$B350,WP!$E$2:$E$23,0),2)),6)="Series",LEFT(IFERROR(IF(FIND("_",$B350)&gt;0,INDEX(WP!$A$2:$F$23,MATCH(LEFT($B350,FIND("_",$B350)-1),WP!$E$2:$E$23,0),2),IF(FIND("-",$B350)&gt;0,INDEX(WP!$A$2:$F$23,MATCH(LEFT($B350,FIND("_",$B350)-1),WP!$E$2:$E$23,0),2))),INDEX(WP!$A$2:$F$23,MATCH(Results!$B350,WP!$E$2:$E$23,0),2)),5),(IFERROR(IF(FIND("_",$B350)&gt;0,INDEX(WP!$A$2:$F$23,MATCH(LEFT($B350,FIND("_",$B350)-1),WP!$E$2:$E$23,0),2),IF(FIND("-",$B350)&gt;0,INDEX(WP!$A$2:$F$23,MATCH(LEFT($B350,FIND("_",$B350)-1),WP!$E$2:$E$23,0),2))),INDEX(WP!$A$2:$F$23,MATCH(Results!$B350,WP!$E$2:$E$23,0),2))))&amp;"-"&amp;$I350),"")</f>
        <v/>
      </c>
      <c r="G350" s="17" t="str">
        <f>IF(LEN(_xlfn.IFNA(IF(IFERROR(IF(FIND("_",$B350)&gt;0,MID($B350,FIND("_",$B350)+1,LEN($B350)),IF(FIND("-",$B350)&gt;0,MID($B350,FIND("-",$B350)+1,LEN($B350)))),"")="",IFERROR(VLOOKUP($F350,WP!$B$2:$C$23,2,0),VLOOKUP($C350,Series!$A$3:$F$11,6,0)),IFERROR(VLOOKUP($F350,WP!$B$2:$C$23,2,0),VLOOKUP($C350,Series!$A$3:$F$11,6,0))&amp;" - "&amp;(IFERROR(IF(FIND("_",$B350)&gt;0,MID($B350,FIND("_",$B350)+1,LEN($B350)),IF(FIND("-",$B350)&gt;0,MID($B350,FIND("-",$B350)+1,LEN($B350)))),""))),""))&lt;64,_xlfn.IFNA(IF(IFERROR(IF(FIND("_",$B350)&gt;0,MID($B350,FIND("_",$B350)+1,LEN($B350)),IF(FIND("-",$B350)&gt;0,MID($B350,FIND("-",$B350)+1,LEN($B350)))),"")="",IFERROR(VLOOKUP($F350,WP!$B$2:$C$23,2,0),VLOOKUP($C350,Series!$A$3:$F$11,6,0)),IFERROR(VLOOKUP($F350,WP!$B$2:$C$23,2,0),VLOOKUP($C350,Series!$A$3:$F$11,6,0))&amp;" - "&amp;(IFERROR(IF(FIND("_",$B350)&gt;0,MID($B350,FIND("_",$B350)+1,LEN($B350)),IF(FIND("-",$B350)&gt;0,MID($B350,FIND("-",$B350)+1,LEN($B350)))),""))),""),LEFT((_xlfn.IFNA(IF(IFERROR(IF(FIND("_",$B350)&gt;0,MID($B350,FIND("_",$B350)+1,LEN($B350)),IF(FIND("-",$B350)&gt;0,MID($B350,FIND("-",$B350)+1,LEN($B350)))),"")="",IFERROR(VLOOKUP($F350,WP!$B$2:$C$23,2,0),VLOOKUP($C350,Series!$A$3:$F$11,6,0)),IFERROR(VLOOKUP($F350,WP!$B$2:$C$23,2,0),VLOOKUP($C350,Series!$A$3:$F$11,6,0))&amp;" - "&amp;(IFERROR(IF(FIND("_",$B350)&gt;0,MID($B350,FIND("_",$B350)+1,LEN($B350)),IF(FIND("-",$B350)&gt;0,MID($B350,FIND("-",$B350)+1,LEN($B350)))),""))),"")),64))</f>
        <v/>
      </c>
      <c r="H350" s="12"/>
      <c r="I350" s="12" t="str">
        <f>IF($D350&lt;&gt;"",COUNTIF($D$7:$D350,"="&amp;$D350),"")</f>
        <v/>
      </c>
      <c r="J350"/>
      <c r="K350" s="8"/>
      <c r="L350"/>
    </row>
    <row r="351" spans="1:12" x14ac:dyDescent="0.3">
      <c r="A351" s="1"/>
      <c r="B351" s="26"/>
      <c r="C351" s="12" t="str">
        <f>_xlfn.IFNA(IFERROR(IF(FIND("_",$B351)&gt;0,INDEX(WP!$A$2:$F$23,MATCH(LEFT($B351,FIND("_",$B351)-1),WP!$E$2:$E$23,0),1),IF(FIND("-",$B351)&gt;0,INDEX(WP!$A$2:$F$23,MATCH(LEFT($B351,FIND("_",$B351)-1),WP!$E$2:$E$23,0),1))),INDEX(WP!$A$2:$F$23,MATCH(Results!$B351,WP!$E$2:$E$23,0),1)),"")</f>
        <v/>
      </c>
      <c r="D351" s="12" t="str">
        <f>IFERROR(IFERROR(IF(RIGHT(INDEX(WP!$A$2:$F$23,MATCH(IF(FIND("_",$B351)&gt;0,LEFT($B351,FIND("_",$B351)-1)),WP!$E$2:$E$23,0),2),6)="Series",LEFT(INDEX(WP!$A$2:$F$23,MATCH(IF(FIND("_",$B351)&gt;0,LEFT($B351,FIND("_",$B351)-1)),WP!$E$2:$E$23,0),2),5),""),IF(RIGHT(INDEX(WP!$A$2:$F$23,MATCH($B351,WP!$E$2:$E$23,0),2),6)="Series",LEFT(INDEX(WP!$A$2:$F$23,MATCH($B351,WP!$E$2:$E$23,0),2),5),"")),"")</f>
        <v/>
      </c>
      <c r="E351" s="17" t="str">
        <f>IFERROR(VLOOKUP(VALUE($D351),Series!$B$3:$F$11,2,0),"")</f>
        <v/>
      </c>
      <c r="F351" s="12" t="str">
        <f>_xlfn.IFNA(IF(IF($D351&lt;&gt;"",COUNTIF($E:$E,"="&amp;$D351),"")="",IF(RIGHT(IFERROR(IF(FIND("_",$B351)&gt;0,INDEX(WP!$A$2:$F$23,MATCH(LEFT($B351,FIND("_",$B351)-1),WP!$E$2:$E$23,0),2),IF(FIND("-",$B351)&gt;0,INDEX(WP!$A$2:$F$23,MATCH(LEFT($B351,FIND("_",$B351)-1),WP!$E$2:$E$23,0),2))),INDEX(WP!$A$2:$F$23,MATCH(Results!$B351,WP!$E$2:$E$23,0),2)),6)="Series",LEFT(IFERROR(IF(FIND("_",$B351)&gt;0,INDEX(WP!$A$2:$F$23,MATCH(LEFT($B351,FIND("_",$B351)-1),WP!$E$2:$E$23,0),2),IF(FIND("-",$B351)&gt;0,INDEX(WP!$A$2:$F$23,MATCH(LEFT($B351,FIND("_",$B351)-1),WP!$E$2:$E$23,0),2))),INDEX(WP!$A$2:$F$23,MATCH(Results!$B351,WP!$E$2:$E$23,0),2)),5),(IFERROR(IF(FIND("_",$B351)&gt;0,INDEX(WP!$A$2:$F$23,MATCH(LEFT($B351,FIND("_",$B351)-1),WP!$E$2:$E$23,0),2),IF(FIND("-",$B351)&gt;0,INDEX(WP!$A$2:$F$23,MATCH(LEFT($B351,FIND("_",$B351)-1),WP!$E$2:$E$23,0),2))),INDEX(WP!$A$2:$F$23,MATCH(Results!$B351,WP!$E$2:$E$23,0),2)))),IF(RIGHT(IFERROR(IF(FIND("_",$B351)&gt;0,INDEX(WP!$A$2:$F$23,MATCH(LEFT($B351,FIND("_",$B351)-1),WP!$E$2:$E$23,0),2),IF(FIND("-",$B351)&gt;0,INDEX(WP!$A$2:$F$23,MATCH(LEFT($B351,FIND("_",$B351)-1),WP!$E$2:$E$23,0),2))),INDEX(WP!$A$2:$F$23,MATCH(Results!$B351,WP!$E$2:$E$23,0),2)),6)="Series",LEFT(IFERROR(IF(FIND("_",$B351)&gt;0,INDEX(WP!$A$2:$F$23,MATCH(LEFT($B351,FIND("_",$B351)-1),WP!$E$2:$E$23,0),2),IF(FIND("-",$B351)&gt;0,INDEX(WP!$A$2:$F$23,MATCH(LEFT($B351,FIND("_",$B351)-1),WP!$E$2:$E$23,0),2))),INDEX(WP!$A$2:$F$23,MATCH(Results!$B351,WP!$E$2:$E$23,0),2)),5),(IFERROR(IF(FIND("_",$B351)&gt;0,INDEX(WP!$A$2:$F$23,MATCH(LEFT($B351,FIND("_",$B351)-1),WP!$E$2:$E$23,0),2),IF(FIND("-",$B351)&gt;0,INDEX(WP!$A$2:$F$23,MATCH(LEFT($B351,FIND("_",$B351)-1),WP!$E$2:$E$23,0),2))),INDEX(WP!$A$2:$F$23,MATCH(Results!$B351,WP!$E$2:$E$23,0),2))))&amp;"-"&amp;$I351),"")</f>
        <v/>
      </c>
      <c r="G351" s="17" t="str">
        <f>IF(LEN(_xlfn.IFNA(IF(IFERROR(IF(FIND("_",$B351)&gt;0,MID($B351,FIND("_",$B351)+1,LEN($B351)),IF(FIND("-",$B351)&gt;0,MID($B351,FIND("-",$B351)+1,LEN($B351)))),"")="",IFERROR(VLOOKUP($F351,WP!$B$2:$C$23,2,0),VLOOKUP($C351,Series!$A$3:$F$11,6,0)),IFERROR(VLOOKUP($F351,WP!$B$2:$C$23,2,0),VLOOKUP($C351,Series!$A$3:$F$11,6,0))&amp;" - "&amp;(IFERROR(IF(FIND("_",$B351)&gt;0,MID($B351,FIND("_",$B351)+1,LEN($B351)),IF(FIND("-",$B351)&gt;0,MID($B351,FIND("-",$B351)+1,LEN($B351)))),""))),""))&lt;64,_xlfn.IFNA(IF(IFERROR(IF(FIND("_",$B351)&gt;0,MID($B351,FIND("_",$B351)+1,LEN($B351)),IF(FIND("-",$B351)&gt;0,MID($B351,FIND("-",$B351)+1,LEN($B351)))),"")="",IFERROR(VLOOKUP($F351,WP!$B$2:$C$23,2,0),VLOOKUP($C351,Series!$A$3:$F$11,6,0)),IFERROR(VLOOKUP($F351,WP!$B$2:$C$23,2,0),VLOOKUP($C351,Series!$A$3:$F$11,6,0))&amp;" - "&amp;(IFERROR(IF(FIND("_",$B351)&gt;0,MID($B351,FIND("_",$B351)+1,LEN($B351)),IF(FIND("-",$B351)&gt;0,MID($B351,FIND("-",$B351)+1,LEN($B351)))),""))),""),LEFT((_xlfn.IFNA(IF(IFERROR(IF(FIND("_",$B351)&gt;0,MID($B351,FIND("_",$B351)+1,LEN($B351)),IF(FIND("-",$B351)&gt;0,MID($B351,FIND("-",$B351)+1,LEN($B351)))),"")="",IFERROR(VLOOKUP($F351,WP!$B$2:$C$23,2,0),VLOOKUP($C351,Series!$A$3:$F$11,6,0)),IFERROR(VLOOKUP($F351,WP!$B$2:$C$23,2,0),VLOOKUP($C351,Series!$A$3:$F$11,6,0))&amp;" - "&amp;(IFERROR(IF(FIND("_",$B351)&gt;0,MID($B351,FIND("_",$B351)+1,LEN($B351)),IF(FIND("-",$B351)&gt;0,MID($B351,FIND("-",$B351)+1,LEN($B351)))),""))),"")),64))</f>
        <v/>
      </c>
      <c r="H351" s="12"/>
      <c r="I351" s="12" t="str">
        <f>IF($D351&lt;&gt;"",COUNTIF($D$7:$D351,"="&amp;$D351),"")</f>
        <v/>
      </c>
      <c r="J351"/>
      <c r="K351" s="8"/>
      <c r="L351"/>
    </row>
    <row r="352" spans="1:12" x14ac:dyDescent="0.3">
      <c r="A352" s="1"/>
      <c r="B352" s="26"/>
      <c r="C352" s="12" t="str">
        <f>_xlfn.IFNA(IFERROR(IF(FIND("_",$B352)&gt;0,INDEX(WP!$A$2:$F$23,MATCH(LEFT($B352,FIND("_",$B352)-1),WP!$E$2:$E$23,0),1),IF(FIND("-",$B352)&gt;0,INDEX(WP!$A$2:$F$23,MATCH(LEFT($B352,FIND("_",$B352)-1),WP!$E$2:$E$23,0),1))),INDEX(WP!$A$2:$F$23,MATCH(Results!$B352,WP!$E$2:$E$23,0),1)),"")</f>
        <v/>
      </c>
      <c r="D352" s="12" t="str">
        <f>IFERROR(IFERROR(IF(RIGHT(INDEX(WP!$A$2:$F$23,MATCH(IF(FIND("_",$B352)&gt;0,LEFT($B352,FIND("_",$B352)-1)),WP!$E$2:$E$23,0),2),6)="Series",LEFT(INDEX(WP!$A$2:$F$23,MATCH(IF(FIND("_",$B352)&gt;0,LEFT($B352,FIND("_",$B352)-1)),WP!$E$2:$E$23,0),2),5),""),IF(RIGHT(INDEX(WP!$A$2:$F$23,MATCH($B352,WP!$E$2:$E$23,0),2),6)="Series",LEFT(INDEX(WP!$A$2:$F$23,MATCH($B352,WP!$E$2:$E$23,0),2),5),"")),"")</f>
        <v/>
      </c>
      <c r="E352" s="17" t="str">
        <f>IFERROR(VLOOKUP(VALUE($D352),Series!$B$3:$F$11,2,0),"")</f>
        <v/>
      </c>
      <c r="F352" s="12" t="str">
        <f>_xlfn.IFNA(IF(IF($D352&lt;&gt;"",COUNTIF($E:$E,"="&amp;$D352),"")="",IF(RIGHT(IFERROR(IF(FIND("_",$B352)&gt;0,INDEX(WP!$A$2:$F$23,MATCH(LEFT($B352,FIND("_",$B352)-1),WP!$E$2:$E$23,0),2),IF(FIND("-",$B352)&gt;0,INDEX(WP!$A$2:$F$23,MATCH(LEFT($B352,FIND("_",$B352)-1),WP!$E$2:$E$23,0),2))),INDEX(WP!$A$2:$F$23,MATCH(Results!$B352,WP!$E$2:$E$23,0),2)),6)="Series",LEFT(IFERROR(IF(FIND("_",$B352)&gt;0,INDEX(WP!$A$2:$F$23,MATCH(LEFT($B352,FIND("_",$B352)-1),WP!$E$2:$E$23,0),2),IF(FIND("-",$B352)&gt;0,INDEX(WP!$A$2:$F$23,MATCH(LEFT($B352,FIND("_",$B352)-1),WP!$E$2:$E$23,0),2))),INDEX(WP!$A$2:$F$23,MATCH(Results!$B352,WP!$E$2:$E$23,0),2)),5),(IFERROR(IF(FIND("_",$B352)&gt;0,INDEX(WP!$A$2:$F$23,MATCH(LEFT($B352,FIND("_",$B352)-1),WP!$E$2:$E$23,0),2),IF(FIND("-",$B352)&gt;0,INDEX(WP!$A$2:$F$23,MATCH(LEFT($B352,FIND("_",$B352)-1),WP!$E$2:$E$23,0),2))),INDEX(WP!$A$2:$F$23,MATCH(Results!$B352,WP!$E$2:$E$23,0),2)))),IF(RIGHT(IFERROR(IF(FIND("_",$B352)&gt;0,INDEX(WP!$A$2:$F$23,MATCH(LEFT($B352,FIND("_",$B352)-1),WP!$E$2:$E$23,0),2),IF(FIND("-",$B352)&gt;0,INDEX(WP!$A$2:$F$23,MATCH(LEFT($B352,FIND("_",$B352)-1),WP!$E$2:$E$23,0),2))),INDEX(WP!$A$2:$F$23,MATCH(Results!$B352,WP!$E$2:$E$23,0),2)),6)="Series",LEFT(IFERROR(IF(FIND("_",$B352)&gt;0,INDEX(WP!$A$2:$F$23,MATCH(LEFT($B352,FIND("_",$B352)-1),WP!$E$2:$E$23,0),2),IF(FIND("-",$B352)&gt;0,INDEX(WP!$A$2:$F$23,MATCH(LEFT($B352,FIND("_",$B352)-1),WP!$E$2:$E$23,0),2))),INDEX(WP!$A$2:$F$23,MATCH(Results!$B352,WP!$E$2:$E$23,0),2)),5),(IFERROR(IF(FIND("_",$B352)&gt;0,INDEX(WP!$A$2:$F$23,MATCH(LEFT($B352,FIND("_",$B352)-1),WP!$E$2:$E$23,0),2),IF(FIND("-",$B352)&gt;0,INDEX(WP!$A$2:$F$23,MATCH(LEFT($B352,FIND("_",$B352)-1),WP!$E$2:$E$23,0),2))),INDEX(WP!$A$2:$F$23,MATCH(Results!$B352,WP!$E$2:$E$23,0),2))))&amp;"-"&amp;$I352),"")</f>
        <v/>
      </c>
      <c r="G352" s="17" t="str">
        <f>IF(LEN(_xlfn.IFNA(IF(IFERROR(IF(FIND("_",$B352)&gt;0,MID($B352,FIND("_",$B352)+1,LEN($B352)),IF(FIND("-",$B352)&gt;0,MID($B352,FIND("-",$B352)+1,LEN($B352)))),"")="",IFERROR(VLOOKUP($F352,WP!$B$2:$C$23,2,0),VLOOKUP($C352,Series!$A$3:$F$11,6,0)),IFERROR(VLOOKUP($F352,WP!$B$2:$C$23,2,0),VLOOKUP($C352,Series!$A$3:$F$11,6,0))&amp;" - "&amp;(IFERROR(IF(FIND("_",$B352)&gt;0,MID($B352,FIND("_",$B352)+1,LEN($B352)),IF(FIND("-",$B352)&gt;0,MID($B352,FIND("-",$B352)+1,LEN($B352)))),""))),""))&lt;64,_xlfn.IFNA(IF(IFERROR(IF(FIND("_",$B352)&gt;0,MID($B352,FIND("_",$B352)+1,LEN($B352)),IF(FIND("-",$B352)&gt;0,MID($B352,FIND("-",$B352)+1,LEN($B352)))),"")="",IFERROR(VLOOKUP($F352,WP!$B$2:$C$23,2,0),VLOOKUP($C352,Series!$A$3:$F$11,6,0)),IFERROR(VLOOKUP($F352,WP!$B$2:$C$23,2,0),VLOOKUP($C352,Series!$A$3:$F$11,6,0))&amp;" - "&amp;(IFERROR(IF(FIND("_",$B352)&gt;0,MID($B352,FIND("_",$B352)+1,LEN($B352)),IF(FIND("-",$B352)&gt;0,MID($B352,FIND("-",$B352)+1,LEN($B352)))),""))),""),LEFT((_xlfn.IFNA(IF(IFERROR(IF(FIND("_",$B352)&gt;0,MID($B352,FIND("_",$B352)+1,LEN($B352)),IF(FIND("-",$B352)&gt;0,MID($B352,FIND("-",$B352)+1,LEN($B352)))),"")="",IFERROR(VLOOKUP($F352,WP!$B$2:$C$23,2,0),VLOOKUP($C352,Series!$A$3:$F$11,6,0)),IFERROR(VLOOKUP($F352,WP!$B$2:$C$23,2,0),VLOOKUP($C352,Series!$A$3:$F$11,6,0))&amp;" - "&amp;(IFERROR(IF(FIND("_",$B352)&gt;0,MID($B352,FIND("_",$B352)+1,LEN($B352)),IF(FIND("-",$B352)&gt;0,MID($B352,FIND("-",$B352)+1,LEN($B352)))),""))),"")),64))</f>
        <v/>
      </c>
      <c r="H352" s="12"/>
      <c r="I352" s="12" t="str">
        <f>IF($D352&lt;&gt;"",COUNTIF($D$7:$D352,"="&amp;$D352),"")</f>
        <v/>
      </c>
      <c r="J352"/>
      <c r="K352" s="8"/>
      <c r="L352"/>
    </row>
    <row r="353" spans="1:12" x14ac:dyDescent="0.3">
      <c r="A353" s="1"/>
      <c r="B353" s="26"/>
      <c r="C353" s="12" t="str">
        <f>_xlfn.IFNA(IFERROR(IF(FIND("_",$B353)&gt;0,INDEX(WP!$A$2:$F$23,MATCH(LEFT($B353,FIND("_",$B353)-1),WP!$E$2:$E$23,0),1),IF(FIND("-",$B353)&gt;0,INDEX(WP!$A$2:$F$23,MATCH(LEFT($B353,FIND("_",$B353)-1),WP!$E$2:$E$23,0),1))),INDEX(WP!$A$2:$F$23,MATCH(Results!$B353,WP!$E$2:$E$23,0),1)),"")</f>
        <v/>
      </c>
      <c r="D353" s="12" t="str">
        <f>IFERROR(IFERROR(IF(RIGHT(INDEX(WP!$A$2:$F$23,MATCH(IF(FIND("_",$B353)&gt;0,LEFT($B353,FIND("_",$B353)-1)),WP!$E$2:$E$23,0),2),6)="Series",LEFT(INDEX(WP!$A$2:$F$23,MATCH(IF(FIND("_",$B353)&gt;0,LEFT($B353,FIND("_",$B353)-1)),WP!$E$2:$E$23,0),2),5),""),IF(RIGHT(INDEX(WP!$A$2:$F$23,MATCH($B353,WP!$E$2:$E$23,0),2),6)="Series",LEFT(INDEX(WP!$A$2:$F$23,MATCH($B353,WP!$E$2:$E$23,0),2),5),"")),"")</f>
        <v/>
      </c>
      <c r="E353" s="17" t="str">
        <f>IFERROR(VLOOKUP(VALUE($D353),Series!$B$3:$F$11,2,0),"")</f>
        <v/>
      </c>
      <c r="F353" s="12" t="str">
        <f>_xlfn.IFNA(IF(IF($D353&lt;&gt;"",COUNTIF($E:$E,"="&amp;$D353),"")="",IF(RIGHT(IFERROR(IF(FIND("_",$B353)&gt;0,INDEX(WP!$A$2:$F$23,MATCH(LEFT($B353,FIND("_",$B353)-1),WP!$E$2:$E$23,0),2),IF(FIND("-",$B353)&gt;0,INDEX(WP!$A$2:$F$23,MATCH(LEFT($B353,FIND("_",$B353)-1),WP!$E$2:$E$23,0),2))),INDEX(WP!$A$2:$F$23,MATCH(Results!$B353,WP!$E$2:$E$23,0),2)),6)="Series",LEFT(IFERROR(IF(FIND("_",$B353)&gt;0,INDEX(WP!$A$2:$F$23,MATCH(LEFT($B353,FIND("_",$B353)-1),WP!$E$2:$E$23,0),2),IF(FIND("-",$B353)&gt;0,INDEX(WP!$A$2:$F$23,MATCH(LEFT($B353,FIND("_",$B353)-1),WP!$E$2:$E$23,0),2))),INDEX(WP!$A$2:$F$23,MATCH(Results!$B353,WP!$E$2:$E$23,0),2)),5),(IFERROR(IF(FIND("_",$B353)&gt;0,INDEX(WP!$A$2:$F$23,MATCH(LEFT($B353,FIND("_",$B353)-1),WP!$E$2:$E$23,0),2),IF(FIND("-",$B353)&gt;0,INDEX(WP!$A$2:$F$23,MATCH(LEFT($B353,FIND("_",$B353)-1),WP!$E$2:$E$23,0),2))),INDEX(WP!$A$2:$F$23,MATCH(Results!$B353,WP!$E$2:$E$23,0),2)))),IF(RIGHT(IFERROR(IF(FIND("_",$B353)&gt;0,INDEX(WP!$A$2:$F$23,MATCH(LEFT($B353,FIND("_",$B353)-1),WP!$E$2:$E$23,0),2),IF(FIND("-",$B353)&gt;0,INDEX(WP!$A$2:$F$23,MATCH(LEFT($B353,FIND("_",$B353)-1),WP!$E$2:$E$23,0),2))),INDEX(WP!$A$2:$F$23,MATCH(Results!$B353,WP!$E$2:$E$23,0),2)),6)="Series",LEFT(IFERROR(IF(FIND("_",$B353)&gt;0,INDEX(WP!$A$2:$F$23,MATCH(LEFT($B353,FIND("_",$B353)-1),WP!$E$2:$E$23,0),2),IF(FIND("-",$B353)&gt;0,INDEX(WP!$A$2:$F$23,MATCH(LEFT($B353,FIND("_",$B353)-1),WP!$E$2:$E$23,0),2))),INDEX(WP!$A$2:$F$23,MATCH(Results!$B353,WP!$E$2:$E$23,0),2)),5),(IFERROR(IF(FIND("_",$B353)&gt;0,INDEX(WP!$A$2:$F$23,MATCH(LEFT($B353,FIND("_",$B353)-1),WP!$E$2:$E$23,0),2),IF(FIND("-",$B353)&gt;0,INDEX(WP!$A$2:$F$23,MATCH(LEFT($B353,FIND("_",$B353)-1),WP!$E$2:$E$23,0),2))),INDEX(WP!$A$2:$F$23,MATCH(Results!$B353,WP!$E$2:$E$23,0),2))))&amp;"-"&amp;$I353),"")</f>
        <v/>
      </c>
      <c r="G353" s="17" t="str">
        <f>IF(LEN(_xlfn.IFNA(IF(IFERROR(IF(FIND("_",$B353)&gt;0,MID($B353,FIND("_",$B353)+1,LEN($B353)),IF(FIND("-",$B353)&gt;0,MID($B353,FIND("-",$B353)+1,LEN($B353)))),"")="",IFERROR(VLOOKUP($F353,WP!$B$2:$C$23,2,0),VLOOKUP($C353,Series!$A$3:$F$11,6,0)),IFERROR(VLOOKUP($F353,WP!$B$2:$C$23,2,0),VLOOKUP($C353,Series!$A$3:$F$11,6,0))&amp;" - "&amp;(IFERROR(IF(FIND("_",$B353)&gt;0,MID($B353,FIND("_",$B353)+1,LEN($B353)),IF(FIND("-",$B353)&gt;0,MID($B353,FIND("-",$B353)+1,LEN($B353)))),""))),""))&lt;64,_xlfn.IFNA(IF(IFERROR(IF(FIND("_",$B353)&gt;0,MID($B353,FIND("_",$B353)+1,LEN($B353)),IF(FIND("-",$B353)&gt;0,MID($B353,FIND("-",$B353)+1,LEN($B353)))),"")="",IFERROR(VLOOKUP($F353,WP!$B$2:$C$23,2,0),VLOOKUP($C353,Series!$A$3:$F$11,6,0)),IFERROR(VLOOKUP($F353,WP!$B$2:$C$23,2,0),VLOOKUP($C353,Series!$A$3:$F$11,6,0))&amp;" - "&amp;(IFERROR(IF(FIND("_",$B353)&gt;0,MID($B353,FIND("_",$B353)+1,LEN($B353)),IF(FIND("-",$B353)&gt;0,MID($B353,FIND("-",$B353)+1,LEN($B353)))),""))),""),LEFT((_xlfn.IFNA(IF(IFERROR(IF(FIND("_",$B353)&gt;0,MID($B353,FIND("_",$B353)+1,LEN($B353)),IF(FIND("-",$B353)&gt;0,MID($B353,FIND("-",$B353)+1,LEN($B353)))),"")="",IFERROR(VLOOKUP($F353,WP!$B$2:$C$23,2,0),VLOOKUP($C353,Series!$A$3:$F$11,6,0)),IFERROR(VLOOKUP($F353,WP!$B$2:$C$23,2,0),VLOOKUP($C353,Series!$A$3:$F$11,6,0))&amp;" - "&amp;(IFERROR(IF(FIND("_",$B353)&gt;0,MID($B353,FIND("_",$B353)+1,LEN($B353)),IF(FIND("-",$B353)&gt;0,MID($B353,FIND("-",$B353)+1,LEN($B353)))),""))),"")),64))</f>
        <v/>
      </c>
      <c r="H353" s="12"/>
      <c r="I353" s="12" t="str">
        <f>IF($D353&lt;&gt;"",COUNTIF($D$7:$D353,"="&amp;$D353),"")</f>
        <v/>
      </c>
      <c r="J353"/>
      <c r="K353" s="8"/>
      <c r="L353"/>
    </row>
    <row r="354" spans="1:12" x14ac:dyDescent="0.3">
      <c r="A354" s="1"/>
      <c r="B354" s="26"/>
      <c r="C354" s="12" t="str">
        <f>_xlfn.IFNA(IFERROR(IF(FIND("_",$B354)&gt;0,INDEX(WP!$A$2:$F$23,MATCH(LEFT($B354,FIND("_",$B354)-1),WP!$E$2:$E$23,0),1),IF(FIND("-",$B354)&gt;0,INDEX(WP!$A$2:$F$23,MATCH(LEFT($B354,FIND("_",$B354)-1),WP!$E$2:$E$23,0),1))),INDEX(WP!$A$2:$F$23,MATCH(Results!$B354,WP!$E$2:$E$23,0),1)),"")</f>
        <v/>
      </c>
      <c r="D354" s="12" t="str">
        <f>IFERROR(IFERROR(IF(RIGHT(INDEX(WP!$A$2:$F$23,MATCH(IF(FIND("_",$B354)&gt;0,LEFT($B354,FIND("_",$B354)-1)),WP!$E$2:$E$23,0),2),6)="Series",LEFT(INDEX(WP!$A$2:$F$23,MATCH(IF(FIND("_",$B354)&gt;0,LEFT($B354,FIND("_",$B354)-1)),WP!$E$2:$E$23,0),2),5),""),IF(RIGHT(INDEX(WP!$A$2:$F$23,MATCH($B354,WP!$E$2:$E$23,0),2),6)="Series",LEFT(INDEX(WP!$A$2:$F$23,MATCH($B354,WP!$E$2:$E$23,0),2),5),"")),"")</f>
        <v/>
      </c>
      <c r="E354" s="17" t="str">
        <f>IFERROR(VLOOKUP(VALUE($D354),Series!$B$3:$F$11,2,0),"")</f>
        <v/>
      </c>
      <c r="F354" s="12" t="str">
        <f>_xlfn.IFNA(IF(IF($D354&lt;&gt;"",COUNTIF($E:$E,"="&amp;$D354),"")="",IF(RIGHT(IFERROR(IF(FIND("_",$B354)&gt;0,INDEX(WP!$A$2:$F$23,MATCH(LEFT($B354,FIND("_",$B354)-1),WP!$E$2:$E$23,0),2),IF(FIND("-",$B354)&gt;0,INDEX(WP!$A$2:$F$23,MATCH(LEFT($B354,FIND("_",$B354)-1),WP!$E$2:$E$23,0),2))),INDEX(WP!$A$2:$F$23,MATCH(Results!$B354,WP!$E$2:$E$23,0),2)),6)="Series",LEFT(IFERROR(IF(FIND("_",$B354)&gt;0,INDEX(WP!$A$2:$F$23,MATCH(LEFT($B354,FIND("_",$B354)-1),WP!$E$2:$E$23,0),2),IF(FIND("-",$B354)&gt;0,INDEX(WP!$A$2:$F$23,MATCH(LEFT($B354,FIND("_",$B354)-1),WP!$E$2:$E$23,0),2))),INDEX(WP!$A$2:$F$23,MATCH(Results!$B354,WP!$E$2:$E$23,0),2)),5),(IFERROR(IF(FIND("_",$B354)&gt;0,INDEX(WP!$A$2:$F$23,MATCH(LEFT($B354,FIND("_",$B354)-1),WP!$E$2:$E$23,0),2),IF(FIND("-",$B354)&gt;0,INDEX(WP!$A$2:$F$23,MATCH(LEFT($B354,FIND("_",$B354)-1),WP!$E$2:$E$23,0),2))),INDEX(WP!$A$2:$F$23,MATCH(Results!$B354,WP!$E$2:$E$23,0),2)))),IF(RIGHT(IFERROR(IF(FIND("_",$B354)&gt;0,INDEX(WP!$A$2:$F$23,MATCH(LEFT($B354,FIND("_",$B354)-1),WP!$E$2:$E$23,0),2),IF(FIND("-",$B354)&gt;0,INDEX(WP!$A$2:$F$23,MATCH(LEFT($B354,FIND("_",$B354)-1),WP!$E$2:$E$23,0),2))),INDEX(WP!$A$2:$F$23,MATCH(Results!$B354,WP!$E$2:$E$23,0),2)),6)="Series",LEFT(IFERROR(IF(FIND("_",$B354)&gt;0,INDEX(WP!$A$2:$F$23,MATCH(LEFT($B354,FIND("_",$B354)-1),WP!$E$2:$E$23,0),2),IF(FIND("-",$B354)&gt;0,INDEX(WP!$A$2:$F$23,MATCH(LEFT($B354,FIND("_",$B354)-1),WP!$E$2:$E$23,0),2))),INDEX(WP!$A$2:$F$23,MATCH(Results!$B354,WP!$E$2:$E$23,0),2)),5),(IFERROR(IF(FIND("_",$B354)&gt;0,INDEX(WP!$A$2:$F$23,MATCH(LEFT($B354,FIND("_",$B354)-1),WP!$E$2:$E$23,0),2),IF(FIND("-",$B354)&gt;0,INDEX(WP!$A$2:$F$23,MATCH(LEFT($B354,FIND("_",$B354)-1),WP!$E$2:$E$23,0),2))),INDEX(WP!$A$2:$F$23,MATCH(Results!$B354,WP!$E$2:$E$23,0),2))))&amp;"-"&amp;$I354),"")</f>
        <v/>
      </c>
      <c r="G354" s="17" t="str">
        <f>IF(LEN(_xlfn.IFNA(IF(IFERROR(IF(FIND("_",$B354)&gt;0,MID($B354,FIND("_",$B354)+1,LEN($B354)),IF(FIND("-",$B354)&gt;0,MID($B354,FIND("-",$B354)+1,LEN($B354)))),"")="",IFERROR(VLOOKUP($F354,WP!$B$2:$C$23,2,0),VLOOKUP($C354,Series!$A$3:$F$11,6,0)),IFERROR(VLOOKUP($F354,WP!$B$2:$C$23,2,0),VLOOKUP($C354,Series!$A$3:$F$11,6,0))&amp;" - "&amp;(IFERROR(IF(FIND("_",$B354)&gt;0,MID($B354,FIND("_",$B354)+1,LEN($B354)),IF(FIND("-",$B354)&gt;0,MID($B354,FIND("-",$B354)+1,LEN($B354)))),""))),""))&lt;64,_xlfn.IFNA(IF(IFERROR(IF(FIND("_",$B354)&gt;0,MID($B354,FIND("_",$B354)+1,LEN($B354)),IF(FIND("-",$B354)&gt;0,MID($B354,FIND("-",$B354)+1,LEN($B354)))),"")="",IFERROR(VLOOKUP($F354,WP!$B$2:$C$23,2,0),VLOOKUP($C354,Series!$A$3:$F$11,6,0)),IFERROR(VLOOKUP($F354,WP!$B$2:$C$23,2,0),VLOOKUP($C354,Series!$A$3:$F$11,6,0))&amp;" - "&amp;(IFERROR(IF(FIND("_",$B354)&gt;0,MID($B354,FIND("_",$B354)+1,LEN($B354)),IF(FIND("-",$B354)&gt;0,MID($B354,FIND("-",$B354)+1,LEN($B354)))),""))),""),LEFT((_xlfn.IFNA(IF(IFERROR(IF(FIND("_",$B354)&gt;0,MID($B354,FIND("_",$B354)+1,LEN($B354)),IF(FIND("-",$B354)&gt;0,MID($B354,FIND("-",$B354)+1,LEN($B354)))),"")="",IFERROR(VLOOKUP($F354,WP!$B$2:$C$23,2,0),VLOOKUP($C354,Series!$A$3:$F$11,6,0)),IFERROR(VLOOKUP($F354,WP!$B$2:$C$23,2,0),VLOOKUP($C354,Series!$A$3:$F$11,6,0))&amp;" - "&amp;(IFERROR(IF(FIND("_",$B354)&gt;0,MID($B354,FIND("_",$B354)+1,LEN($B354)),IF(FIND("-",$B354)&gt;0,MID($B354,FIND("-",$B354)+1,LEN($B354)))),""))),"")),64))</f>
        <v/>
      </c>
      <c r="H354" s="12"/>
      <c r="I354" s="12" t="str">
        <f>IF($D354&lt;&gt;"",COUNTIF($D$7:$D354,"="&amp;$D354),"")</f>
        <v/>
      </c>
      <c r="J354"/>
      <c r="K354" s="8"/>
      <c r="L354"/>
    </row>
    <row r="355" spans="1:12" x14ac:dyDescent="0.3">
      <c r="A355" s="1"/>
      <c r="B355" s="26"/>
      <c r="C355" s="12" t="str">
        <f>_xlfn.IFNA(IFERROR(IF(FIND("_",$B355)&gt;0,INDEX(WP!$A$2:$F$23,MATCH(LEFT($B355,FIND("_",$B355)-1),WP!$E$2:$E$23,0),1),IF(FIND("-",$B355)&gt;0,INDEX(WP!$A$2:$F$23,MATCH(LEFT($B355,FIND("_",$B355)-1),WP!$E$2:$E$23,0),1))),INDEX(WP!$A$2:$F$23,MATCH(Results!$B355,WP!$E$2:$E$23,0),1)),"")</f>
        <v/>
      </c>
      <c r="D355" s="12" t="str">
        <f>IFERROR(IFERROR(IF(RIGHT(INDEX(WP!$A$2:$F$23,MATCH(IF(FIND("_",$B355)&gt;0,LEFT($B355,FIND("_",$B355)-1)),WP!$E$2:$E$23,0),2),6)="Series",LEFT(INDEX(WP!$A$2:$F$23,MATCH(IF(FIND("_",$B355)&gt;0,LEFT($B355,FIND("_",$B355)-1)),WP!$E$2:$E$23,0),2),5),""),IF(RIGHT(INDEX(WP!$A$2:$F$23,MATCH($B355,WP!$E$2:$E$23,0),2),6)="Series",LEFT(INDEX(WP!$A$2:$F$23,MATCH($B355,WP!$E$2:$E$23,0),2),5),"")),"")</f>
        <v/>
      </c>
      <c r="E355" s="17" t="str">
        <f>IFERROR(VLOOKUP(VALUE($D355),Series!$B$3:$F$11,2,0),"")</f>
        <v/>
      </c>
      <c r="F355" s="12" t="str">
        <f>_xlfn.IFNA(IF(IF($D355&lt;&gt;"",COUNTIF($E:$E,"="&amp;$D355),"")="",IF(RIGHT(IFERROR(IF(FIND("_",$B355)&gt;0,INDEX(WP!$A$2:$F$23,MATCH(LEFT($B355,FIND("_",$B355)-1),WP!$E$2:$E$23,0),2),IF(FIND("-",$B355)&gt;0,INDEX(WP!$A$2:$F$23,MATCH(LEFT($B355,FIND("_",$B355)-1),WP!$E$2:$E$23,0),2))),INDEX(WP!$A$2:$F$23,MATCH(Results!$B355,WP!$E$2:$E$23,0),2)),6)="Series",LEFT(IFERROR(IF(FIND("_",$B355)&gt;0,INDEX(WP!$A$2:$F$23,MATCH(LEFT($B355,FIND("_",$B355)-1),WP!$E$2:$E$23,0),2),IF(FIND("-",$B355)&gt;0,INDEX(WP!$A$2:$F$23,MATCH(LEFT($B355,FIND("_",$B355)-1),WP!$E$2:$E$23,0),2))),INDEX(WP!$A$2:$F$23,MATCH(Results!$B355,WP!$E$2:$E$23,0),2)),5),(IFERROR(IF(FIND("_",$B355)&gt;0,INDEX(WP!$A$2:$F$23,MATCH(LEFT($B355,FIND("_",$B355)-1),WP!$E$2:$E$23,0),2),IF(FIND("-",$B355)&gt;0,INDEX(WP!$A$2:$F$23,MATCH(LEFT($B355,FIND("_",$B355)-1),WP!$E$2:$E$23,0),2))),INDEX(WP!$A$2:$F$23,MATCH(Results!$B355,WP!$E$2:$E$23,0),2)))),IF(RIGHT(IFERROR(IF(FIND("_",$B355)&gt;0,INDEX(WP!$A$2:$F$23,MATCH(LEFT($B355,FIND("_",$B355)-1),WP!$E$2:$E$23,0),2),IF(FIND("-",$B355)&gt;0,INDEX(WP!$A$2:$F$23,MATCH(LEFT($B355,FIND("_",$B355)-1),WP!$E$2:$E$23,0),2))),INDEX(WP!$A$2:$F$23,MATCH(Results!$B355,WP!$E$2:$E$23,0),2)),6)="Series",LEFT(IFERROR(IF(FIND("_",$B355)&gt;0,INDEX(WP!$A$2:$F$23,MATCH(LEFT($B355,FIND("_",$B355)-1),WP!$E$2:$E$23,0),2),IF(FIND("-",$B355)&gt;0,INDEX(WP!$A$2:$F$23,MATCH(LEFT($B355,FIND("_",$B355)-1),WP!$E$2:$E$23,0),2))),INDEX(WP!$A$2:$F$23,MATCH(Results!$B355,WP!$E$2:$E$23,0),2)),5),(IFERROR(IF(FIND("_",$B355)&gt;0,INDEX(WP!$A$2:$F$23,MATCH(LEFT($B355,FIND("_",$B355)-1),WP!$E$2:$E$23,0),2),IF(FIND("-",$B355)&gt;0,INDEX(WP!$A$2:$F$23,MATCH(LEFT($B355,FIND("_",$B355)-1),WP!$E$2:$E$23,0),2))),INDEX(WP!$A$2:$F$23,MATCH(Results!$B355,WP!$E$2:$E$23,0),2))))&amp;"-"&amp;$I355),"")</f>
        <v/>
      </c>
      <c r="G355" s="17" t="str">
        <f>IF(LEN(_xlfn.IFNA(IF(IFERROR(IF(FIND("_",$B355)&gt;0,MID($B355,FIND("_",$B355)+1,LEN($B355)),IF(FIND("-",$B355)&gt;0,MID($B355,FIND("-",$B355)+1,LEN($B355)))),"")="",IFERROR(VLOOKUP($F355,WP!$B$2:$C$23,2,0),VLOOKUP($C355,Series!$A$3:$F$11,6,0)),IFERROR(VLOOKUP($F355,WP!$B$2:$C$23,2,0),VLOOKUP($C355,Series!$A$3:$F$11,6,0))&amp;" - "&amp;(IFERROR(IF(FIND("_",$B355)&gt;0,MID($B355,FIND("_",$B355)+1,LEN($B355)),IF(FIND("-",$B355)&gt;0,MID($B355,FIND("-",$B355)+1,LEN($B355)))),""))),""))&lt;64,_xlfn.IFNA(IF(IFERROR(IF(FIND("_",$B355)&gt;0,MID($B355,FIND("_",$B355)+1,LEN($B355)),IF(FIND("-",$B355)&gt;0,MID($B355,FIND("-",$B355)+1,LEN($B355)))),"")="",IFERROR(VLOOKUP($F355,WP!$B$2:$C$23,2,0),VLOOKUP($C355,Series!$A$3:$F$11,6,0)),IFERROR(VLOOKUP($F355,WP!$B$2:$C$23,2,0),VLOOKUP($C355,Series!$A$3:$F$11,6,0))&amp;" - "&amp;(IFERROR(IF(FIND("_",$B355)&gt;0,MID($B355,FIND("_",$B355)+1,LEN($B355)),IF(FIND("-",$B355)&gt;0,MID($B355,FIND("-",$B355)+1,LEN($B355)))),""))),""),LEFT((_xlfn.IFNA(IF(IFERROR(IF(FIND("_",$B355)&gt;0,MID($B355,FIND("_",$B355)+1,LEN($B355)),IF(FIND("-",$B355)&gt;0,MID($B355,FIND("-",$B355)+1,LEN($B355)))),"")="",IFERROR(VLOOKUP($F355,WP!$B$2:$C$23,2,0),VLOOKUP($C355,Series!$A$3:$F$11,6,0)),IFERROR(VLOOKUP($F355,WP!$B$2:$C$23,2,0),VLOOKUP($C355,Series!$A$3:$F$11,6,0))&amp;" - "&amp;(IFERROR(IF(FIND("_",$B355)&gt;0,MID($B355,FIND("_",$B355)+1,LEN($B355)),IF(FIND("-",$B355)&gt;0,MID($B355,FIND("-",$B355)+1,LEN($B355)))),""))),"")),64))</f>
        <v/>
      </c>
      <c r="H355" s="12"/>
      <c r="I355" s="12" t="str">
        <f>IF($D355&lt;&gt;"",COUNTIF($D$7:$D355,"="&amp;$D355),"")</f>
        <v/>
      </c>
      <c r="J355"/>
      <c r="K355" s="8"/>
      <c r="L355"/>
    </row>
    <row r="356" spans="1:12" x14ac:dyDescent="0.3">
      <c r="A356" s="1"/>
      <c r="B356" s="26"/>
      <c r="C356" s="12" t="str">
        <f>_xlfn.IFNA(IFERROR(IF(FIND("_",$B356)&gt;0,INDEX(WP!$A$2:$F$23,MATCH(LEFT($B356,FIND("_",$B356)-1),WP!$E$2:$E$23,0),1),IF(FIND("-",$B356)&gt;0,INDEX(WP!$A$2:$F$23,MATCH(LEFT($B356,FIND("_",$B356)-1),WP!$E$2:$E$23,0),1))),INDEX(WP!$A$2:$F$23,MATCH(Results!$B356,WP!$E$2:$E$23,0),1)),"")</f>
        <v/>
      </c>
      <c r="D356" s="12" t="str">
        <f>IFERROR(IFERROR(IF(RIGHT(INDEX(WP!$A$2:$F$23,MATCH(IF(FIND("_",$B356)&gt;0,LEFT($B356,FIND("_",$B356)-1)),WP!$E$2:$E$23,0),2),6)="Series",LEFT(INDEX(WP!$A$2:$F$23,MATCH(IF(FIND("_",$B356)&gt;0,LEFT($B356,FIND("_",$B356)-1)),WP!$E$2:$E$23,0),2),5),""),IF(RIGHT(INDEX(WP!$A$2:$F$23,MATCH($B356,WP!$E$2:$E$23,0),2),6)="Series",LEFT(INDEX(WP!$A$2:$F$23,MATCH($B356,WP!$E$2:$E$23,0),2),5),"")),"")</f>
        <v/>
      </c>
      <c r="E356" s="17" t="str">
        <f>IFERROR(VLOOKUP(VALUE($D356),Series!$B$3:$F$11,2,0),"")</f>
        <v/>
      </c>
      <c r="F356" s="12" t="str">
        <f>_xlfn.IFNA(IF(IF($D356&lt;&gt;"",COUNTIF($E:$E,"="&amp;$D356),"")="",IF(RIGHT(IFERROR(IF(FIND("_",$B356)&gt;0,INDEX(WP!$A$2:$F$23,MATCH(LEFT($B356,FIND("_",$B356)-1),WP!$E$2:$E$23,0),2),IF(FIND("-",$B356)&gt;0,INDEX(WP!$A$2:$F$23,MATCH(LEFT($B356,FIND("_",$B356)-1),WP!$E$2:$E$23,0),2))),INDEX(WP!$A$2:$F$23,MATCH(Results!$B356,WP!$E$2:$E$23,0),2)),6)="Series",LEFT(IFERROR(IF(FIND("_",$B356)&gt;0,INDEX(WP!$A$2:$F$23,MATCH(LEFT($B356,FIND("_",$B356)-1),WP!$E$2:$E$23,0),2),IF(FIND("-",$B356)&gt;0,INDEX(WP!$A$2:$F$23,MATCH(LEFT($B356,FIND("_",$B356)-1),WP!$E$2:$E$23,0),2))),INDEX(WP!$A$2:$F$23,MATCH(Results!$B356,WP!$E$2:$E$23,0),2)),5),(IFERROR(IF(FIND("_",$B356)&gt;0,INDEX(WP!$A$2:$F$23,MATCH(LEFT($B356,FIND("_",$B356)-1),WP!$E$2:$E$23,0),2),IF(FIND("-",$B356)&gt;0,INDEX(WP!$A$2:$F$23,MATCH(LEFT($B356,FIND("_",$B356)-1),WP!$E$2:$E$23,0),2))),INDEX(WP!$A$2:$F$23,MATCH(Results!$B356,WP!$E$2:$E$23,0),2)))),IF(RIGHT(IFERROR(IF(FIND("_",$B356)&gt;0,INDEX(WP!$A$2:$F$23,MATCH(LEFT($B356,FIND("_",$B356)-1),WP!$E$2:$E$23,0),2),IF(FIND("-",$B356)&gt;0,INDEX(WP!$A$2:$F$23,MATCH(LEFT($B356,FIND("_",$B356)-1),WP!$E$2:$E$23,0),2))),INDEX(WP!$A$2:$F$23,MATCH(Results!$B356,WP!$E$2:$E$23,0),2)),6)="Series",LEFT(IFERROR(IF(FIND("_",$B356)&gt;0,INDEX(WP!$A$2:$F$23,MATCH(LEFT($B356,FIND("_",$B356)-1),WP!$E$2:$E$23,0),2),IF(FIND("-",$B356)&gt;0,INDEX(WP!$A$2:$F$23,MATCH(LEFT($B356,FIND("_",$B356)-1),WP!$E$2:$E$23,0),2))),INDEX(WP!$A$2:$F$23,MATCH(Results!$B356,WP!$E$2:$E$23,0),2)),5),(IFERROR(IF(FIND("_",$B356)&gt;0,INDEX(WP!$A$2:$F$23,MATCH(LEFT($B356,FIND("_",$B356)-1),WP!$E$2:$E$23,0),2),IF(FIND("-",$B356)&gt;0,INDEX(WP!$A$2:$F$23,MATCH(LEFT($B356,FIND("_",$B356)-1),WP!$E$2:$E$23,0),2))),INDEX(WP!$A$2:$F$23,MATCH(Results!$B356,WP!$E$2:$E$23,0),2))))&amp;"-"&amp;$I356),"")</f>
        <v/>
      </c>
      <c r="G356" s="17" t="str">
        <f>IF(LEN(_xlfn.IFNA(IF(IFERROR(IF(FIND("_",$B356)&gt;0,MID($B356,FIND("_",$B356)+1,LEN($B356)),IF(FIND("-",$B356)&gt;0,MID($B356,FIND("-",$B356)+1,LEN($B356)))),"")="",IFERROR(VLOOKUP($F356,WP!$B$2:$C$23,2,0),VLOOKUP($C356,Series!$A$3:$F$11,6,0)),IFERROR(VLOOKUP($F356,WP!$B$2:$C$23,2,0),VLOOKUP($C356,Series!$A$3:$F$11,6,0))&amp;" - "&amp;(IFERROR(IF(FIND("_",$B356)&gt;0,MID($B356,FIND("_",$B356)+1,LEN($B356)),IF(FIND("-",$B356)&gt;0,MID($B356,FIND("-",$B356)+1,LEN($B356)))),""))),""))&lt;64,_xlfn.IFNA(IF(IFERROR(IF(FIND("_",$B356)&gt;0,MID($B356,FIND("_",$B356)+1,LEN($B356)),IF(FIND("-",$B356)&gt;0,MID($B356,FIND("-",$B356)+1,LEN($B356)))),"")="",IFERROR(VLOOKUP($F356,WP!$B$2:$C$23,2,0),VLOOKUP($C356,Series!$A$3:$F$11,6,0)),IFERROR(VLOOKUP($F356,WP!$B$2:$C$23,2,0),VLOOKUP($C356,Series!$A$3:$F$11,6,0))&amp;" - "&amp;(IFERROR(IF(FIND("_",$B356)&gt;0,MID($B356,FIND("_",$B356)+1,LEN($B356)),IF(FIND("-",$B356)&gt;0,MID($B356,FIND("-",$B356)+1,LEN($B356)))),""))),""),LEFT((_xlfn.IFNA(IF(IFERROR(IF(FIND("_",$B356)&gt;0,MID($B356,FIND("_",$B356)+1,LEN($B356)),IF(FIND("-",$B356)&gt;0,MID($B356,FIND("-",$B356)+1,LEN($B356)))),"")="",IFERROR(VLOOKUP($F356,WP!$B$2:$C$23,2,0),VLOOKUP($C356,Series!$A$3:$F$11,6,0)),IFERROR(VLOOKUP($F356,WP!$B$2:$C$23,2,0),VLOOKUP($C356,Series!$A$3:$F$11,6,0))&amp;" - "&amp;(IFERROR(IF(FIND("_",$B356)&gt;0,MID($B356,FIND("_",$B356)+1,LEN($B356)),IF(FIND("-",$B356)&gt;0,MID($B356,FIND("-",$B356)+1,LEN($B356)))),""))),"")),64))</f>
        <v/>
      </c>
      <c r="H356" s="12"/>
      <c r="I356" s="12" t="str">
        <f>IF($D356&lt;&gt;"",COUNTIF($D$7:$D356,"="&amp;$D356),"")</f>
        <v/>
      </c>
      <c r="J356"/>
      <c r="K356" s="8"/>
      <c r="L356"/>
    </row>
    <row r="357" spans="1:12" x14ac:dyDescent="0.3">
      <c r="A357" s="1"/>
      <c r="B357" s="26"/>
      <c r="C357" s="12" t="str">
        <f>_xlfn.IFNA(IFERROR(IF(FIND("_",$B357)&gt;0,INDEX(WP!$A$2:$F$23,MATCH(LEFT($B357,FIND("_",$B357)-1),WP!$E$2:$E$23,0),1),IF(FIND("-",$B357)&gt;0,INDEX(WP!$A$2:$F$23,MATCH(LEFT($B357,FIND("_",$B357)-1),WP!$E$2:$E$23,0),1))),INDEX(WP!$A$2:$F$23,MATCH(Results!$B357,WP!$E$2:$E$23,0),1)),"")</f>
        <v/>
      </c>
      <c r="D357" s="12" t="str">
        <f>IFERROR(IFERROR(IF(RIGHT(INDEX(WP!$A$2:$F$23,MATCH(IF(FIND("_",$B357)&gt;0,LEFT($B357,FIND("_",$B357)-1)),WP!$E$2:$E$23,0),2),6)="Series",LEFT(INDEX(WP!$A$2:$F$23,MATCH(IF(FIND("_",$B357)&gt;0,LEFT($B357,FIND("_",$B357)-1)),WP!$E$2:$E$23,0),2),5),""),IF(RIGHT(INDEX(WP!$A$2:$F$23,MATCH($B357,WP!$E$2:$E$23,0),2),6)="Series",LEFT(INDEX(WP!$A$2:$F$23,MATCH($B357,WP!$E$2:$E$23,0),2),5),"")),"")</f>
        <v/>
      </c>
      <c r="E357" s="17" t="str">
        <f>IFERROR(VLOOKUP(VALUE($D357),Series!$B$3:$F$11,2,0),"")</f>
        <v/>
      </c>
      <c r="F357" s="12" t="str">
        <f>_xlfn.IFNA(IF(IF($D357&lt;&gt;"",COUNTIF($E:$E,"="&amp;$D357),"")="",IF(RIGHT(IFERROR(IF(FIND("_",$B357)&gt;0,INDEX(WP!$A$2:$F$23,MATCH(LEFT($B357,FIND("_",$B357)-1),WP!$E$2:$E$23,0),2),IF(FIND("-",$B357)&gt;0,INDEX(WP!$A$2:$F$23,MATCH(LEFT($B357,FIND("_",$B357)-1),WP!$E$2:$E$23,0),2))),INDEX(WP!$A$2:$F$23,MATCH(Results!$B357,WP!$E$2:$E$23,0),2)),6)="Series",LEFT(IFERROR(IF(FIND("_",$B357)&gt;0,INDEX(WP!$A$2:$F$23,MATCH(LEFT($B357,FIND("_",$B357)-1),WP!$E$2:$E$23,0),2),IF(FIND("-",$B357)&gt;0,INDEX(WP!$A$2:$F$23,MATCH(LEFT($B357,FIND("_",$B357)-1),WP!$E$2:$E$23,0),2))),INDEX(WP!$A$2:$F$23,MATCH(Results!$B357,WP!$E$2:$E$23,0),2)),5),(IFERROR(IF(FIND("_",$B357)&gt;0,INDEX(WP!$A$2:$F$23,MATCH(LEFT($B357,FIND("_",$B357)-1),WP!$E$2:$E$23,0),2),IF(FIND("-",$B357)&gt;0,INDEX(WP!$A$2:$F$23,MATCH(LEFT($B357,FIND("_",$B357)-1),WP!$E$2:$E$23,0),2))),INDEX(WP!$A$2:$F$23,MATCH(Results!$B357,WP!$E$2:$E$23,0),2)))),IF(RIGHT(IFERROR(IF(FIND("_",$B357)&gt;0,INDEX(WP!$A$2:$F$23,MATCH(LEFT($B357,FIND("_",$B357)-1),WP!$E$2:$E$23,0),2),IF(FIND("-",$B357)&gt;0,INDEX(WP!$A$2:$F$23,MATCH(LEFT($B357,FIND("_",$B357)-1),WP!$E$2:$E$23,0),2))),INDEX(WP!$A$2:$F$23,MATCH(Results!$B357,WP!$E$2:$E$23,0),2)),6)="Series",LEFT(IFERROR(IF(FIND("_",$B357)&gt;0,INDEX(WP!$A$2:$F$23,MATCH(LEFT($B357,FIND("_",$B357)-1),WP!$E$2:$E$23,0),2),IF(FIND("-",$B357)&gt;0,INDEX(WP!$A$2:$F$23,MATCH(LEFT($B357,FIND("_",$B357)-1),WP!$E$2:$E$23,0),2))),INDEX(WP!$A$2:$F$23,MATCH(Results!$B357,WP!$E$2:$E$23,0),2)),5),(IFERROR(IF(FIND("_",$B357)&gt;0,INDEX(WP!$A$2:$F$23,MATCH(LEFT($B357,FIND("_",$B357)-1),WP!$E$2:$E$23,0),2),IF(FIND("-",$B357)&gt;0,INDEX(WP!$A$2:$F$23,MATCH(LEFT($B357,FIND("_",$B357)-1),WP!$E$2:$E$23,0),2))),INDEX(WP!$A$2:$F$23,MATCH(Results!$B357,WP!$E$2:$E$23,0),2))))&amp;"-"&amp;$I357),"")</f>
        <v/>
      </c>
      <c r="G357" s="17" t="str">
        <f>IF(LEN(_xlfn.IFNA(IF(IFERROR(IF(FIND("_",$B357)&gt;0,MID($B357,FIND("_",$B357)+1,LEN($B357)),IF(FIND("-",$B357)&gt;0,MID($B357,FIND("-",$B357)+1,LEN($B357)))),"")="",IFERROR(VLOOKUP($F357,WP!$B$2:$C$23,2,0),VLOOKUP($C357,Series!$A$3:$F$11,6,0)),IFERROR(VLOOKUP($F357,WP!$B$2:$C$23,2,0),VLOOKUP($C357,Series!$A$3:$F$11,6,0))&amp;" - "&amp;(IFERROR(IF(FIND("_",$B357)&gt;0,MID($B357,FIND("_",$B357)+1,LEN($B357)),IF(FIND("-",$B357)&gt;0,MID($B357,FIND("-",$B357)+1,LEN($B357)))),""))),""))&lt;64,_xlfn.IFNA(IF(IFERROR(IF(FIND("_",$B357)&gt;0,MID($B357,FIND("_",$B357)+1,LEN($B357)),IF(FIND("-",$B357)&gt;0,MID($B357,FIND("-",$B357)+1,LEN($B357)))),"")="",IFERROR(VLOOKUP($F357,WP!$B$2:$C$23,2,0),VLOOKUP($C357,Series!$A$3:$F$11,6,0)),IFERROR(VLOOKUP($F357,WP!$B$2:$C$23,2,0),VLOOKUP($C357,Series!$A$3:$F$11,6,0))&amp;" - "&amp;(IFERROR(IF(FIND("_",$B357)&gt;0,MID($B357,FIND("_",$B357)+1,LEN($B357)),IF(FIND("-",$B357)&gt;0,MID($B357,FIND("-",$B357)+1,LEN($B357)))),""))),""),LEFT((_xlfn.IFNA(IF(IFERROR(IF(FIND("_",$B357)&gt;0,MID($B357,FIND("_",$B357)+1,LEN($B357)),IF(FIND("-",$B357)&gt;0,MID($B357,FIND("-",$B357)+1,LEN($B357)))),"")="",IFERROR(VLOOKUP($F357,WP!$B$2:$C$23,2,0),VLOOKUP($C357,Series!$A$3:$F$11,6,0)),IFERROR(VLOOKUP($F357,WP!$B$2:$C$23,2,0),VLOOKUP($C357,Series!$A$3:$F$11,6,0))&amp;" - "&amp;(IFERROR(IF(FIND("_",$B357)&gt;0,MID($B357,FIND("_",$B357)+1,LEN($B357)),IF(FIND("-",$B357)&gt;0,MID($B357,FIND("-",$B357)+1,LEN($B357)))),""))),"")),64))</f>
        <v/>
      </c>
      <c r="H357" s="12"/>
      <c r="I357" s="12" t="str">
        <f>IF($D357&lt;&gt;"",COUNTIF($D$7:$D357,"="&amp;$D357),"")</f>
        <v/>
      </c>
      <c r="J357"/>
      <c r="K357" s="8"/>
      <c r="L357"/>
    </row>
    <row r="358" spans="1:12" x14ac:dyDescent="0.3">
      <c r="A358" s="1"/>
      <c r="B358" s="26"/>
      <c r="C358" s="12" t="str">
        <f>_xlfn.IFNA(IFERROR(IF(FIND("_",$B358)&gt;0,INDEX(WP!$A$2:$F$23,MATCH(LEFT($B358,FIND("_",$B358)-1),WP!$E$2:$E$23,0),1),IF(FIND("-",$B358)&gt;0,INDEX(WP!$A$2:$F$23,MATCH(LEFT($B358,FIND("_",$B358)-1),WP!$E$2:$E$23,0),1))),INDEX(WP!$A$2:$F$23,MATCH(Results!$B358,WP!$E$2:$E$23,0),1)),"")</f>
        <v/>
      </c>
      <c r="D358" s="12" t="str">
        <f>IFERROR(IFERROR(IF(RIGHT(INDEX(WP!$A$2:$F$23,MATCH(IF(FIND("_",$B358)&gt;0,LEFT($B358,FIND("_",$B358)-1)),WP!$E$2:$E$23,0),2),6)="Series",LEFT(INDEX(WP!$A$2:$F$23,MATCH(IF(FIND("_",$B358)&gt;0,LEFT($B358,FIND("_",$B358)-1)),WP!$E$2:$E$23,0),2),5),""),IF(RIGHT(INDEX(WP!$A$2:$F$23,MATCH($B358,WP!$E$2:$E$23,0),2),6)="Series",LEFT(INDEX(WP!$A$2:$F$23,MATCH($B358,WP!$E$2:$E$23,0),2),5),"")),"")</f>
        <v/>
      </c>
      <c r="E358" s="17" t="str">
        <f>IFERROR(VLOOKUP(VALUE($D358),Series!$B$3:$F$11,2,0),"")</f>
        <v/>
      </c>
      <c r="F358" s="12" t="str">
        <f>_xlfn.IFNA(IF(IF($D358&lt;&gt;"",COUNTIF($E:$E,"="&amp;$D358),"")="",IF(RIGHT(IFERROR(IF(FIND("_",$B358)&gt;0,INDEX(WP!$A$2:$F$23,MATCH(LEFT($B358,FIND("_",$B358)-1),WP!$E$2:$E$23,0),2),IF(FIND("-",$B358)&gt;0,INDEX(WP!$A$2:$F$23,MATCH(LEFT($B358,FIND("_",$B358)-1),WP!$E$2:$E$23,0),2))),INDEX(WP!$A$2:$F$23,MATCH(Results!$B358,WP!$E$2:$E$23,0),2)),6)="Series",LEFT(IFERROR(IF(FIND("_",$B358)&gt;0,INDEX(WP!$A$2:$F$23,MATCH(LEFT($B358,FIND("_",$B358)-1),WP!$E$2:$E$23,0),2),IF(FIND("-",$B358)&gt;0,INDEX(WP!$A$2:$F$23,MATCH(LEFT($B358,FIND("_",$B358)-1),WP!$E$2:$E$23,0),2))),INDEX(WP!$A$2:$F$23,MATCH(Results!$B358,WP!$E$2:$E$23,0),2)),5),(IFERROR(IF(FIND("_",$B358)&gt;0,INDEX(WP!$A$2:$F$23,MATCH(LEFT($B358,FIND("_",$B358)-1),WP!$E$2:$E$23,0),2),IF(FIND("-",$B358)&gt;0,INDEX(WP!$A$2:$F$23,MATCH(LEFT($B358,FIND("_",$B358)-1),WP!$E$2:$E$23,0),2))),INDEX(WP!$A$2:$F$23,MATCH(Results!$B358,WP!$E$2:$E$23,0),2)))),IF(RIGHT(IFERROR(IF(FIND("_",$B358)&gt;0,INDEX(WP!$A$2:$F$23,MATCH(LEFT($B358,FIND("_",$B358)-1),WP!$E$2:$E$23,0),2),IF(FIND("-",$B358)&gt;0,INDEX(WP!$A$2:$F$23,MATCH(LEFT($B358,FIND("_",$B358)-1),WP!$E$2:$E$23,0),2))),INDEX(WP!$A$2:$F$23,MATCH(Results!$B358,WP!$E$2:$E$23,0),2)),6)="Series",LEFT(IFERROR(IF(FIND("_",$B358)&gt;0,INDEX(WP!$A$2:$F$23,MATCH(LEFT($B358,FIND("_",$B358)-1),WP!$E$2:$E$23,0),2),IF(FIND("-",$B358)&gt;0,INDEX(WP!$A$2:$F$23,MATCH(LEFT($B358,FIND("_",$B358)-1),WP!$E$2:$E$23,0),2))),INDEX(WP!$A$2:$F$23,MATCH(Results!$B358,WP!$E$2:$E$23,0),2)),5),(IFERROR(IF(FIND("_",$B358)&gt;0,INDEX(WP!$A$2:$F$23,MATCH(LEFT($B358,FIND("_",$B358)-1),WP!$E$2:$E$23,0),2),IF(FIND("-",$B358)&gt;0,INDEX(WP!$A$2:$F$23,MATCH(LEFT($B358,FIND("_",$B358)-1),WP!$E$2:$E$23,0),2))),INDEX(WP!$A$2:$F$23,MATCH(Results!$B358,WP!$E$2:$E$23,0),2))))&amp;"-"&amp;$I358),"")</f>
        <v/>
      </c>
      <c r="G358" s="17" t="str">
        <f>IF(LEN(_xlfn.IFNA(IF(IFERROR(IF(FIND("_",$B358)&gt;0,MID($B358,FIND("_",$B358)+1,LEN($B358)),IF(FIND("-",$B358)&gt;0,MID($B358,FIND("-",$B358)+1,LEN($B358)))),"")="",IFERROR(VLOOKUP($F358,WP!$B$2:$C$23,2,0),VLOOKUP($C358,Series!$A$3:$F$11,6,0)),IFERROR(VLOOKUP($F358,WP!$B$2:$C$23,2,0),VLOOKUP($C358,Series!$A$3:$F$11,6,0))&amp;" - "&amp;(IFERROR(IF(FIND("_",$B358)&gt;0,MID($B358,FIND("_",$B358)+1,LEN($B358)),IF(FIND("-",$B358)&gt;0,MID($B358,FIND("-",$B358)+1,LEN($B358)))),""))),""))&lt;64,_xlfn.IFNA(IF(IFERROR(IF(FIND("_",$B358)&gt;0,MID($B358,FIND("_",$B358)+1,LEN($B358)),IF(FIND("-",$B358)&gt;0,MID($B358,FIND("-",$B358)+1,LEN($B358)))),"")="",IFERROR(VLOOKUP($F358,WP!$B$2:$C$23,2,0),VLOOKUP($C358,Series!$A$3:$F$11,6,0)),IFERROR(VLOOKUP($F358,WP!$B$2:$C$23,2,0),VLOOKUP($C358,Series!$A$3:$F$11,6,0))&amp;" - "&amp;(IFERROR(IF(FIND("_",$B358)&gt;0,MID($B358,FIND("_",$B358)+1,LEN($B358)),IF(FIND("-",$B358)&gt;0,MID($B358,FIND("-",$B358)+1,LEN($B358)))),""))),""),LEFT((_xlfn.IFNA(IF(IFERROR(IF(FIND("_",$B358)&gt;0,MID($B358,FIND("_",$B358)+1,LEN($B358)),IF(FIND("-",$B358)&gt;0,MID($B358,FIND("-",$B358)+1,LEN($B358)))),"")="",IFERROR(VLOOKUP($F358,WP!$B$2:$C$23,2,0),VLOOKUP($C358,Series!$A$3:$F$11,6,0)),IFERROR(VLOOKUP($F358,WP!$B$2:$C$23,2,0),VLOOKUP($C358,Series!$A$3:$F$11,6,0))&amp;" - "&amp;(IFERROR(IF(FIND("_",$B358)&gt;0,MID($B358,FIND("_",$B358)+1,LEN($B358)),IF(FIND("-",$B358)&gt;0,MID($B358,FIND("-",$B358)+1,LEN($B358)))),""))),"")),64))</f>
        <v/>
      </c>
      <c r="H358" s="12"/>
      <c r="I358" s="12" t="str">
        <f>IF($D358&lt;&gt;"",COUNTIF($D$7:$D358,"="&amp;$D358),"")</f>
        <v/>
      </c>
      <c r="J358"/>
      <c r="K358" s="8"/>
      <c r="L358"/>
    </row>
    <row r="359" spans="1:12" x14ac:dyDescent="0.3">
      <c r="A359" s="1"/>
      <c r="B359" s="26"/>
      <c r="C359" s="12" t="str">
        <f>_xlfn.IFNA(IFERROR(IF(FIND("_",$B359)&gt;0,INDEX(WP!$A$2:$F$23,MATCH(LEFT($B359,FIND("_",$B359)-1),WP!$E$2:$E$23,0),1),IF(FIND("-",$B359)&gt;0,INDEX(WP!$A$2:$F$23,MATCH(LEFT($B359,FIND("_",$B359)-1),WP!$E$2:$E$23,0),1))),INDEX(WP!$A$2:$F$23,MATCH(Results!$B359,WP!$E$2:$E$23,0),1)),"")</f>
        <v/>
      </c>
      <c r="D359" s="12" t="str">
        <f>IFERROR(IFERROR(IF(RIGHT(INDEX(WP!$A$2:$F$23,MATCH(IF(FIND("_",$B359)&gt;0,LEFT($B359,FIND("_",$B359)-1)),WP!$E$2:$E$23,0),2),6)="Series",LEFT(INDEX(WP!$A$2:$F$23,MATCH(IF(FIND("_",$B359)&gt;0,LEFT($B359,FIND("_",$B359)-1)),WP!$E$2:$E$23,0),2),5),""),IF(RIGHT(INDEX(WP!$A$2:$F$23,MATCH($B359,WP!$E$2:$E$23,0),2),6)="Series",LEFT(INDEX(WP!$A$2:$F$23,MATCH($B359,WP!$E$2:$E$23,0),2),5),"")),"")</f>
        <v/>
      </c>
      <c r="E359" s="17" t="str">
        <f>IFERROR(VLOOKUP(VALUE($D359),Series!$B$3:$F$11,2,0),"")</f>
        <v/>
      </c>
      <c r="F359" s="12" t="str">
        <f>_xlfn.IFNA(IF(IF($D359&lt;&gt;"",COUNTIF($E:$E,"="&amp;$D359),"")="",IF(RIGHT(IFERROR(IF(FIND("_",$B359)&gt;0,INDEX(WP!$A$2:$F$23,MATCH(LEFT($B359,FIND("_",$B359)-1),WP!$E$2:$E$23,0),2),IF(FIND("-",$B359)&gt;0,INDEX(WP!$A$2:$F$23,MATCH(LEFT($B359,FIND("_",$B359)-1),WP!$E$2:$E$23,0),2))),INDEX(WP!$A$2:$F$23,MATCH(Results!$B359,WP!$E$2:$E$23,0),2)),6)="Series",LEFT(IFERROR(IF(FIND("_",$B359)&gt;0,INDEX(WP!$A$2:$F$23,MATCH(LEFT($B359,FIND("_",$B359)-1),WP!$E$2:$E$23,0),2),IF(FIND("-",$B359)&gt;0,INDEX(WP!$A$2:$F$23,MATCH(LEFT($B359,FIND("_",$B359)-1),WP!$E$2:$E$23,0),2))),INDEX(WP!$A$2:$F$23,MATCH(Results!$B359,WP!$E$2:$E$23,0),2)),5),(IFERROR(IF(FIND("_",$B359)&gt;0,INDEX(WP!$A$2:$F$23,MATCH(LEFT($B359,FIND("_",$B359)-1),WP!$E$2:$E$23,0),2),IF(FIND("-",$B359)&gt;0,INDEX(WP!$A$2:$F$23,MATCH(LEFT($B359,FIND("_",$B359)-1),WP!$E$2:$E$23,0),2))),INDEX(WP!$A$2:$F$23,MATCH(Results!$B359,WP!$E$2:$E$23,0),2)))),IF(RIGHT(IFERROR(IF(FIND("_",$B359)&gt;0,INDEX(WP!$A$2:$F$23,MATCH(LEFT($B359,FIND("_",$B359)-1),WP!$E$2:$E$23,0),2),IF(FIND("-",$B359)&gt;0,INDEX(WP!$A$2:$F$23,MATCH(LEFT($B359,FIND("_",$B359)-1),WP!$E$2:$E$23,0),2))),INDEX(WP!$A$2:$F$23,MATCH(Results!$B359,WP!$E$2:$E$23,0),2)),6)="Series",LEFT(IFERROR(IF(FIND("_",$B359)&gt;0,INDEX(WP!$A$2:$F$23,MATCH(LEFT($B359,FIND("_",$B359)-1),WP!$E$2:$E$23,0),2),IF(FIND("-",$B359)&gt;0,INDEX(WP!$A$2:$F$23,MATCH(LEFT($B359,FIND("_",$B359)-1),WP!$E$2:$E$23,0),2))),INDEX(WP!$A$2:$F$23,MATCH(Results!$B359,WP!$E$2:$E$23,0),2)),5),(IFERROR(IF(FIND("_",$B359)&gt;0,INDEX(WP!$A$2:$F$23,MATCH(LEFT($B359,FIND("_",$B359)-1),WP!$E$2:$E$23,0),2),IF(FIND("-",$B359)&gt;0,INDEX(WP!$A$2:$F$23,MATCH(LEFT($B359,FIND("_",$B359)-1),WP!$E$2:$E$23,0),2))),INDEX(WP!$A$2:$F$23,MATCH(Results!$B359,WP!$E$2:$E$23,0),2))))&amp;"-"&amp;$I359),"")</f>
        <v/>
      </c>
      <c r="G359" s="17" t="str">
        <f>IF(LEN(_xlfn.IFNA(IF(IFERROR(IF(FIND("_",$B359)&gt;0,MID($B359,FIND("_",$B359)+1,LEN($B359)),IF(FIND("-",$B359)&gt;0,MID($B359,FIND("-",$B359)+1,LEN($B359)))),"")="",IFERROR(VLOOKUP($F359,WP!$B$2:$C$23,2,0),VLOOKUP($C359,Series!$A$3:$F$11,6,0)),IFERROR(VLOOKUP($F359,WP!$B$2:$C$23,2,0),VLOOKUP($C359,Series!$A$3:$F$11,6,0))&amp;" - "&amp;(IFERROR(IF(FIND("_",$B359)&gt;0,MID($B359,FIND("_",$B359)+1,LEN($B359)),IF(FIND("-",$B359)&gt;0,MID($B359,FIND("-",$B359)+1,LEN($B359)))),""))),""))&lt;64,_xlfn.IFNA(IF(IFERROR(IF(FIND("_",$B359)&gt;0,MID($B359,FIND("_",$B359)+1,LEN($B359)),IF(FIND("-",$B359)&gt;0,MID($B359,FIND("-",$B359)+1,LEN($B359)))),"")="",IFERROR(VLOOKUP($F359,WP!$B$2:$C$23,2,0),VLOOKUP($C359,Series!$A$3:$F$11,6,0)),IFERROR(VLOOKUP($F359,WP!$B$2:$C$23,2,0),VLOOKUP($C359,Series!$A$3:$F$11,6,0))&amp;" - "&amp;(IFERROR(IF(FIND("_",$B359)&gt;0,MID($B359,FIND("_",$B359)+1,LEN($B359)),IF(FIND("-",$B359)&gt;0,MID($B359,FIND("-",$B359)+1,LEN($B359)))),""))),""),LEFT((_xlfn.IFNA(IF(IFERROR(IF(FIND("_",$B359)&gt;0,MID($B359,FIND("_",$B359)+1,LEN($B359)),IF(FIND("-",$B359)&gt;0,MID($B359,FIND("-",$B359)+1,LEN($B359)))),"")="",IFERROR(VLOOKUP($F359,WP!$B$2:$C$23,2,0),VLOOKUP($C359,Series!$A$3:$F$11,6,0)),IFERROR(VLOOKUP($F359,WP!$B$2:$C$23,2,0),VLOOKUP($C359,Series!$A$3:$F$11,6,0))&amp;" - "&amp;(IFERROR(IF(FIND("_",$B359)&gt;0,MID($B359,FIND("_",$B359)+1,LEN($B359)),IF(FIND("-",$B359)&gt;0,MID($B359,FIND("-",$B359)+1,LEN($B359)))),""))),"")),64))</f>
        <v/>
      </c>
      <c r="H359" s="12"/>
      <c r="I359" s="12" t="str">
        <f>IF($D359&lt;&gt;"",COUNTIF($D$7:$D359,"="&amp;$D359),"")</f>
        <v/>
      </c>
      <c r="J359"/>
      <c r="K359" s="8"/>
      <c r="L359"/>
    </row>
    <row r="360" spans="1:12" x14ac:dyDescent="0.3">
      <c r="A360" s="1"/>
      <c r="B360" s="26"/>
      <c r="C360" s="12" t="str">
        <f>_xlfn.IFNA(IFERROR(IF(FIND("_",$B360)&gt;0,INDEX(WP!$A$2:$F$23,MATCH(LEFT($B360,FIND("_",$B360)-1),WP!$E$2:$E$23,0),1),IF(FIND("-",$B360)&gt;0,INDEX(WP!$A$2:$F$23,MATCH(LEFT($B360,FIND("_",$B360)-1),WP!$E$2:$E$23,0),1))),INDEX(WP!$A$2:$F$23,MATCH(Results!$B360,WP!$E$2:$E$23,0),1)),"")</f>
        <v/>
      </c>
      <c r="D360" s="12" t="str">
        <f>IFERROR(IFERROR(IF(RIGHT(INDEX(WP!$A$2:$F$23,MATCH(IF(FIND("_",$B360)&gt;0,LEFT($B360,FIND("_",$B360)-1)),WP!$E$2:$E$23,0),2),6)="Series",LEFT(INDEX(WP!$A$2:$F$23,MATCH(IF(FIND("_",$B360)&gt;0,LEFT($B360,FIND("_",$B360)-1)),WP!$E$2:$E$23,0),2),5),""),IF(RIGHT(INDEX(WP!$A$2:$F$23,MATCH($B360,WP!$E$2:$E$23,0),2),6)="Series",LEFT(INDEX(WP!$A$2:$F$23,MATCH($B360,WP!$E$2:$E$23,0),2),5),"")),"")</f>
        <v/>
      </c>
      <c r="E360" s="17" t="str">
        <f>IFERROR(VLOOKUP(VALUE($D360),Series!$B$3:$F$11,2,0),"")</f>
        <v/>
      </c>
      <c r="F360" s="12" t="str">
        <f>_xlfn.IFNA(IF(IF($D360&lt;&gt;"",COUNTIF($E:$E,"="&amp;$D360),"")="",IF(RIGHT(IFERROR(IF(FIND("_",$B360)&gt;0,INDEX(WP!$A$2:$F$23,MATCH(LEFT($B360,FIND("_",$B360)-1),WP!$E$2:$E$23,0),2),IF(FIND("-",$B360)&gt;0,INDEX(WP!$A$2:$F$23,MATCH(LEFT($B360,FIND("_",$B360)-1),WP!$E$2:$E$23,0),2))),INDEX(WP!$A$2:$F$23,MATCH(Results!$B360,WP!$E$2:$E$23,0),2)),6)="Series",LEFT(IFERROR(IF(FIND("_",$B360)&gt;0,INDEX(WP!$A$2:$F$23,MATCH(LEFT($B360,FIND("_",$B360)-1),WP!$E$2:$E$23,0),2),IF(FIND("-",$B360)&gt;0,INDEX(WP!$A$2:$F$23,MATCH(LEFT($B360,FIND("_",$B360)-1),WP!$E$2:$E$23,0),2))),INDEX(WP!$A$2:$F$23,MATCH(Results!$B360,WP!$E$2:$E$23,0),2)),5),(IFERROR(IF(FIND("_",$B360)&gt;0,INDEX(WP!$A$2:$F$23,MATCH(LEFT($B360,FIND("_",$B360)-1),WP!$E$2:$E$23,0),2),IF(FIND("-",$B360)&gt;0,INDEX(WP!$A$2:$F$23,MATCH(LEFT($B360,FIND("_",$B360)-1),WP!$E$2:$E$23,0),2))),INDEX(WP!$A$2:$F$23,MATCH(Results!$B360,WP!$E$2:$E$23,0),2)))),IF(RIGHT(IFERROR(IF(FIND("_",$B360)&gt;0,INDEX(WP!$A$2:$F$23,MATCH(LEFT($B360,FIND("_",$B360)-1),WP!$E$2:$E$23,0),2),IF(FIND("-",$B360)&gt;0,INDEX(WP!$A$2:$F$23,MATCH(LEFT($B360,FIND("_",$B360)-1),WP!$E$2:$E$23,0),2))),INDEX(WP!$A$2:$F$23,MATCH(Results!$B360,WP!$E$2:$E$23,0),2)),6)="Series",LEFT(IFERROR(IF(FIND("_",$B360)&gt;0,INDEX(WP!$A$2:$F$23,MATCH(LEFT($B360,FIND("_",$B360)-1),WP!$E$2:$E$23,0),2),IF(FIND("-",$B360)&gt;0,INDEX(WP!$A$2:$F$23,MATCH(LEFT($B360,FIND("_",$B360)-1),WP!$E$2:$E$23,0),2))),INDEX(WP!$A$2:$F$23,MATCH(Results!$B360,WP!$E$2:$E$23,0),2)),5),(IFERROR(IF(FIND("_",$B360)&gt;0,INDEX(WP!$A$2:$F$23,MATCH(LEFT($B360,FIND("_",$B360)-1),WP!$E$2:$E$23,0),2),IF(FIND("-",$B360)&gt;0,INDEX(WP!$A$2:$F$23,MATCH(LEFT($B360,FIND("_",$B360)-1),WP!$E$2:$E$23,0),2))),INDEX(WP!$A$2:$F$23,MATCH(Results!$B360,WP!$E$2:$E$23,0),2))))&amp;"-"&amp;$I360),"")</f>
        <v/>
      </c>
      <c r="G360" s="17" t="str">
        <f>IF(LEN(_xlfn.IFNA(IF(IFERROR(IF(FIND("_",$B360)&gt;0,MID($B360,FIND("_",$B360)+1,LEN($B360)),IF(FIND("-",$B360)&gt;0,MID($B360,FIND("-",$B360)+1,LEN($B360)))),"")="",IFERROR(VLOOKUP($F360,WP!$B$2:$C$23,2,0),VLOOKUP($C360,Series!$A$3:$F$11,6,0)),IFERROR(VLOOKUP($F360,WP!$B$2:$C$23,2,0),VLOOKUP($C360,Series!$A$3:$F$11,6,0))&amp;" - "&amp;(IFERROR(IF(FIND("_",$B360)&gt;0,MID($B360,FIND("_",$B360)+1,LEN($B360)),IF(FIND("-",$B360)&gt;0,MID($B360,FIND("-",$B360)+1,LEN($B360)))),""))),""))&lt;64,_xlfn.IFNA(IF(IFERROR(IF(FIND("_",$B360)&gt;0,MID($B360,FIND("_",$B360)+1,LEN($B360)),IF(FIND("-",$B360)&gt;0,MID($B360,FIND("-",$B360)+1,LEN($B360)))),"")="",IFERROR(VLOOKUP($F360,WP!$B$2:$C$23,2,0),VLOOKUP($C360,Series!$A$3:$F$11,6,0)),IFERROR(VLOOKUP($F360,WP!$B$2:$C$23,2,0),VLOOKUP($C360,Series!$A$3:$F$11,6,0))&amp;" - "&amp;(IFERROR(IF(FIND("_",$B360)&gt;0,MID($B360,FIND("_",$B360)+1,LEN($B360)),IF(FIND("-",$B360)&gt;0,MID($B360,FIND("-",$B360)+1,LEN($B360)))),""))),""),LEFT((_xlfn.IFNA(IF(IFERROR(IF(FIND("_",$B360)&gt;0,MID($B360,FIND("_",$B360)+1,LEN($B360)),IF(FIND("-",$B360)&gt;0,MID($B360,FIND("-",$B360)+1,LEN($B360)))),"")="",IFERROR(VLOOKUP($F360,WP!$B$2:$C$23,2,0),VLOOKUP($C360,Series!$A$3:$F$11,6,0)),IFERROR(VLOOKUP($F360,WP!$B$2:$C$23,2,0),VLOOKUP($C360,Series!$A$3:$F$11,6,0))&amp;" - "&amp;(IFERROR(IF(FIND("_",$B360)&gt;0,MID($B360,FIND("_",$B360)+1,LEN($B360)),IF(FIND("-",$B360)&gt;0,MID($B360,FIND("-",$B360)+1,LEN($B360)))),""))),"")),64))</f>
        <v/>
      </c>
      <c r="H360" s="12"/>
      <c r="I360" s="12" t="str">
        <f>IF($D360&lt;&gt;"",COUNTIF($D$7:$D360,"="&amp;$D360),"")</f>
        <v/>
      </c>
      <c r="J360"/>
      <c r="K360" s="8"/>
      <c r="L360"/>
    </row>
    <row r="361" spans="1:12" x14ac:dyDescent="0.3">
      <c r="A361" s="1"/>
      <c r="B361" s="26"/>
      <c r="C361" s="12" t="str">
        <f>_xlfn.IFNA(IFERROR(IF(FIND("_",$B361)&gt;0,INDEX(WP!$A$2:$F$23,MATCH(LEFT($B361,FIND("_",$B361)-1),WP!$E$2:$E$23,0),1),IF(FIND("-",$B361)&gt;0,INDEX(WP!$A$2:$F$23,MATCH(LEFT($B361,FIND("_",$B361)-1),WP!$E$2:$E$23,0),1))),INDEX(WP!$A$2:$F$23,MATCH(Results!$B361,WP!$E$2:$E$23,0),1)),"")</f>
        <v/>
      </c>
      <c r="D361" s="12" t="str">
        <f>IFERROR(IFERROR(IF(RIGHT(INDEX(WP!$A$2:$F$23,MATCH(IF(FIND("_",$B361)&gt;0,LEFT($B361,FIND("_",$B361)-1)),WP!$E$2:$E$23,0),2),6)="Series",LEFT(INDEX(WP!$A$2:$F$23,MATCH(IF(FIND("_",$B361)&gt;0,LEFT($B361,FIND("_",$B361)-1)),WP!$E$2:$E$23,0),2),5),""),IF(RIGHT(INDEX(WP!$A$2:$F$23,MATCH($B361,WP!$E$2:$E$23,0),2),6)="Series",LEFT(INDEX(WP!$A$2:$F$23,MATCH($B361,WP!$E$2:$E$23,0),2),5),"")),"")</f>
        <v/>
      </c>
      <c r="E361" s="17" t="str">
        <f>IFERROR(VLOOKUP(VALUE($D361),Series!$B$3:$F$11,2,0),"")</f>
        <v/>
      </c>
      <c r="F361" s="12" t="str">
        <f>_xlfn.IFNA(IF(IF($D361&lt;&gt;"",COUNTIF($E:$E,"="&amp;$D361),"")="",IF(RIGHT(IFERROR(IF(FIND("_",$B361)&gt;0,INDEX(WP!$A$2:$F$23,MATCH(LEFT($B361,FIND("_",$B361)-1),WP!$E$2:$E$23,0),2),IF(FIND("-",$B361)&gt;0,INDEX(WP!$A$2:$F$23,MATCH(LEFT($B361,FIND("_",$B361)-1),WP!$E$2:$E$23,0),2))),INDEX(WP!$A$2:$F$23,MATCH(Results!$B361,WP!$E$2:$E$23,0),2)),6)="Series",LEFT(IFERROR(IF(FIND("_",$B361)&gt;0,INDEX(WP!$A$2:$F$23,MATCH(LEFT($B361,FIND("_",$B361)-1),WP!$E$2:$E$23,0),2),IF(FIND("-",$B361)&gt;0,INDEX(WP!$A$2:$F$23,MATCH(LEFT($B361,FIND("_",$B361)-1),WP!$E$2:$E$23,0),2))),INDEX(WP!$A$2:$F$23,MATCH(Results!$B361,WP!$E$2:$E$23,0),2)),5),(IFERROR(IF(FIND("_",$B361)&gt;0,INDEX(WP!$A$2:$F$23,MATCH(LEFT($B361,FIND("_",$B361)-1),WP!$E$2:$E$23,0),2),IF(FIND("-",$B361)&gt;0,INDEX(WP!$A$2:$F$23,MATCH(LEFT($B361,FIND("_",$B361)-1),WP!$E$2:$E$23,0),2))),INDEX(WP!$A$2:$F$23,MATCH(Results!$B361,WP!$E$2:$E$23,0),2)))),IF(RIGHT(IFERROR(IF(FIND("_",$B361)&gt;0,INDEX(WP!$A$2:$F$23,MATCH(LEFT($B361,FIND("_",$B361)-1),WP!$E$2:$E$23,0),2),IF(FIND("-",$B361)&gt;0,INDEX(WP!$A$2:$F$23,MATCH(LEFT($B361,FIND("_",$B361)-1),WP!$E$2:$E$23,0),2))),INDEX(WP!$A$2:$F$23,MATCH(Results!$B361,WP!$E$2:$E$23,0),2)),6)="Series",LEFT(IFERROR(IF(FIND("_",$B361)&gt;0,INDEX(WP!$A$2:$F$23,MATCH(LEFT($B361,FIND("_",$B361)-1),WP!$E$2:$E$23,0),2),IF(FIND("-",$B361)&gt;0,INDEX(WP!$A$2:$F$23,MATCH(LEFT($B361,FIND("_",$B361)-1),WP!$E$2:$E$23,0),2))),INDEX(WP!$A$2:$F$23,MATCH(Results!$B361,WP!$E$2:$E$23,0),2)),5),(IFERROR(IF(FIND("_",$B361)&gt;0,INDEX(WP!$A$2:$F$23,MATCH(LEFT($B361,FIND("_",$B361)-1),WP!$E$2:$E$23,0),2),IF(FIND("-",$B361)&gt;0,INDEX(WP!$A$2:$F$23,MATCH(LEFT($B361,FIND("_",$B361)-1),WP!$E$2:$E$23,0),2))),INDEX(WP!$A$2:$F$23,MATCH(Results!$B361,WP!$E$2:$E$23,0),2))))&amp;"-"&amp;$I361),"")</f>
        <v/>
      </c>
      <c r="G361" s="17" t="str">
        <f>IF(LEN(_xlfn.IFNA(IF(IFERROR(IF(FIND("_",$B361)&gt;0,MID($B361,FIND("_",$B361)+1,LEN($B361)),IF(FIND("-",$B361)&gt;0,MID($B361,FIND("-",$B361)+1,LEN($B361)))),"")="",IFERROR(VLOOKUP($F361,WP!$B$2:$C$23,2,0),VLOOKUP($C361,Series!$A$3:$F$11,6,0)),IFERROR(VLOOKUP($F361,WP!$B$2:$C$23,2,0),VLOOKUP($C361,Series!$A$3:$F$11,6,0))&amp;" - "&amp;(IFERROR(IF(FIND("_",$B361)&gt;0,MID($B361,FIND("_",$B361)+1,LEN($B361)),IF(FIND("-",$B361)&gt;0,MID($B361,FIND("-",$B361)+1,LEN($B361)))),""))),""))&lt;64,_xlfn.IFNA(IF(IFERROR(IF(FIND("_",$B361)&gt;0,MID($B361,FIND("_",$B361)+1,LEN($B361)),IF(FIND("-",$B361)&gt;0,MID($B361,FIND("-",$B361)+1,LEN($B361)))),"")="",IFERROR(VLOOKUP($F361,WP!$B$2:$C$23,2,0),VLOOKUP($C361,Series!$A$3:$F$11,6,0)),IFERROR(VLOOKUP($F361,WP!$B$2:$C$23,2,0),VLOOKUP($C361,Series!$A$3:$F$11,6,0))&amp;" - "&amp;(IFERROR(IF(FIND("_",$B361)&gt;0,MID($B361,FIND("_",$B361)+1,LEN($B361)),IF(FIND("-",$B361)&gt;0,MID($B361,FIND("-",$B361)+1,LEN($B361)))),""))),""),LEFT((_xlfn.IFNA(IF(IFERROR(IF(FIND("_",$B361)&gt;0,MID($B361,FIND("_",$B361)+1,LEN($B361)),IF(FIND("-",$B361)&gt;0,MID($B361,FIND("-",$B361)+1,LEN($B361)))),"")="",IFERROR(VLOOKUP($F361,WP!$B$2:$C$23,2,0),VLOOKUP($C361,Series!$A$3:$F$11,6,0)),IFERROR(VLOOKUP($F361,WP!$B$2:$C$23,2,0),VLOOKUP($C361,Series!$A$3:$F$11,6,0))&amp;" - "&amp;(IFERROR(IF(FIND("_",$B361)&gt;0,MID($B361,FIND("_",$B361)+1,LEN($B361)),IF(FIND("-",$B361)&gt;0,MID($B361,FIND("-",$B361)+1,LEN($B361)))),""))),"")),64))</f>
        <v/>
      </c>
      <c r="H361" s="12"/>
      <c r="I361" s="12" t="str">
        <f>IF($D361&lt;&gt;"",COUNTIF($D$7:$D361,"="&amp;$D361),"")</f>
        <v/>
      </c>
      <c r="J361"/>
      <c r="K361" s="8"/>
      <c r="L361"/>
    </row>
    <row r="362" spans="1:12" x14ac:dyDescent="0.3">
      <c r="A362" s="1"/>
      <c r="B362" s="26"/>
      <c r="C362" s="12" t="str">
        <f>_xlfn.IFNA(IFERROR(IF(FIND("_",$B362)&gt;0,INDEX(WP!$A$2:$F$23,MATCH(LEFT($B362,FIND("_",$B362)-1),WP!$E$2:$E$23,0),1),IF(FIND("-",$B362)&gt;0,INDEX(WP!$A$2:$F$23,MATCH(LEFT($B362,FIND("_",$B362)-1),WP!$E$2:$E$23,0),1))),INDEX(WP!$A$2:$F$23,MATCH(Results!$B362,WP!$E$2:$E$23,0),1)),"")</f>
        <v/>
      </c>
      <c r="D362" s="12" t="str">
        <f>IFERROR(IFERROR(IF(RIGHT(INDEX(WP!$A$2:$F$23,MATCH(IF(FIND("_",$B362)&gt;0,LEFT($B362,FIND("_",$B362)-1)),WP!$E$2:$E$23,0),2),6)="Series",LEFT(INDEX(WP!$A$2:$F$23,MATCH(IF(FIND("_",$B362)&gt;0,LEFT($B362,FIND("_",$B362)-1)),WP!$E$2:$E$23,0),2),5),""),IF(RIGHT(INDEX(WP!$A$2:$F$23,MATCH($B362,WP!$E$2:$E$23,0),2),6)="Series",LEFT(INDEX(WP!$A$2:$F$23,MATCH($B362,WP!$E$2:$E$23,0),2),5),"")),"")</f>
        <v/>
      </c>
      <c r="E362" s="17" t="str">
        <f>IFERROR(VLOOKUP(VALUE($D362),Series!$B$3:$F$11,2,0),"")</f>
        <v/>
      </c>
      <c r="F362" s="12" t="str">
        <f>_xlfn.IFNA(IF(IF($D362&lt;&gt;"",COUNTIF($E:$E,"="&amp;$D362),"")="",IF(RIGHT(IFERROR(IF(FIND("_",$B362)&gt;0,INDEX(WP!$A$2:$F$23,MATCH(LEFT($B362,FIND("_",$B362)-1),WP!$E$2:$E$23,0),2),IF(FIND("-",$B362)&gt;0,INDEX(WP!$A$2:$F$23,MATCH(LEFT($B362,FIND("_",$B362)-1),WP!$E$2:$E$23,0),2))),INDEX(WP!$A$2:$F$23,MATCH(Results!$B362,WP!$E$2:$E$23,0),2)),6)="Series",LEFT(IFERROR(IF(FIND("_",$B362)&gt;0,INDEX(WP!$A$2:$F$23,MATCH(LEFT($B362,FIND("_",$B362)-1),WP!$E$2:$E$23,0),2),IF(FIND("-",$B362)&gt;0,INDEX(WP!$A$2:$F$23,MATCH(LEFT($B362,FIND("_",$B362)-1),WP!$E$2:$E$23,0),2))),INDEX(WP!$A$2:$F$23,MATCH(Results!$B362,WP!$E$2:$E$23,0),2)),5),(IFERROR(IF(FIND("_",$B362)&gt;0,INDEX(WP!$A$2:$F$23,MATCH(LEFT($B362,FIND("_",$B362)-1),WP!$E$2:$E$23,0),2),IF(FIND("-",$B362)&gt;0,INDEX(WP!$A$2:$F$23,MATCH(LEFT($B362,FIND("_",$B362)-1),WP!$E$2:$E$23,0),2))),INDEX(WP!$A$2:$F$23,MATCH(Results!$B362,WP!$E$2:$E$23,0),2)))),IF(RIGHT(IFERROR(IF(FIND("_",$B362)&gt;0,INDEX(WP!$A$2:$F$23,MATCH(LEFT($B362,FIND("_",$B362)-1),WP!$E$2:$E$23,0),2),IF(FIND("-",$B362)&gt;0,INDEX(WP!$A$2:$F$23,MATCH(LEFT($B362,FIND("_",$B362)-1),WP!$E$2:$E$23,0),2))),INDEX(WP!$A$2:$F$23,MATCH(Results!$B362,WP!$E$2:$E$23,0),2)),6)="Series",LEFT(IFERROR(IF(FIND("_",$B362)&gt;0,INDEX(WP!$A$2:$F$23,MATCH(LEFT($B362,FIND("_",$B362)-1),WP!$E$2:$E$23,0),2),IF(FIND("-",$B362)&gt;0,INDEX(WP!$A$2:$F$23,MATCH(LEFT($B362,FIND("_",$B362)-1),WP!$E$2:$E$23,0),2))),INDEX(WP!$A$2:$F$23,MATCH(Results!$B362,WP!$E$2:$E$23,0),2)),5),(IFERROR(IF(FIND("_",$B362)&gt;0,INDEX(WP!$A$2:$F$23,MATCH(LEFT($B362,FIND("_",$B362)-1),WP!$E$2:$E$23,0),2),IF(FIND("-",$B362)&gt;0,INDEX(WP!$A$2:$F$23,MATCH(LEFT($B362,FIND("_",$B362)-1),WP!$E$2:$E$23,0),2))),INDEX(WP!$A$2:$F$23,MATCH(Results!$B362,WP!$E$2:$E$23,0),2))))&amp;"-"&amp;$I362),"")</f>
        <v/>
      </c>
      <c r="G362" s="17" t="str">
        <f>IF(LEN(_xlfn.IFNA(IF(IFERROR(IF(FIND("_",$B362)&gt;0,MID($B362,FIND("_",$B362)+1,LEN($B362)),IF(FIND("-",$B362)&gt;0,MID($B362,FIND("-",$B362)+1,LEN($B362)))),"")="",IFERROR(VLOOKUP($F362,WP!$B$2:$C$23,2,0),VLOOKUP($C362,Series!$A$3:$F$11,6,0)),IFERROR(VLOOKUP($F362,WP!$B$2:$C$23,2,0),VLOOKUP($C362,Series!$A$3:$F$11,6,0))&amp;" - "&amp;(IFERROR(IF(FIND("_",$B362)&gt;0,MID($B362,FIND("_",$B362)+1,LEN($B362)),IF(FIND("-",$B362)&gt;0,MID($B362,FIND("-",$B362)+1,LEN($B362)))),""))),""))&lt;64,_xlfn.IFNA(IF(IFERROR(IF(FIND("_",$B362)&gt;0,MID($B362,FIND("_",$B362)+1,LEN($B362)),IF(FIND("-",$B362)&gt;0,MID($B362,FIND("-",$B362)+1,LEN($B362)))),"")="",IFERROR(VLOOKUP($F362,WP!$B$2:$C$23,2,0),VLOOKUP($C362,Series!$A$3:$F$11,6,0)),IFERROR(VLOOKUP($F362,WP!$B$2:$C$23,2,0),VLOOKUP($C362,Series!$A$3:$F$11,6,0))&amp;" - "&amp;(IFERROR(IF(FIND("_",$B362)&gt;0,MID($B362,FIND("_",$B362)+1,LEN($B362)),IF(FIND("-",$B362)&gt;0,MID($B362,FIND("-",$B362)+1,LEN($B362)))),""))),""),LEFT((_xlfn.IFNA(IF(IFERROR(IF(FIND("_",$B362)&gt;0,MID($B362,FIND("_",$B362)+1,LEN($B362)),IF(FIND("-",$B362)&gt;0,MID($B362,FIND("-",$B362)+1,LEN($B362)))),"")="",IFERROR(VLOOKUP($F362,WP!$B$2:$C$23,2,0),VLOOKUP($C362,Series!$A$3:$F$11,6,0)),IFERROR(VLOOKUP($F362,WP!$B$2:$C$23,2,0),VLOOKUP($C362,Series!$A$3:$F$11,6,0))&amp;" - "&amp;(IFERROR(IF(FIND("_",$B362)&gt;0,MID($B362,FIND("_",$B362)+1,LEN($B362)),IF(FIND("-",$B362)&gt;0,MID($B362,FIND("-",$B362)+1,LEN($B362)))),""))),"")),64))</f>
        <v/>
      </c>
      <c r="H362" s="12"/>
      <c r="I362" s="12" t="str">
        <f>IF($D362&lt;&gt;"",COUNTIF($D$7:$D362,"="&amp;$D362),"")</f>
        <v/>
      </c>
      <c r="J362"/>
      <c r="K362" s="8"/>
      <c r="L362"/>
    </row>
    <row r="363" spans="1:12" x14ac:dyDescent="0.3">
      <c r="A363" s="1"/>
      <c r="B363" s="26"/>
      <c r="C363" s="12" t="str">
        <f>_xlfn.IFNA(IFERROR(IF(FIND("_",$B363)&gt;0,INDEX(WP!$A$2:$F$23,MATCH(LEFT($B363,FIND("_",$B363)-1),WP!$E$2:$E$23,0),1),IF(FIND("-",$B363)&gt;0,INDEX(WP!$A$2:$F$23,MATCH(LEFT($B363,FIND("_",$B363)-1),WP!$E$2:$E$23,0),1))),INDEX(WP!$A$2:$F$23,MATCH(Results!$B363,WP!$E$2:$E$23,0),1)),"")</f>
        <v/>
      </c>
      <c r="D363" s="12" t="str">
        <f>IFERROR(IFERROR(IF(RIGHT(INDEX(WP!$A$2:$F$23,MATCH(IF(FIND("_",$B363)&gt;0,LEFT($B363,FIND("_",$B363)-1)),WP!$E$2:$E$23,0),2),6)="Series",LEFT(INDEX(WP!$A$2:$F$23,MATCH(IF(FIND("_",$B363)&gt;0,LEFT($B363,FIND("_",$B363)-1)),WP!$E$2:$E$23,0),2),5),""),IF(RIGHT(INDEX(WP!$A$2:$F$23,MATCH($B363,WP!$E$2:$E$23,0),2),6)="Series",LEFT(INDEX(WP!$A$2:$F$23,MATCH($B363,WP!$E$2:$E$23,0),2),5),"")),"")</f>
        <v/>
      </c>
      <c r="E363" s="17" t="str">
        <f>IFERROR(VLOOKUP(VALUE($D363),Series!$B$3:$F$11,2,0),"")</f>
        <v/>
      </c>
      <c r="F363" s="12" t="str">
        <f>_xlfn.IFNA(IF(IF($D363&lt;&gt;"",COUNTIF($E:$E,"="&amp;$D363),"")="",IF(RIGHT(IFERROR(IF(FIND("_",$B363)&gt;0,INDEX(WP!$A$2:$F$23,MATCH(LEFT($B363,FIND("_",$B363)-1),WP!$E$2:$E$23,0),2),IF(FIND("-",$B363)&gt;0,INDEX(WP!$A$2:$F$23,MATCH(LEFT($B363,FIND("_",$B363)-1),WP!$E$2:$E$23,0),2))),INDEX(WP!$A$2:$F$23,MATCH(Results!$B363,WP!$E$2:$E$23,0),2)),6)="Series",LEFT(IFERROR(IF(FIND("_",$B363)&gt;0,INDEX(WP!$A$2:$F$23,MATCH(LEFT($B363,FIND("_",$B363)-1),WP!$E$2:$E$23,0),2),IF(FIND("-",$B363)&gt;0,INDEX(WP!$A$2:$F$23,MATCH(LEFT($B363,FIND("_",$B363)-1),WP!$E$2:$E$23,0),2))),INDEX(WP!$A$2:$F$23,MATCH(Results!$B363,WP!$E$2:$E$23,0),2)),5),(IFERROR(IF(FIND("_",$B363)&gt;0,INDEX(WP!$A$2:$F$23,MATCH(LEFT($B363,FIND("_",$B363)-1),WP!$E$2:$E$23,0),2),IF(FIND("-",$B363)&gt;0,INDEX(WP!$A$2:$F$23,MATCH(LEFT($B363,FIND("_",$B363)-1),WP!$E$2:$E$23,0),2))),INDEX(WP!$A$2:$F$23,MATCH(Results!$B363,WP!$E$2:$E$23,0),2)))),IF(RIGHT(IFERROR(IF(FIND("_",$B363)&gt;0,INDEX(WP!$A$2:$F$23,MATCH(LEFT($B363,FIND("_",$B363)-1),WP!$E$2:$E$23,0),2),IF(FIND("-",$B363)&gt;0,INDEX(WP!$A$2:$F$23,MATCH(LEFT($B363,FIND("_",$B363)-1),WP!$E$2:$E$23,0),2))),INDEX(WP!$A$2:$F$23,MATCH(Results!$B363,WP!$E$2:$E$23,0),2)),6)="Series",LEFT(IFERROR(IF(FIND("_",$B363)&gt;0,INDEX(WP!$A$2:$F$23,MATCH(LEFT($B363,FIND("_",$B363)-1),WP!$E$2:$E$23,0),2),IF(FIND("-",$B363)&gt;0,INDEX(WP!$A$2:$F$23,MATCH(LEFT($B363,FIND("_",$B363)-1),WP!$E$2:$E$23,0),2))),INDEX(WP!$A$2:$F$23,MATCH(Results!$B363,WP!$E$2:$E$23,0),2)),5),(IFERROR(IF(FIND("_",$B363)&gt;0,INDEX(WP!$A$2:$F$23,MATCH(LEFT($B363,FIND("_",$B363)-1),WP!$E$2:$E$23,0),2),IF(FIND("-",$B363)&gt;0,INDEX(WP!$A$2:$F$23,MATCH(LEFT($B363,FIND("_",$B363)-1),WP!$E$2:$E$23,0),2))),INDEX(WP!$A$2:$F$23,MATCH(Results!$B363,WP!$E$2:$E$23,0),2))))&amp;"-"&amp;$I363),"")</f>
        <v/>
      </c>
      <c r="G363" s="17" t="str">
        <f>IF(LEN(_xlfn.IFNA(IF(IFERROR(IF(FIND("_",$B363)&gt;0,MID($B363,FIND("_",$B363)+1,LEN($B363)),IF(FIND("-",$B363)&gt;0,MID($B363,FIND("-",$B363)+1,LEN($B363)))),"")="",IFERROR(VLOOKUP($F363,WP!$B$2:$C$23,2,0),VLOOKUP($C363,Series!$A$3:$F$11,6,0)),IFERROR(VLOOKUP($F363,WP!$B$2:$C$23,2,0),VLOOKUP($C363,Series!$A$3:$F$11,6,0))&amp;" - "&amp;(IFERROR(IF(FIND("_",$B363)&gt;0,MID($B363,FIND("_",$B363)+1,LEN($B363)),IF(FIND("-",$B363)&gt;0,MID($B363,FIND("-",$B363)+1,LEN($B363)))),""))),""))&lt;64,_xlfn.IFNA(IF(IFERROR(IF(FIND("_",$B363)&gt;0,MID($B363,FIND("_",$B363)+1,LEN($B363)),IF(FIND("-",$B363)&gt;0,MID($B363,FIND("-",$B363)+1,LEN($B363)))),"")="",IFERROR(VLOOKUP($F363,WP!$B$2:$C$23,2,0),VLOOKUP($C363,Series!$A$3:$F$11,6,0)),IFERROR(VLOOKUP($F363,WP!$B$2:$C$23,2,0),VLOOKUP($C363,Series!$A$3:$F$11,6,0))&amp;" - "&amp;(IFERROR(IF(FIND("_",$B363)&gt;0,MID($B363,FIND("_",$B363)+1,LEN($B363)),IF(FIND("-",$B363)&gt;0,MID($B363,FIND("-",$B363)+1,LEN($B363)))),""))),""),LEFT((_xlfn.IFNA(IF(IFERROR(IF(FIND("_",$B363)&gt;0,MID($B363,FIND("_",$B363)+1,LEN($B363)),IF(FIND("-",$B363)&gt;0,MID($B363,FIND("-",$B363)+1,LEN($B363)))),"")="",IFERROR(VLOOKUP($F363,WP!$B$2:$C$23,2,0),VLOOKUP($C363,Series!$A$3:$F$11,6,0)),IFERROR(VLOOKUP($F363,WP!$B$2:$C$23,2,0),VLOOKUP($C363,Series!$A$3:$F$11,6,0))&amp;" - "&amp;(IFERROR(IF(FIND("_",$B363)&gt;0,MID($B363,FIND("_",$B363)+1,LEN($B363)),IF(FIND("-",$B363)&gt;0,MID($B363,FIND("-",$B363)+1,LEN($B363)))),""))),"")),64))</f>
        <v/>
      </c>
      <c r="H363" s="12"/>
      <c r="I363" s="12" t="str">
        <f>IF($D363&lt;&gt;"",COUNTIF($D$7:$D363,"="&amp;$D363),"")</f>
        <v/>
      </c>
      <c r="J363"/>
      <c r="K363" s="8"/>
      <c r="L363"/>
    </row>
    <row r="364" spans="1:12" x14ac:dyDescent="0.3">
      <c r="A364" s="1"/>
      <c r="B364" s="26"/>
      <c r="C364" s="12" t="str">
        <f>_xlfn.IFNA(IFERROR(IF(FIND("_",$B364)&gt;0,INDEX(WP!$A$2:$F$23,MATCH(LEFT($B364,FIND("_",$B364)-1),WP!$E$2:$E$23,0),1),IF(FIND("-",$B364)&gt;0,INDEX(WP!$A$2:$F$23,MATCH(LEFT($B364,FIND("_",$B364)-1),WP!$E$2:$E$23,0),1))),INDEX(WP!$A$2:$F$23,MATCH(Results!$B364,WP!$E$2:$E$23,0),1)),"")</f>
        <v/>
      </c>
      <c r="D364" s="12" t="str">
        <f>IFERROR(IFERROR(IF(RIGHT(INDEX(WP!$A$2:$F$23,MATCH(IF(FIND("_",$B364)&gt;0,LEFT($B364,FIND("_",$B364)-1)),WP!$E$2:$E$23,0),2),6)="Series",LEFT(INDEX(WP!$A$2:$F$23,MATCH(IF(FIND("_",$B364)&gt;0,LEFT($B364,FIND("_",$B364)-1)),WP!$E$2:$E$23,0),2),5),""),IF(RIGHT(INDEX(WP!$A$2:$F$23,MATCH($B364,WP!$E$2:$E$23,0),2),6)="Series",LEFT(INDEX(WP!$A$2:$F$23,MATCH($B364,WP!$E$2:$E$23,0),2),5),"")),"")</f>
        <v/>
      </c>
      <c r="E364" s="17" t="str">
        <f>IFERROR(VLOOKUP(VALUE($D364),Series!$B$3:$F$11,2,0),"")</f>
        <v/>
      </c>
      <c r="F364" s="12" t="str">
        <f>_xlfn.IFNA(IF(IF($D364&lt;&gt;"",COUNTIF($E:$E,"="&amp;$D364),"")="",IF(RIGHT(IFERROR(IF(FIND("_",$B364)&gt;0,INDEX(WP!$A$2:$F$23,MATCH(LEFT($B364,FIND("_",$B364)-1),WP!$E$2:$E$23,0),2),IF(FIND("-",$B364)&gt;0,INDEX(WP!$A$2:$F$23,MATCH(LEFT($B364,FIND("_",$B364)-1),WP!$E$2:$E$23,0),2))),INDEX(WP!$A$2:$F$23,MATCH(Results!$B364,WP!$E$2:$E$23,0),2)),6)="Series",LEFT(IFERROR(IF(FIND("_",$B364)&gt;0,INDEX(WP!$A$2:$F$23,MATCH(LEFT($B364,FIND("_",$B364)-1),WP!$E$2:$E$23,0),2),IF(FIND("-",$B364)&gt;0,INDEX(WP!$A$2:$F$23,MATCH(LEFT($B364,FIND("_",$B364)-1),WP!$E$2:$E$23,0),2))),INDEX(WP!$A$2:$F$23,MATCH(Results!$B364,WP!$E$2:$E$23,0),2)),5),(IFERROR(IF(FIND("_",$B364)&gt;0,INDEX(WP!$A$2:$F$23,MATCH(LEFT($B364,FIND("_",$B364)-1),WP!$E$2:$E$23,0),2),IF(FIND("-",$B364)&gt;0,INDEX(WP!$A$2:$F$23,MATCH(LEFT($B364,FIND("_",$B364)-1),WP!$E$2:$E$23,0),2))),INDEX(WP!$A$2:$F$23,MATCH(Results!$B364,WP!$E$2:$E$23,0),2)))),IF(RIGHT(IFERROR(IF(FIND("_",$B364)&gt;0,INDEX(WP!$A$2:$F$23,MATCH(LEFT($B364,FIND("_",$B364)-1),WP!$E$2:$E$23,0),2),IF(FIND("-",$B364)&gt;0,INDEX(WP!$A$2:$F$23,MATCH(LEFT($B364,FIND("_",$B364)-1),WP!$E$2:$E$23,0),2))),INDEX(WP!$A$2:$F$23,MATCH(Results!$B364,WP!$E$2:$E$23,0),2)),6)="Series",LEFT(IFERROR(IF(FIND("_",$B364)&gt;0,INDEX(WP!$A$2:$F$23,MATCH(LEFT($B364,FIND("_",$B364)-1),WP!$E$2:$E$23,0),2),IF(FIND("-",$B364)&gt;0,INDEX(WP!$A$2:$F$23,MATCH(LEFT($B364,FIND("_",$B364)-1),WP!$E$2:$E$23,0),2))),INDEX(WP!$A$2:$F$23,MATCH(Results!$B364,WP!$E$2:$E$23,0),2)),5),(IFERROR(IF(FIND("_",$B364)&gt;0,INDEX(WP!$A$2:$F$23,MATCH(LEFT($B364,FIND("_",$B364)-1),WP!$E$2:$E$23,0),2),IF(FIND("-",$B364)&gt;0,INDEX(WP!$A$2:$F$23,MATCH(LEFT($B364,FIND("_",$B364)-1),WP!$E$2:$E$23,0),2))),INDEX(WP!$A$2:$F$23,MATCH(Results!$B364,WP!$E$2:$E$23,0),2))))&amp;"-"&amp;$I364),"")</f>
        <v/>
      </c>
      <c r="G364" s="17" t="str">
        <f>IF(LEN(_xlfn.IFNA(IF(IFERROR(IF(FIND("_",$B364)&gt;0,MID($B364,FIND("_",$B364)+1,LEN($B364)),IF(FIND("-",$B364)&gt;0,MID($B364,FIND("-",$B364)+1,LEN($B364)))),"")="",IFERROR(VLOOKUP($F364,WP!$B$2:$C$23,2,0),VLOOKUP($C364,Series!$A$3:$F$11,6,0)),IFERROR(VLOOKUP($F364,WP!$B$2:$C$23,2,0),VLOOKUP($C364,Series!$A$3:$F$11,6,0))&amp;" - "&amp;(IFERROR(IF(FIND("_",$B364)&gt;0,MID($B364,FIND("_",$B364)+1,LEN($B364)),IF(FIND("-",$B364)&gt;0,MID($B364,FIND("-",$B364)+1,LEN($B364)))),""))),""))&lt;64,_xlfn.IFNA(IF(IFERROR(IF(FIND("_",$B364)&gt;0,MID($B364,FIND("_",$B364)+1,LEN($B364)),IF(FIND("-",$B364)&gt;0,MID($B364,FIND("-",$B364)+1,LEN($B364)))),"")="",IFERROR(VLOOKUP($F364,WP!$B$2:$C$23,2,0),VLOOKUP($C364,Series!$A$3:$F$11,6,0)),IFERROR(VLOOKUP($F364,WP!$B$2:$C$23,2,0),VLOOKUP($C364,Series!$A$3:$F$11,6,0))&amp;" - "&amp;(IFERROR(IF(FIND("_",$B364)&gt;0,MID($B364,FIND("_",$B364)+1,LEN($B364)),IF(FIND("-",$B364)&gt;0,MID($B364,FIND("-",$B364)+1,LEN($B364)))),""))),""),LEFT((_xlfn.IFNA(IF(IFERROR(IF(FIND("_",$B364)&gt;0,MID($B364,FIND("_",$B364)+1,LEN($B364)),IF(FIND("-",$B364)&gt;0,MID($B364,FIND("-",$B364)+1,LEN($B364)))),"")="",IFERROR(VLOOKUP($F364,WP!$B$2:$C$23,2,0),VLOOKUP($C364,Series!$A$3:$F$11,6,0)),IFERROR(VLOOKUP($F364,WP!$B$2:$C$23,2,0),VLOOKUP($C364,Series!$A$3:$F$11,6,0))&amp;" - "&amp;(IFERROR(IF(FIND("_",$B364)&gt;0,MID($B364,FIND("_",$B364)+1,LEN($B364)),IF(FIND("-",$B364)&gt;0,MID($B364,FIND("-",$B364)+1,LEN($B364)))),""))),"")),64))</f>
        <v/>
      </c>
      <c r="H364" s="12"/>
      <c r="I364" s="12" t="str">
        <f>IF($D364&lt;&gt;"",COUNTIF($D$7:$D364,"="&amp;$D364),"")</f>
        <v/>
      </c>
      <c r="J364"/>
      <c r="K364" s="8"/>
      <c r="L364"/>
    </row>
    <row r="365" spans="1:12" x14ac:dyDescent="0.3">
      <c r="A365" s="1"/>
      <c r="B365" s="26"/>
      <c r="C365" s="12" t="str">
        <f>_xlfn.IFNA(IFERROR(IF(FIND("_",$B365)&gt;0,INDEX(WP!$A$2:$F$23,MATCH(LEFT($B365,FIND("_",$B365)-1),WP!$E$2:$E$23,0),1),IF(FIND("-",$B365)&gt;0,INDEX(WP!$A$2:$F$23,MATCH(LEFT($B365,FIND("_",$B365)-1),WP!$E$2:$E$23,0),1))),INDEX(WP!$A$2:$F$23,MATCH(Results!$B365,WP!$E$2:$E$23,0),1)),"")</f>
        <v/>
      </c>
      <c r="D365" s="12" t="str">
        <f>IFERROR(IFERROR(IF(RIGHT(INDEX(WP!$A$2:$F$23,MATCH(IF(FIND("_",$B365)&gt;0,LEFT($B365,FIND("_",$B365)-1)),WP!$E$2:$E$23,0),2),6)="Series",LEFT(INDEX(WP!$A$2:$F$23,MATCH(IF(FIND("_",$B365)&gt;0,LEFT($B365,FIND("_",$B365)-1)),WP!$E$2:$E$23,0),2),5),""),IF(RIGHT(INDEX(WP!$A$2:$F$23,MATCH($B365,WP!$E$2:$E$23,0),2),6)="Series",LEFT(INDEX(WP!$A$2:$F$23,MATCH($B365,WP!$E$2:$E$23,0),2),5),"")),"")</f>
        <v/>
      </c>
      <c r="E365" s="17" t="str">
        <f>IFERROR(VLOOKUP(VALUE($D365),Series!$B$3:$F$11,2,0),"")</f>
        <v/>
      </c>
      <c r="F365" s="12" t="str">
        <f>_xlfn.IFNA(IF(IF($D365&lt;&gt;"",COUNTIF($E:$E,"="&amp;$D365),"")="",IF(RIGHT(IFERROR(IF(FIND("_",$B365)&gt;0,INDEX(WP!$A$2:$F$23,MATCH(LEFT($B365,FIND("_",$B365)-1),WP!$E$2:$E$23,0),2),IF(FIND("-",$B365)&gt;0,INDEX(WP!$A$2:$F$23,MATCH(LEFT($B365,FIND("_",$B365)-1),WP!$E$2:$E$23,0),2))),INDEX(WP!$A$2:$F$23,MATCH(Results!$B365,WP!$E$2:$E$23,0),2)),6)="Series",LEFT(IFERROR(IF(FIND("_",$B365)&gt;0,INDEX(WP!$A$2:$F$23,MATCH(LEFT($B365,FIND("_",$B365)-1),WP!$E$2:$E$23,0),2),IF(FIND("-",$B365)&gt;0,INDEX(WP!$A$2:$F$23,MATCH(LEFT($B365,FIND("_",$B365)-1),WP!$E$2:$E$23,0),2))),INDEX(WP!$A$2:$F$23,MATCH(Results!$B365,WP!$E$2:$E$23,0),2)),5),(IFERROR(IF(FIND("_",$B365)&gt;0,INDEX(WP!$A$2:$F$23,MATCH(LEFT($B365,FIND("_",$B365)-1),WP!$E$2:$E$23,0),2),IF(FIND("-",$B365)&gt;0,INDEX(WP!$A$2:$F$23,MATCH(LEFT($B365,FIND("_",$B365)-1),WP!$E$2:$E$23,0),2))),INDEX(WP!$A$2:$F$23,MATCH(Results!$B365,WP!$E$2:$E$23,0),2)))),IF(RIGHT(IFERROR(IF(FIND("_",$B365)&gt;0,INDEX(WP!$A$2:$F$23,MATCH(LEFT($B365,FIND("_",$B365)-1),WP!$E$2:$E$23,0),2),IF(FIND("-",$B365)&gt;0,INDEX(WP!$A$2:$F$23,MATCH(LEFT($B365,FIND("_",$B365)-1),WP!$E$2:$E$23,0),2))),INDEX(WP!$A$2:$F$23,MATCH(Results!$B365,WP!$E$2:$E$23,0),2)),6)="Series",LEFT(IFERROR(IF(FIND("_",$B365)&gt;0,INDEX(WP!$A$2:$F$23,MATCH(LEFT($B365,FIND("_",$B365)-1),WP!$E$2:$E$23,0),2),IF(FIND("-",$B365)&gt;0,INDEX(WP!$A$2:$F$23,MATCH(LEFT($B365,FIND("_",$B365)-1),WP!$E$2:$E$23,0),2))),INDEX(WP!$A$2:$F$23,MATCH(Results!$B365,WP!$E$2:$E$23,0),2)),5),(IFERROR(IF(FIND("_",$B365)&gt;0,INDEX(WP!$A$2:$F$23,MATCH(LEFT($B365,FIND("_",$B365)-1),WP!$E$2:$E$23,0),2),IF(FIND("-",$B365)&gt;0,INDEX(WP!$A$2:$F$23,MATCH(LEFT($B365,FIND("_",$B365)-1),WP!$E$2:$E$23,0),2))),INDEX(WP!$A$2:$F$23,MATCH(Results!$B365,WP!$E$2:$E$23,0),2))))&amp;"-"&amp;$I365),"")</f>
        <v/>
      </c>
      <c r="G365" s="17" t="str">
        <f>IF(LEN(_xlfn.IFNA(IF(IFERROR(IF(FIND("_",$B365)&gt;0,MID($B365,FIND("_",$B365)+1,LEN($B365)),IF(FIND("-",$B365)&gt;0,MID($B365,FIND("-",$B365)+1,LEN($B365)))),"")="",IFERROR(VLOOKUP($F365,WP!$B$2:$C$23,2,0),VLOOKUP($C365,Series!$A$3:$F$11,6,0)),IFERROR(VLOOKUP($F365,WP!$B$2:$C$23,2,0),VLOOKUP($C365,Series!$A$3:$F$11,6,0))&amp;" - "&amp;(IFERROR(IF(FIND("_",$B365)&gt;0,MID($B365,FIND("_",$B365)+1,LEN($B365)),IF(FIND("-",$B365)&gt;0,MID($B365,FIND("-",$B365)+1,LEN($B365)))),""))),""))&lt;64,_xlfn.IFNA(IF(IFERROR(IF(FIND("_",$B365)&gt;0,MID($B365,FIND("_",$B365)+1,LEN($B365)),IF(FIND("-",$B365)&gt;0,MID($B365,FIND("-",$B365)+1,LEN($B365)))),"")="",IFERROR(VLOOKUP($F365,WP!$B$2:$C$23,2,0),VLOOKUP($C365,Series!$A$3:$F$11,6,0)),IFERROR(VLOOKUP($F365,WP!$B$2:$C$23,2,0),VLOOKUP($C365,Series!$A$3:$F$11,6,0))&amp;" - "&amp;(IFERROR(IF(FIND("_",$B365)&gt;0,MID($B365,FIND("_",$B365)+1,LEN($B365)),IF(FIND("-",$B365)&gt;0,MID($B365,FIND("-",$B365)+1,LEN($B365)))),""))),""),LEFT((_xlfn.IFNA(IF(IFERROR(IF(FIND("_",$B365)&gt;0,MID($B365,FIND("_",$B365)+1,LEN($B365)),IF(FIND("-",$B365)&gt;0,MID($B365,FIND("-",$B365)+1,LEN($B365)))),"")="",IFERROR(VLOOKUP($F365,WP!$B$2:$C$23,2,0),VLOOKUP($C365,Series!$A$3:$F$11,6,0)),IFERROR(VLOOKUP($F365,WP!$B$2:$C$23,2,0),VLOOKUP($C365,Series!$A$3:$F$11,6,0))&amp;" - "&amp;(IFERROR(IF(FIND("_",$B365)&gt;0,MID($B365,FIND("_",$B365)+1,LEN($B365)),IF(FIND("-",$B365)&gt;0,MID($B365,FIND("-",$B365)+1,LEN($B365)))),""))),"")),64))</f>
        <v/>
      </c>
      <c r="H365" s="12"/>
      <c r="I365" s="12" t="str">
        <f>IF($D365&lt;&gt;"",COUNTIF($D$7:$D365,"="&amp;$D365),"")</f>
        <v/>
      </c>
      <c r="J365"/>
      <c r="K365" s="8"/>
      <c r="L365"/>
    </row>
    <row r="366" spans="1:12" x14ac:dyDescent="0.3">
      <c r="A366" s="1"/>
      <c r="B366" s="26"/>
      <c r="C366" s="12" t="str">
        <f>_xlfn.IFNA(IFERROR(IF(FIND("_",$B366)&gt;0,INDEX(WP!$A$2:$F$23,MATCH(LEFT($B366,FIND("_",$B366)-1),WP!$E$2:$E$23,0),1),IF(FIND("-",$B366)&gt;0,INDEX(WP!$A$2:$F$23,MATCH(LEFT($B366,FIND("_",$B366)-1),WP!$E$2:$E$23,0),1))),INDEX(WP!$A$2:$F$23,MATCH(Results!$B366,WP!$E$2:$E$23,0),1)),"")</f>
        <v/>
      </c>
      <c r="D366" s="12" t="str">
        <f>IFERROR(IFERROR(IF(RIGHT(INDEX(WP!$A$2:$F$23,MATCH(IF(FIND("_",$B366)&gt;0,LEFT($B366,FIND("_",$B366)-1)),WP!$E$2:$E$23,0),2),6)="Series",LEFT(INDEX(WP!$A$2:$F$23,MATCH(IF(FIND("_",$B366)&gt;0,LEFT($B366,FIND("_",$B366)-1)),WP!$E$2:$E$23,0),2),5),""),IF(RIGHT(INDEX(WP!$A$2:$F$23,MATCH($B366,WP!$E$2:$E$23,0),2),6)="Series",LEFT(INDEX(WP!$A$2:$F$23,MATCH($B366,WP!$E$2:$E$23,0),2),5),"")),"")</f>
        <v/>
      </c>
      <c r="E366" s="17" t="str">
        <f>IFERROR(VLOOKUP(VALUE($D366),Series!$B$3:$F$11,2,0),"")</f>
        <v/>
      </c>
      <c r="F366" s="12" t="str">
        <f>_xlfn.IFNA(IF(IF($D366&lt;&gt;"",COUNTIF($E:$E,"="&amp;$D366),"")="",IF(RIGHT(IFERROR(IF(FIND("_",$B366)&gt;0,INDEX(WP!$A$2:$F$23,MATCH(LEFT($B366,FIND("_",$B366)-1),WP!$E$2:$E$23,0),2),IF(FIND("-",$B366)&gt;0,INDEX(WP!$A$2:$F$23,MATCH(LEFT($B366,FIND("_",$B366)-1),WP!$E$2:$E$23,0),2))),INDEX(WP!$A$2:$F$23,MATCH(Results!$B366,WP!$E$2:$E$23,0),2)),6)="Series",LEFT(IFERROR(IF(FIND("_",$B366)&gt;0,INDEX(WP!$A$2:$F$23,MATCH(LEFT($B366,FIND("_",$B366)-1),WP!$E$2:$E$23,0),2),IF(FIND("-",$B366)&gt;0,INDEX(WP!$A$2:$F$23,MATCH(LEFT($B366,FIND("_",$B366)-1),WP!$E$2:$E$23,0),2))),INDEX(WP!$A$2:$F$23,MATCH(Results!$B366,WP!$E$2:$E$23,0),2)),5),(IFERROR(IF(FIND("_",$B366)&gt;0,INDEX(WP!$A$2:$F$23,MATCH(LEFT($B366,FIND("_",$B366)-1),WP!$E$2:$E$23,0),2),IF(FIND("-",$B366)&gt;0,INDEX(WP!$A$2:$F$23,MATCH(LEFT($B366,FIND("_",$B366)-1),WP!$E$2:$E$23,0),2))),INDEX(WP!$A$2:$F$23,MATCH(Results!$B366,WP!$E$2:$E$23,0),2)))),IF(RIGHT(IFERROR(IF(FIND("_",$B366)&gt;0,INDEX(WP!$A$2:$F$23,MATCH(LEFT($B366,FIND("_",$B366)-1),WP!$E$2:$E$23,0),2),IF(FIND("-",$B366)&gt;0,INDEX(WP!$A$2:$F$23,MATCH(LEFT($B366,FIND("_",$B366)-1),WP!$E$2:$E$23,0),2))),INDEX(WP!$A$2:$F$23,MATCH(Results!$B366,WP!$E$2:$E$23,0),2)),6)="Series",LEFT(IFERROR(IF(FIND("_",$B366)&gt;0,INDEX(WP!$A$2:$F$23,MATCH(LEFT($B366,FIND("_",$B366)-1),WP!$E$2:$E$23,0),2),IF(FIND("-",$B366)&gt;0,INDEX(WP!$A$2:$F$23,MATCH(LEFT($B366,FIND("_",$B366)-1),WP!$E$2:$E$23,0),2))),INDEX(WP!$A$2:$F$23,MATCH(Results!$B366,WP!$E$2:$E$23,0),2)),5),(IFERROR(IF(FIND("_",$B366)&gt;0,INDEX(WP!$A$2:$F$23,MATCH(LEFT($B366,FIND("_",$B366)-1),WP!$E$2:$E$23,0),2),IF(FIND("-",$B366)&gt;0,INDEX(WP!$A$2:$F$23,MATCH(LEFT($B366,FIND("_",$B366)-1),WP!$E$2:$E$23,0),2))),INDEX(WP!$A$2:$F$23,MATCH(Results!$B366,WP!$E$2:$E$23,0),2))))&amp;"-"&amp;$I366),"")</f>
        <v/>
      </c>
      <c r="G366" s="17" t="str">
        <f>IF(LEN(_xlfn.IFNA(IF(IFERROR(IF(FIND("_",$B366)&gt;0,MID($B366,FIND("_",$B366)+1,LEN($B366)),IF(FIND("-",$B366)&gt;0,MID($B366,FIND("-",$B366)+1,LEN($B366)))),"")="",IFERROR(VLOOKUP($F366,WP!$B$2:$C$23,2,0),VLOOKUP($C366,Series!$A$3:$F$11,6,0)),IFERROR(VLOOKUP($F366,WP!$B$2:$C$23,2,0),VLOOKUP($C366,Series!$A$3:$F$11,6,0))&amp;" - "&amp;(IFERROR(IF(FIND("_",$B366)&gt;0,MID($B366,FIND("_",$B366)+1,LEN($B366)),IF(FIND("-",$B366)&gt;0,MID($B366,FIND("-",$B366)+1,LEN($B366)))),""))),""))&lt;64,_xlfn.IFNA(IF(IFERROR(IF(FIND("_",$B366)&gt;0,MID($B366,FIND("_",$B366)+1,LEN($B366)),IF(FIND("-",$B366)&gt;0,MID($B366,FIND("-",$B366)+1,LEN($B366)))),"")="",IFERROR(VLOOKUP($F366,WP!$B$2:$C$23,2,0),VLOOKUP($C366,Series!$A$3:$F$11,6,0)),IFERROR(VLOOKUP($F366,WP!$B$2:$C$23,2,0),VLOOKUP($C366,Series!$A$3:$F$11,6,0))&amp;" - "&amp;(IFERROR(IF(FIND("_",$B366)&gt;0,MID($B366,FIND("_",$B366)+1,LEN($B366)),IF(FIND("-",$B366)&gt;0,MID($B366,FIND("-",$B366)+1,LEN($B366)))),""))),""),LEFT((_xlfn.IFNA(IF(IFERROR(IF(FIND("_",$B366)&gt;0,MID($B366,FIND("_",$B366)+1,LEN($B366)),IF(FIND("-",$B366)&gt;0,MID($B366,FIND("-",$B366)+1,LEN($B366)))),"")="",IFERROR(VLOOKUP($F366,WP!$B$2:$C$23,2,0),VLOOKUP($C366,Series!$A$3:$F$11,6,0)),IFERROR(VLOOKUP($F366,WP!$B$2:$C$23,2,0),VLOOKUP($C366,Series!$A$3:$F$11,6,0))&amp;" - "&amp;(IFERROR(IF(FIND("_",$B366)&gt;0,MID($B366,FIND("_",$B366)+1,LEN($B366)),IF(FIND("-",$B366)&gt;0,MID($B366,FIND("-",$B366)+1,LEN($B366)))),""))),"")),64))</f>
        <v/>
      </c>
      <c r="H366" s="12"/>
      <c r="I366" s="12" t="str">
        <f>IF($D366&lt;&gt;"",COUNTIF($D$7:$D366,"="&amp;$D366),"")</f>
        <v/>
      </c>
      <c r="J366"/>
      <c r="K366" s="8"/>
      <c r="L366"/>
    </row>
    <row r="367" spans="1:12" x14ac:dyDescent="0.3">
      <c r="A367" s="1"/>
      <c r="B367" s="26"/>
      <c r="C367" s="12" t="str">
        <f>_xlfn.IFNA(IFERROR(IF(FIND("_",$B367)&gt;0,INDEX(WP!$A$2:$F$23,MATCH(LEFT($B367,FIND("_",$B367)-1),WP!$E$2:$E$23,0),1),IF(FIND("-",$B367)&gt;0,INDEX(WP!$A$2:$F$23,MATCH(LEFT($B367,FIND("_",$B367)-1),WP!$E$2:$E$23,0),1))),INDEX(WP!$A$2:$F$23,MATCH(Results!$B367,WP!$E$2:$E$23,0),1)),"")</f>
        <v/>
      </c>
      <c r="D367" s="12" t="str">
        <f>IFERROR(IFERROR(IF(RIGHT(INDEX(WP!$A$2:$F$23,MATCH(IF(FIND("_",$B367)&gt;0,LEFT($B367,FIND("_",$B367)-1)),WP!$E$2:$E$23,0),2),6)="Series",LEFT(INDEX(WP!$A$2:$F$23,MATCH(IF(FIND("_",$B367)&gt;0,LEFT($B367,FIND("_",$B367)-1)),WP!$E$2:$E$23,0),2),5),""),IF(RIGHT(INDEX(WP!$A$2:$F$23,MATCH($B367,WP!$E$2:$E$23,0),2),6)="Series",LEFT(INDEX(WP!$A$2:$F$23,MATCH($B367,WP!$E$2:$E$23,0),2),5),"")),"")</f>
        <v/>
      </c>
      <c r="E367" s="17" t="str">
        <f>IFERROR(VLOOKUP(VALUE($D367),Series!$B$3:$F$11,2,0),"")</f>
        <v/>
      </c>
      <c r="F367" s="12" t="str">
        <f>_xlfn.IFNA(IF(IF($D367&lt;&gt;"",COUNTIF($E:$E,"="&amp;$D367),"")="",IF(RIGHT(IFERROR(IF(FIND("_",$B367)&gt;0,INDEX(WP!$A$2:$F$23,MATCH(LEFT($B367,FIND("_",$B367)-1),WP!$E$2:$E$23,0),2),IF(FIND("-",$B367)&gt;0,INDEX(WP!$A$2:$F$23,MATCH(LEFT($B367,FIND("_",$B367)-1),WP!$E$2:$E$23,0),2))),INDEX(WP!$A$2:$F$23,MATCH(Results!$B367,WP!$E$2:$E$23,0),2)),6)="Series",LEFT(IFERROR(IF(FIND("_",$B367)&gt;0,INDEX(WP!$A$2:$F$23,MATCH(LEFT($B367,FIND("_",$B367)-1),WP!$E$2:$E$23,0),2),IF(FIND("-",$B367)&gt;0,INDEX(WP!$A$2:$F$23,MATCH(LEFT($B367,FIND("_",$B367)-1),WP!$E$2:$E$23,0),2))),INDEX(WP!$A$2:$F$23,MATCH(Results!$B367,WP!$E$2:$E$23,0),2)),5),(IFERROR(IF(FIND("_",$B367)&gt;0,INDEX(WP!$A$2:$F$23,MATCH(LEFT($B367,FIND("_",$B367)-1),WP!$E$2:$E$23,0),2),IF(FIND("-",$B367)&gt;0,INDEX(WP!$A$2:$F$23,MATCH(LEFT($B367,FIND("_",$B367)-1),WP!$E$2:$E$23,0),2))),INDEX(WP!$A$2:$F$23,MATCH(Results!$B367,WP!$E$2:$E$23,0),2)))),IF(RIGHT(IFERROR(IF(FIND("_",$B367)&gt;0,INDEX(WP!$A$2:$F$23,MATCH(LEFT($B367,FIND("_",$B367)-1),WP!$E$2:$E$23,0),2),IF(FIND("-",$B367)&gt;0,INDEX(WP!$A$2:$F$23,MATCH(LEFT($B367,FIND("_",$B367)-1),WP!$E$2:$E$23,0),2))),INDEX(WP!$A$2:$F$23,MATCH(Results!$B367,WP!$E$2:$E$23,0),2)),6)="Series",LEFT(IFERROR(IF(FIND("_",$B367)&gt;0,INDEX(WP!$A$2:$F$23,MATCH(LEFT($B367,FIND("_",$B367)-1),WP!$E$2:$E$23,0),2),IF(FIND("-",$B367)&gt;0,INDEX(WP!$A$2:$F$23,MATCH(LEFT($B367,FIND("_",$B367)-1),WP!$E$2:$E$23,0),2))),INDEX(WP!$A$2:$F$23,MATCH(Results!$B367,WP!$E$2:$E$23,0),2)),5),(IFERROR(IF(FIND("_",$B367)&gt;0,INDEX(WP!$A$2:$F$23,MATCH(LEFT($B367,FIND("_",$B367)-1),WP!$E$2:$E$23,0),2),IF(FIND("-",$B367)&gt;0,INDEX(WP!$A$2:$F$23,MATCH(LEFT($B367,FIND("_",$B367)-1),WP!$E$2:$E$23,0),2))),INDEX(WP!$A$2:$F$23,MATCH(Results!$B367,WP!$E$2:$E$23,0),2))))&amp;"-"&amp;$I367),"")</f>
        <v/>
      </c>
      <c r="G367" s="17" t="str">
        <f>IF(LEN(_xlfn.IFNA(IF(IFERROR(IF(FIND("_",$B367)&gt;0,MID($B367,FIND("_",$B367)+1,LEN($B367)),IF(FIND("-",$B367)&gt;0,MID($B367,FIND("-",$B367)+1,LEN($B367)))),"")="",IFERROR(VLOOKUP($F367,WP!$B$2:$C$23,2,0),VLOOKUP($C367,Series!$A$3:$F$11,6,0)),IFERROR(VLOOKUP($F367,WP!$B$2:$C$23,2,0),VLOOKUP($C367,Series!$A$3:$F$11,6,0))&amp;" - "&amp;(IFERROR(IF(FIND("_",$B367)&gt;0,MID($B367,FIND("_",$B367)+1,LEN($B367)),IF(FIND("-",$B367)&gt;0,MID($B367,FIND("-",$B367)+1,LEN($B367)))),""))),""))&lt;64,_xlfn.IFNA(IF(IFERROR(IF(FIND("_",$B367)&gt;0,MID($B367,FIND("_",$B367)+1,LEN($B367)),IF(FIND("-",$B367)&gt;0,MID($B367,FIND("-",$B367)+1,LEN($B367)))),"")="",IFERROR(VLOOKUP($F367,WP!$B$2:$C$23,2,0),VLOOKUP($C367,Series!$A$3:$F$11,6,0)),IFERROR(VLOOKUP($F367,WP!$B$2:$C$23,2,0),VLOOKUP($C367,Series!$A$3:$F$11,6,0))&amp;" - "&amp;(IFERROR(IF(FIND("_",$B367)&gt;0,MID($B367,FIND("_",$B367)+1,LEN($B367)),IF(FIND("-",$B367)&gt;0,MID($B367,FIND("-",$B367)+1,LEN($B367)))),""))),""),LEFT((_xlfn.IFNA(IF(IFERROR(IF(FIND("_",$B367)&gt;0,MID($B367,FIND("_",$B367)+1,LEN($B367)),IF(FIND("-",$B367)&gt;0,MID($B367,FIND("-",$B367)+1,LEN($B367)))),"")="",IFERROR(VLOOKUP($F367,WP!$B$2:$C$23,2,0),VLOOKUP($C367,Series!$A$3:$F$11,6,0)),IFERROR(VLOOKUP($F367,WP!$B$2:$C$23,2,0),VLOOKUP($C367,Series!$A$3:$F$11,6,0))&amp;" - "&amp;(IFERROR(IF(FIND("_",$B367)&gt;0,MID($B367,FIND("_",$B367)+1,LEN($B367)),IF(FIND("-",$B367)&gt;0,MID($B367,FIND("-",$B367)+1,LEN($B367)))),""))),"")),64))</f>
        <v/>
      </c>
      <c r="H367" s="12"/>
      <c r="I367" s="12" t="str">
        <f>IF($D367&lt;&gt;"",COUNTIF($D$7:$D367,"="&amp;$D367),"")</f>
        <v/>
      </c>
      <c r="J367"/>
      <c r="K367" s="8"/>
      <c r="L367"/>
    </row>
    <row r="368" spans="1:12" x14ac:dyDescent="0.3">
      <c r="A368" s="1"/>
      <c r="B368" s="26"/>
      <c r="C368" s="12" t="str">
        <f>_xlfn.IFNA(IFERROR(IF(FIND("_",$B368)&gt;0,INDEX(WP!$A$2:$F$23,MATCH(LEFT($B368,FIND("_",$B368)-1),WP!$E$2:$E$23,0),1),IF(FIND("-",$B368)&gt;0,INDEX(WP!$A$2:$F$23,MATCH(LEFT($B368,FIND("_",$B368)-1),WP!$E$2:$E$23,0),1))),INDEX(WP!$A$2:$F$23,MATCH(Results!$B368,WP!$E$2:$E$23,0),1)),"")</f>
        <v/>
      </c>
      <c r="D368" s="12" t="str">
        <f>IFERROR(IFERROR(IF(RIGHT(INDEX(WP!$A$2:$F$23,MATCH(IF(FIND("_",$B368)&gt;0,LEFT($B368,FIND("_",$B368)-1)),WP!$E$2:$E$23,0),2),6)="Series",LEFT(INDEX(WP!$A$2:$F$23,MATCH(IF(FIND("_",$B368)&gt;0,LEFT($B368,FIND("_",$B368)-1)),WP!$E$2:$E$23,0),2),5),""),IF(RIGHT(INDEX(WP!$A$2:$F$23,MATCH($B368,WP!$E$2:$E$23,0),2),6)="Series",LEFT(INDEX(WP!$A$2:$F$23,MATCH($B368,WP!$E$2:$E$23,0),2),5),"")),"")</f>
        <v/>
      </c>
      <c r="E368" s="17" t="str">
        <f>IFERROR(VLOOKUP(VALUE($D368),Series!$B$3:$F$11,2,0),"")</f>
        <v/>
      </c>
      <c r="F368" s="12" t="str">
        <f>_xlfn.IFNA(IF(IF($D368&lt;&gt;"",COUNTIF($E:$E,"="&amp;$D368),"")="",IF(RIGHT(IFERROR(IF(FIND("_",$B368)&gt;0,INDEX(WP!$A$2:$F$23,MATCH(LEFT($B368,FIND("_",$B368)-1),WP!$E$2:$E$23,0),2),IF(FIND("-",$B368)&gt;0,INDEX(WP!$A$2:$F$23,MATCH(LEFT($B368,FIND("_",$B368)-1),WP!$E$2:$E$23,0),2))),INDEX(WP!$A$2:$F$23,MATCH(Results!$B368,WP!$E$2:$E$23,0),2)),6)="Series",LEFT(IFERROR(IF(FIND("_",$B368)&gt;0,INDEX(WP!$A$2:$F$23,MATCH(LEFT($B368,FIND("_",$B368)-1),WP!$E$2:$E$23,0),2),IF(FIND("-",$B368)&gt;0,INDEX(WP!$A$2:$F$23,MATCH(LEFT($B368,FIND("_",$B368)-1),WP!$E$2:$E$23,0),2))),INDEX(WP!$A$2:$F$23,MATCH(Results!$B368,WP!$E$2:$E$23,0),2)),5),(IFERROR(IF(FIND("_",$B368)&gt;0,INDEX(WP!$A$2:$F$23,MATCH(LEFT($B368,FIND("_",$B368)-1),WP!$E$2:$E$23,0),2),IF(FIND("-",$B368)&gt;0,INDEX(WP!$A$2:$F$23,MATCH(LEFT($B368,FIND("_",$B368)-1),WP!$E$2:$E$23,0),2))),INDEX(WP!$A$2:$F$23,MATCH(Results!$B368,WP!$E$2:$E$23,0),2)))),IF(RIGHT(IFERROR(IF(FIND("_",$B368)&gt;0,INDEX(WP!$A$2:$F$23,MATCH(LEFT($B368,FIND("_",$B368)-1),WP!$E$2:$E$23,0),2),IF(FIND("-",$B368)&gt;0,INDEX(WP!$A$2:$F$23,MATCH(LEFT($B368,FIND("_",$B368)-1),WP!$E$2:$E$23,0),2))),INDEX(WP!$A$2:$F$23,MATCH(Results!$B368,WP!$E$2:$E$23,0),2)),6)="Series",LEFT(IFERROR(IF(FIND("_",$B368)&gt;0,INDEX(WP!$A$2:$F$23,MATCH(LEFT($B368,FIND("_",$B368)-1),WP!$E$2:$E$23,0),2),IF(FIND("-",$B368)&gt;0,INDEX(WP!$A$2:$F$23,MATCH(LEFT($B368,FIND("_",$B368)-1),WP!$E$2:$E$23,0),2))),INDEX(WP!$A$2:$F$23,MATCH(Results!$B368,WP!$E$2:$E$23,0),2)),5),(IFERROR(IF(FIND("_",$B368)&gt;0,INDEX(WP!$A$2:$F$23,MATCH(LEFT($B368,FIND("_",$B368)-1),WP!$E$2:$E$23,0),2),IF(FIND("-",$B368)&gt;0,INDEX(WP!$A$2:$F$23,MATCH(LEFT($B368,FIND("_",$B368)-1),WP!$E$2:$E$23,0),2))),INDEX(WP!$A$2:$F$23,MATCH(Results!$B368,WP!$E$2:$E$23,0),2))))&amp;"-"&amp;$I368),"")</f>
        <v/>
      </c>
      <c r="G368" s="17" t="str">
        <f>IF(LEN(_xlfn.IFNA(IF(IFERROR(IF(FIND("_",$B368)&gt;0,MID($B368,FIND("_",$B368)+1,LEN($B368)),IF(FIND("-",$B368)&gt;0,MID($B368,FIND("-",$B368)+1,LEN($B368)))),"")="",IFERROR(VLOOKUP($F368,WP!$B$2:$C$23,2,0),VLOOKUP($C368,Series!$A$3:$F$11,6,0)),IFERROR(VLOOKUP($F368,WP!$B$2:$C$23,2,0),VLOOKUP($C368,Series!$A$3:$F$11,6,0))&amp;" - "&amp;(IFERROR(IF(FIND("_",$B368)&gt;0,MID($B368,FIND("_",$B368)+1,LEN($B368)),IF(FIND("-",$B368)&gt;0,MID($B368,FIND("-",$B368)+1,LEN($B368)))),""))),""))&lt;64,_xlfn.IFNA(IF(IFERROR(IF(FIND("_",$B368)&gt;0,MID($B368,FIND("_",$B368)+1,LEN($B368)),IF(FIND("-",$B368)&gt;0,MID($B368,FIND("-",$B368)+1,LEN($B368)))),"")="",IFERROR(VLOOKUP($F368,WP!$B$2:$C$23,2,0),VLOOKUP($C368,Series!$A$3:$F$11,6,0)),IFERROR(VLOOKUP($F368,WP!$B$2:$C$23,2,0),VLOOKUP($C368,Series!$A$3:$F$11,6,0))&amp;" - "&amp;(IFERROR(IF(FIND("_",$B368)&gt;0,MID($B368,FIND("_",$B368)+1,LEN($B368)),IF(FIND("-",$B368)&gt;0,MID($B368,FIND("-",$B368)+1,LEN($B368)))),""))),""),LEFT((_xlfn.IFNA(IF(IFERROR(IF(FIND("_",$B368)&gt;0,MID($B368,FIND("_",$B368)+1,LEN($B368)),IF(FIND("-",$B368)&gt;0,MID($B368,FIND("-",$B368)+1,LEN($B368)))),"")="",IFERROR(VLOOKUP($F368,WP!$B$2:$C$23,2,0),VLOOKUP($C368,Series!$A$3:$F$11,6,0)),IFERROR(VLOOKUP($F368,WP!$B$2:$C$23,2,0),VLOOKUP($C368,Series!$A$3:$F$11,6,0))&amp;" - "&amp;(IFERROR(IF(FIND("_",$B368)&gt;0,MID($B368,FIND("_",$B368)+1,LEN($B368)),IF(FIND("-",$B368)&gt;0,MID($B368,FIND("-",$B368)+1,LEN($B368)))),""))),"")),64))</f>
        <v/>
      </c>
      <c r="H368" s="12"/>
      <c r="I368" s="12" t="str">
        <f>IF($D368&lt;&gt;"",COUNTIF($D$7:$D368,"="&amp;$D368),"")</f>
        <v/>
      </c>
      <c r="J368"/>
      <c r="K368" s="8"/>
      <c r="L368"/>
    </row>
    <row r="369" spans="1:12" x14ac:dyDescent="0.3">
      <c r="A369" s="1"/>
      <c r="B369" s="26"/>
      <c r="C369" s="12" t="str">
        <f>_xlfn.IFNA(IFERROR(IF(FIND("_",$B369)&gt;0,INDEX(WP!$A$2:$F$23,MATCH(LEFT($B369,FIND("_",$B369)-1),WP!$E$2:$E$23,0),1),IF(FIND("-",$B369)&gt;0,INDEX(WP!$A$2:$F$23,MATCH(LEFT($B369,FIND("_",$B369)-1),WP!$E$2:$E$23,0),1))),INDEX(WP!$A$2:$F$23,MATCH(Results!$B369,WP!$E$2:$E$23,0),1)),"")</f>
        <v/>
      </c>
      <c r="D369" s="12" t="str">
        <f>IFERROR(IFERROR(IF(RIGHT(INDEX(WP!$A$2:$F$23,MATCH(IF(FIND("_",$B369)&gt;0,LEFT($B369,FIND("_",$B369)-1)),WP!$E$2:$E$23,0),2),6)="Series",LEFT(INDEX(WP!$A$2:$F$23,MATCH(IF(FIND("_",$B369)&gt;0,LEFT($B369,FIND("_",$B369)-1)),WP!$E$2:$E$23,0),2),5),""),IF(RIGHT(INDEX(WP!$A$2:$F$23,MATCH($B369,WP!$E$2:$E$23,0),2),6)="Series",LEFT(INDEX(WP!$A$2:$F$23,MATCH($B369,WP!$E$2:$E$23,0),2),5),"")),"")</f>
        <v/>
      </c>
      <c r="E369" s="17" t="str">
        <f>IFERROR(VLOOKUP(VALUE($D369),Series!$B$3:$F$11,2,0),"")</f>
        <v/>
      </c>
      <c r="F369" s="12" t="str">
        <f>_xlfn.IFNA(IF(IF($D369&lt;&gt;"",COUNTIF($E:$E,"="&amp;$D369),"")="",IF(RIGHT(IFERROR(IF(FIND("_",$B369)&gt;0,INDEX(WP!$A$2:$F$23,MATCH(LEFT($B369,FIND("_",$B369)-1),WP!$E$2:$E$23,0),2),IF(FIND("-",$B369)&gt;0,INDEX(WP!$A$2:$F$23,MATCH(LEFT($B369,FIND("_",$B369)-1),WP!$E$2:$E$23,0),2))),INDEX(WP!$A$2:$F$23,MATCH(Results!$B369,WP!$E$2:$E$23,0),2)),6)="Series",LEFT(IFERROR(IF(FIND("_",$B369)&gt;0,INDEX(WP!$A$2:$F$23,MATCH(LEFT($B369,FIND("_",$B369)-1),WP!$E$2:$E$23,0),2),IF(FIND("-",$B369)&gt;0,INDEX(WP!$A$2:$F$23,MATCH(LEFT($B369,FIND("_",$B369)-1),WP!$E$2:$E$23,0),2))),INDEX(WP!$A$2:$F$23,MATCH(Results!$B369,WP!$E$2:$E$23,0),2)),5),(IFERROR(IF(FIND("_",$B369)&gt;0,INDEX(WP!$A$2:$F$23,MATCH(LEFT($B369,FIND("_",$B369)-1),WP!$E$2:$E$23,0),2),IF(FIND("-",$B369)&gt;0,INDEX(WP!$A$2:$F$23,MATCH(LEFT($B369,FIND("_",$B369)-1),WP!$E$2:$E$23,0),2))),INDEX(WP!$A$2:$F$23,MATCH(Results!$B369,WP!$E$2:$E$23,0),2)))),IF(RIGHT(IFERROR(IF(FIND("_",$B369)&gt;0,INDEX(WP!$A$2:$F$23,MATCH(LEFT($B369,FIND("_",$B369)-1),WP!$E$2:$E$23,0),2),IF(FIND("-",$B369)&gt;0,INDEX(WP!$A$2:$F$23,MATCH(LEFT($B369,FIND("_",$B369)-1),WP!$E$2:$E$23,0),2))),INDEX(WP!$A$2:$F$23,MATCH(Results!$B369,WP!$E$2:$E$23,0),2)),6)="Series",LEFT(IFERROR(IF(FIND("_",$B369)&gt;0,INDEX(WP!$A$2:$F$23,MATCH(LEFT($B369,FIND("_",$B369)-1),WP!$E$2:$E$23,0),2),IF(FIND("-",$B369)&gt;0,INDEX(WP!$A$2:$F$23,MATCH(LEFT($B369,FIND("_",$B369)-1),WP!$E$2:$E$23,0),2))),INDEX(WP!$A$2:$F$23,MATCH(Results!$B369,WP!$E$2:$E$23,0),2)),5),(IFERROR(IF(FIND("_",$B369)&gt;0,INDEX(WP!$A$2:$F$23,MATCH(LEFT($B369,FIND("_",$B369)-1),WP!$E$2:$E$23,0),2),IF(FIND("-",$B369)&gt;0,INDEX(WP!$A$2:$F$23,MATCH(LEFT($B369,FIND("_",$B369)-1),WP!$E$2:$E$23,0),2))),INDEX(WP!$A$2:$F$23,MATCH(Results!$B369,WP!$E$2:$E$23,0),2))))&amp;"-"&amp;$I369),"")</f>
        <v/>
      </c>
      <c r="G369" s="17" t="str">
        <f>IF(LEN(_xlfn.IFNA(IF(IFERROR(IF(FIND("_",$B369)&gt;0,MID($B369,FIND("_",$B369)+1,LEN($B369)),IF(FIND("-",$B369)&gt;0,MID($B369,FIND("-",$B369)+1,LEN($B369)))),"")="",IFERROR(VLOOKUP($F369,WP!$B$2:$C$23,2,0),VLOOKUP($C369,Series!$A$3:$F$11,6,0)),IFERROR(VLOOKUP($F369,WP!$B$2:$C$23,2,0),VLOOKUP($C369,Series!$A$3:$F$11,6,0))&amp;" - "&amp;(IFERROR(IF(FIND("_",$B369)&gt;0,MID($B369,FIND("_",$B369)+1,LEN($B369)),IF(FIND("-",$B369)&gt;0,MID($B369,FIND("-",$B369)+1,LEN($B369)))),""))),""))&lt;64,_xlfn.IFNA(IF(IFERROR(IF(FIND("_",$B369)&gt;0,MID($B369,FIND("_",$B369)+1,LEN($B369)),IF(FIND("-",$B369)&gt;0,MID($B369,FIND("-",$B369)+1,LEN($B369)))),"")="",IFERROR(VLOOKUP($F369,WP!$B$2:$C$23,2,0),VLOOKUP($C369,Series!$A$3:$F$11,6,0)),IFERROR(VLOOKUP($F369,WP!$B$2:$C$23,2,0),VLOOKUP($C369,Series!$A$3:$F$11,6,0))&amp;" - "&amp;(IFERROR(IF(FIND("_",$B369)&gt;0,MID($B369,FIND("_",$B369)+1,LEN($B369)),IF(FIND("-",$B369)&gt;0,MID($B369,FIND("-",$B369)+1,LEN($B369)))),""))),""),LEFT((_xlfn.IFNA(IF(IFERROR(IF(FIND("_",$B369)&gt;0,MID($B369,FIND("_",$B369)+1,LEN($B369)),IF(FIND("-",$B369)&gt;0,MID($B369,FIND("-",$B369)+1,LEN($B369)))),"")="",IFERROR(VLOOKUP($F369,WP!$B$2:$C$23,2,0),VLOOKUP($C369,Series!$A$3:$F$11,6,0)),IFERROR(VLOOKUP($F369,WP!$B$2:$C$23,2,0),VLOOKUP($C369,Series!$A$3:$F$11,6,0))&amp;" - "&amp;(IFERROR(IF(FIND("_",$B369)&gt;0,MID($B369,FIND("_",$B369)+1,LEN($B369)),IF(FIND("-",$B369)&gt;0,MID($B369,FIND("-",$B369)+1,LEN($B369)))),""))),"")),64))</f>
        <v/>
      </c>
      <c r="H369" s="12"/>
      <c r="I369" s="12" t="str">
        <f>IF($D369&lt;&gt;"",COUNTIF($D$7:$D369,"="&amp;$D369),"")</f>
        <v/>
      </c>
      <c r="J369"/>
      <c r="K369" s="8"/>
      <c r="L369"/>
    </row>
    <row r="370" spans="1:12" x14ac:dyDescent="0.3">
      <c r="A370" s="1"/>
      <c r="B370" s="26"/>
      <c r="C370" s="12" t="str">
        <f>_xlfn.IFNA(IFERROR(IF(FIND("_",$B370)&gt;0,INDEX(WP!$A$2:$F$23,MATCH(LEFT($B370,FIND("_",$B370)-1),WP!$E$2:$E$23,0),1),IF(FIND("-",$B370)&gt;0,INDEX(WP!$A$2:$F$23,MATCH(LEFT($B370,FIND("_",$B370)-1),WP!$E$2:$E$23,0),1))),INDEX(WP!$A$2:$F$23,MATCH(Results!$B370,WP!$E$2:$E$23,0),1)),"")</f>
        <v/>
      </c>
      <c r="D370" s="12" t="str">
        <f>IFERROR(IFERROR(IF(RIGHT(INDEX(WP!$A$2:$F$23,MATCH(IF(FIND("_",$B370)&gt;0,LEFT($B370,FIND("_",$B370)-1)),WP!$E$2:$E$23,0),2),6)="Series",LEFT(INDEX(WP!$A$2:$F$23,MATCH(IF(FIND("_",$B370)&gt;0,LEFT($B370,FIND("_",$B370)-1)),WP!$E$2:$E$23,0),2),5),""),IF(RIGHT(INDEX(WP!$A$2:$F$23,MATCH($B370,WP!$E$2:$E$23,0),2),6)="Series",LEFT(INDEX(WP!$A$2:$F$23,MATCH($B370,WP!$E$2:$E$23,0),2),5),"")),"")</f>
        <v/>
      </c>
      <c r="E370" s="17" t="str">
        <f>IFERROR(VLOOKUP(VALUE($D370),Series!$B$3:$F$11,2,0),"")</f>
        <v/>
      </c>
      <c r="F370" s="12" t="str">
        <f>_xlfn.IFNA(IF(IF($D370&lt;&gt;"",COUNTIF($E:$E,"="&amp;$D370),"")="",IF(RIGHT(IFERROR(IF(FIND("_",$B370)&gt;0,INDEX(WP!$A$2:$F$23,MATCH(LEFT($B370,FIND("_",$B370)-1),WP!$E$2:$E$23,0),2),IF(FIND("-",$B370)&gt;0,INDEX(WP!$A$2:$F$23,MATCH(LEFT($B370,FIND("_",$B370)-1),WP!$E$2:$E$23,0),2))),INDEX(WP!$A$2:$F$23,MATCH(Results!$B370,WP!$E$2:$E$23,0),2)),6)="Series",LEFT(IFERROR(IF(FIND("_",$B370)&gt;0,INDEX(WP!$A$2:$F$23,MATCH(LEFT($B370,FIND("_",$B370)-1),WP!$E$2:$E$23,0),2),IF(FIND("-",$B370)&gt;0,INDEX(WP!$A$2:$F$23,MATCH(LEFT($B370,FIND("_",$B370)-1),WP!$E$2:$E$23,0),2))),INDEX(WP!$A$2:$F$23,MATCH(Results!$B370,WP!$E$2:$E$23,0),2)),5),(IFERROR(IF(FIND("_",$B370)&gt;0,INDEX(WP!$A$2:$F$23,MATCH(LEFT($B370,FIND("_",$B370)-1),WP!$E$2:$E$23,0),2),IF(FIND("-",$B370)&gt;0,INDEX(WP!$A$2:$F$23,MATCH(LEFT($B370,FIND("_",$B370)-1),WP!$E$2:$E$23,0),2))),INDEX(WP!$A$2:$F$23,MATCH(Results!$B370,WP!$E$2:$E$23,0),2)))),IF(RIGHT(IFERROR(IF(FIND("_",$B370)&gt;0,INDEX(WP!$A$2:$F$23,MATCH(LEFT($B370,FIND("_",$B370)-1),WP!$E$2:$E$23,0),2),IF(FIND("-",$B370)&gt;0,INDEX(WP!$A$2:$F$23,MATCH(LEFT($B370,FIND("_",$B370)-1),WP!$E$2:$E$23,0),2))),INDEX(WP!$A$2:$F$23,MATCH(Results!$B370,WP!$E$2:$E$23,0),2)),6)="Series",LEFT(IFERROR(IF(FIND("_",$B370)&gt;0,INDEX(WP!$A$2:$F$23,MATCH(LEFT($B370,FIND("_",$B370)-1),WP!$E$2:$E$23,0),2),IF(FIND("-",$B370)&gt;0,INDEX(WP!$A$2:$F$23,MATCH(LEFT($B370,FIND("_",$B370)-1),WP!$E$2:$E$23,0),2))),INDEX(WP!$A$2:$F$23,MATCH(Results!$B370,WP!$E$2:$E$23,0),2)),5),(IFERROR(IF(FIND("_",$B370)&gt;0,INDEX(WP!$A$2:$F$23,MATCH(LEFT($B370,FIND("_",$B370)-1),WP!$E$2:$E$23,0),2),IF(FIND("-",$B370)&gt;0,INDEX(WP!$A$2:$F$23,MATCH(LEFT($B370,FIND("_",$B370)-1),WP!$E$2:$E$23,0),2))),INDEX(WP!$A$2:$F$23,MATCH(Results!$B370,WP!$E$2:$E$23,0),2))))&amp;"-"&amp;$I370),"")</f>
        <v/>
      </c>
      <c r="G370" s="17" t="str">
        <f>IF(LEN(_xlfn.IFNA(IF(IFERROR(IF(FIND("_",$B370)&gt;0,MID($B370,FIND("_",$B370)+1,LEN($B370)),IF(FIND("-",$B370)&gt;0,MID($B370,FIND("-",$B370)+1,LEN($B370)))),"")="",IFERROR(VLOOKUP($F370,WP!$B$2:$C$23,2,0),VLOOKUP($C370,Series!$A$3:$F$11,6,0)),IFERROR(VLOOKUP($F370,WP!$B$2:$C$23,2,0),VLOOKUP($C370,Series!$A$3:$F$11,6,0))&amp;" - "&amp;(IFERROR(IF(FIND("_",$B370)&gt;0,MID($B370,FIND("_",$B370)+1,LEN($B370)),IF(FIND("-",$B370)&gt;0,MID($B370,FIND("-",$B370)+1,LEN($B370)))),""))),""))&lt;64,_xlfn.IFNA(IF(IFERROR(IF(FIND("_",$B370)&gt;0,MID($B370,FIND("_",$B370)+1,LEN($B370)),IF(FIND("-",$B370)&gt;0,MID($B370,FIND("-",$B370)+1,LEN($B370)))),"")="",IFERROR(VLOOKUP($F370,WP!$B$2:$C$23,2,0),VLOOKUP($C370,Series!$A$3:$F$11,6,0)),IFERROR(VLOOKUP($F370,WP!$B$2:$C$23,2,0),VLOOKUP($C370,Series!$A$3:$F$11,6,0))&amp;" - "&amp;(IFERROR(IF(FIND("_",$B370)&gt;0,MID($B370,FIND("_",$B370)+1,LEN($B370)),IF(FIND("-",$B370)&gt;0,MID($B370,FIND("-",$B370)+1,LEN($B370)))),""))),""),LEFT((_xlfn.IFNA(IF(IFERROR(IF(FIND("_",$B370)&gt;0,MID($B370,FIND("_",$B370)+1,LEN($B370)),IF(FIND("-",$B370)&gt;0,MID($B370,FIND("-",$B370)+1,LEN($B370)))),"")="",IFERROR(VLOOKUP($F370,WP!$B$2:$C$23,2,0),VLOOKUP($C370,Series!$A$3:$F$11,6,0)),IFERROR(VLOOKUP($F370,WP!$B$2:$C$23,2,0),VLOOKUP($C370,Series!$A$3:$F$11,6,0))&amp;" - "&amp;(IFERROR(IF(FIND("_",$B370)&gt;0,MID($B370,FIND("_",$B370)+1,LEN($B370)),IF(FIND("-",$B370)&gt;0,MID($B370,FIND("-",$B370)+1,LEN($B370)))),""))),"")),64))</f>
        <v/>
      </c>
      <c r="H370" s="12"/>
      <c r="I370" s="12" t="str">
        <f>IF($D370&lt;&gt;"",COUNTIF($D$7:$D370,"="&amp;$D370),"")</f>
        <v/>
      </c>
      <c r="J370"/>
      <c r="K370" s="8"/>
      <c r="L370"/>
    </row>
    <row r="371" spans="1:12" x14ac:dyDescent="0.3">
      <c r="A371" s="1"/>
      <c r="B371" s="26"/>
      <c r="C371" s="12" t="str">
        <f>_xlfn.IFNA(IFERROR(IF(FIND("_",$B371)&gt;0,INDEX(WP!$A$2:$F$23,MATCH(LEFT($B371,FIND("_",$B371)-1),WP!$E$2:$E$23,0),1),IF(FIND("-",$B371)&gt;0,INDEX(WP!$A$2:$F$23,MATCH(LEFT($B371,FIND("_",$B371)-1),WP!$E$2:$E$23,0),1))),INDEX(WP!$A$2:$F$23,MATCH(Results!$B371,WP!$E$2:$E$23,0),1)),"")</f>
        <v/>
      </c>
      <c r="D371" s="12" t="str">
        <f>IFERROR(IFERROR(IF(RIGHT(INDEX(WP!$A$2:$F$23,MATCH(IF(FIND("_",$B371)&gt;0,LEFT($B371,FIND("_",$B371)-1)),WP!$E$2:$E$23,0),2),6)="Series",LEFT(INDEX(WP!$A$2:$F$23,MATCH(IF(FIND("_",$B371)&gt;0,LEFT($B371,FIND("_",$B371)-1)),WP!$E$2:$E$23,0),2),5),""),IF(RIGHT(INDEX(WP!$A$2:$F$23,MATCH($B371,WP!$E$2:$E$23,0),2),6)="Series",LEFT(INDEX(WP!$A$2:$F$23,MATCH($B371,WP!$E$2:$E$23,0),2),5),"")),"")</f>
        <v/>
      </c>
      <c r="E371" s="17" t="str">
        <f>IFERROR(VLOOKUP(VALUE($D371),Series!$B$3:$F$11,2,0),"")</f>
        <v/>
      </c>
      <c r="F371" s="12" t="str">
        <f>_xlfn.IFNA(IF(IF($D371&lt;&gt;"",COUNTIF($E:$E,"="&amp;$D371),"")="",IF(RIGHT(IFERROR(IF(FIND("_",$B371)&gt;0,INDEX(WP!$A$2:$F$23,MATCH(LEFT($B371,FIND("_",$B371)-1),WP!$E$2:$E$23,0),2),IF(FIND("-",$B371)&gt;0,INDEX(WP!$A$2:$F$23,MATCH(LEFT($B371,FIND("_",$B371)-1),WP!$E$2:$E$23,0),2))),INDEX(WP!$A$2:$F$23,MATCH(Results!$B371,WP!$E$2:$E$23,0),2)),6)="Series",LEFT(IFERROR(IF(FIND("_",$B371)&gt;0,INDEX(WP!$A$2:$F$23,MATCH(LEFT($B371,FIND("_",$B371)-1),WP!$E$2:$E$23,0),2),IF(FIND("-",$B371)&gt;0,INDEX(WP!$A$2:$F$23,MATCH(LEFT($B371,FIND("_",$B371)-1),WP!$E$2:$E$23,0),2))),INDEX(WP!$A$2:$F$23,MATCH(Results!$B371,WP!$E$2:$E$23,0),2)),5),(IFERROR(IF(FIND("_",$B371)&gt;0,INDEX(WP!$A$2:$F$23,MATCH(LEFT($B371,FIND("_",$B371)-1),WP!$E$2:$E$23,0),2),IF(FIND("-",$B371)&gt;0,INDEX(WP!$A$2:$F$23,MATCH(LEFT($B371,FIND("_",$B371)-1),WP!$E$2:$E$23,0),2))),INDEX(WP!$A$2:$F$23,MATCH(Results!$B371,WP!$E$2:$E$23,0),2)))),IF(RIGHT(IFERROR(IF(FIND("_",$B371)&gt;0,INDEX(WP!$A$2:$F$23,MATCH(LEFT($B371,FIND("_",$B371)-1),WP!$E$2:$E$23,0),2),IF(FIND("-",$B371)&gt;0,INDEX(WP!$A$2:$F$23,MATCH(LEFT($B371,FIND("_",$B371)-1),WP!$E$2:$E$23,0),2))),INDEX(WP!$A$2:$F$23,MATCH(Results!$B371,WP!$E$2:$E$23,0),2)),6)="Series",LEFT(IFERROR(IF(FIND("_",$B371)&gt;0,INDEX(WP!$A$2:$F$23,MATCH(LEFT($B371,FIND("_",$B371)-1),WP!$E$2:$E$23,0),2),IF(FIND("-",$B371)&gt;0,INDEX(WP!$A$2:$F$23,MATCH(LEFT($B371,FIND("_",$B371)-1),WP!$E$2:$E$23,0),2))),INDEX(WP!$A$2:$F$23,MATCH(Results!$B371,WP!$E$2:$E$23,0),2)),5),(IFERROR(IF(FIND("_",$B371)&gt;0,INDEX(WP!$A$2:$F$23,MATCH(LEFT($B371,FIND("_",$B371)-1),WP!$E$2:$E$23,0),2),IF(FIND("-",$B371)&gt;0,INDEX(WP!$A$2:$F$23,MATCH(LEFT($B371,FIND("_",$B371)-1),WP!$E$2:$E$23,0),2))),INDEX(WP!$A$2:$F$23,MATCH(Results!$B371,WP!$E$2:$E$23,0),2))))&amp;"-"&amp;$I371),"")</f>
        <v/>
      </c>
      <c r="G371" s="17" t="str">
        <f>IF(LEN(_xlfn.IFNA(IF(IFERROR(IF(FIND("_",$B371)&gt;0,MID($B371,FIND("_",$B371)+1,LEN($B371)),IF(FIND("-",$B371)&gt;0,MID($B371,FIND("-",$B371)+1,LEN($B371)))),"")="",IFERROR(VLOOKUP($F371,WP!$B$2:$C$23,2,0),VLOOKUP($C371,Series!$A$3:$F$11,6,0)),IFERROR(VLOOKUP($F371,WP!$B$2:$C$23,2,0),VLOOKUP($C371,Series!$A$3:$F$11,6,0))&amp;" - "&amp;(IFERROR(IF(FIND("_",$B371)&gt;0,MID($B371,FIND("_",$B371)+1,LEN($B371)),IF(FIND("-",$B371)&gt;0,MID($B371,FIND("-",$B371)+1,LEN($B371)))),""))),""))&lt;64,_xlfn.IFNA(IF(IFERROR(IF(FIND("_",$B371)&gt;0,MID($B371,FIND("_",$B371)+1,LEN($B371)),IF(FIND("-",$B371)&gt;0,MID($B371,FIND("-",$B371)+1,LEN($B371)))),"")="",IFERROR(VLOOKUP($F371,WP!$B$2:$C$23,2,0),VLOOKUP($C371,Series!$A$3:$F$11,6,0)),IFERROR(VLOOKUP($F371,WP!$B$2:$C$23,2,0),VLOOKUP($C371,Series!$A$3:$F$11,6,0))&amp;" - "&amp;(IFERROR(IF(FIND("_",$B371)&gt;0,MID($B371,FIND("_",$B371)+1,LEN($B371)),IF(FIND("-",$B371)&gt;0,MID($B371,FIND("-",$B371)+1,LEN($B371)))),""))),""),LEFT((_xlfn.IFNA(IF(IFERROR(IF(FIND("_",$B371)&gt;0,MID($B371,FIND("_",$B371)+1,LEN($B371)),IF(FIND("-",$B371)&gt;0,MID($B371,FIND("-",$B371)+1,LEN($B371)))),"")="",IFERROR(VLOOKUP($F371,WP!$B$2:$C$23,2,0),VLOOKUP($C371,Series!$A$3:$F$11,6,0)),IFERROR(VLOOKUP($F371,WP!$B$2:$C$23,2,0),VLOOKUP($C371,Series!$A$3:$F$11,6,0))&amp;" - "&amp;(IFERROR(IF(FIND("_",$B371)&gt;0,MID($B371,FIND("_",$B371)+1,LEN($B371)),IF(FIND("-",$B371)&gt;0,MID($B371,FIND("-",$B371)+1,LEN($B371)))),""))),"")),64))</f>
        <v/>
      </c>
      <c r="H371" s="12"/>
      <c r="I371" s="12" t="str">
        <f>IF($D371&lt;&gt;"",COUNTIF($D$7:$D371,"="&amp;$D371),"")</f>
        <v/>
      </c>
      <c r="J371"/>
      <c r="K371" s="8"/>
      <c r="L371"/>
    </row>
    <row r="372" spans="1:12" x14ac:dyDescent="0.3">
      <c r="A372" s="1"/>
      <c r="B372" s="26"/>
      <c r="C372" s="12" t="str">
        <f>_xlfn.IFNA(IFERROR(IF(FIND("_",$B372)&gt;0,INDEX(WP!$A$2:$F$23,MATCH(LEFT($B372,FIND("_",$B372)-1),WP!$E$2:$E$23,0),1),IF(FIND("-",$B372)&gt;0,INDEX(WP!$A$2:$F$23,MATCH(LEFT($B372,FIND("_",$B372)-1),WP!$E$2:$E$23,0),1))),INDEX(WP!$A$2:$F$23,MATCH(Results!$B372,WP!$E$2:$E$23,0),1)),"")</f>
        <v/>
      </c>
      <c r="D372" s="12" t="str">
        <f>IFERROR(IFERROR(IF(RIGHT(INDEX(WP!$A$2:$F$23,MATCH(IF(FIND("_",$B372)&gt;0,LEFT($B372,FIND("_",$B372)-1)),WP!$E$2:$E$23,0),2),6)="Series",LEFT(INDEX(WP!$A$2:$F$23,MATCH(IF(FIND("_",$B372)&gt;0,LEFT($B372,FIND("_",$B372)-1)),WP!$E$2:$E$23,0),2),5),""),IF(RIGHT(INDEX(WP!$A$2:$F$23,MATCH($B372,WP!$E$2:$E$23,0),2),6)="Series",LEFT(INDEX(WP!$A$2:$F$23,MATCH($B372,WP!$E$2:$E$23,0),2),5),"")),"")</f>
        <v/>
      </c>
      <c r="E372" s="17" t="str">
        <f>IFERROR(VLOOKUP(VALUE($D372),Series!$B$3:$F$11,2,0),"")</f>
        <v/>
      </c>
      <c r="F372" s="12" t="str">
        <f>_xlfn.IFNA(IF(IF($D372&lt;&gt;"",COUNTIF($E:$E,"="&amp;$D372),"")="",IF(RIGHT(IFERROR(IF(FIND("_",$B372)&gt;0,INDEX(WP!$A$2:$F$23,MATCH(LEFT($B372,FIND("_",$B372)-1),WP!$E$2:$E$23,0),2),IF(FIND("-",$B372)&gt;0,INDEX(WP!$A$2:$F$23,MATCH(LEFT($B372,FIND("_",$B372)-1),WP!$E$2:$E$23,0),2))),INDEX(WP!$A$2:$F$23,MATCH(Results!$B372,WP!$E$2:$E$23,0),2)),6)="Series",LEFT(IFERROR(IF(FIND("_",$B372)&gt;0,INDEX(WP!$A$2:$F$23,MATCH(LEFT($B372,FIND("_",$B372)-1),WP!$E$2:$E$23,0),2),IF(FIND("-",$B372)&gt;0,INDEX(WP!$A$2:$F$23,MATCH(LEFT($B372,FIND("_",$B372)-1),WP!$E$2:$E$23,0),2))),INDEX(WP!$A$2:$F$23,MATCH(Results!$B372,WP!$E$2:$E$23,0),2)),5),(IFERROR(IF(FIND("_",$B372)&gt;0,INDEX(WP!$A$2:$F$23,MATCH(LEFT($B372,FIND("_",$B372)-1),WP!$E$2:$E$23,0),2),IF(FIND("-",$B372)&gt;0,INDEX(WP!$A$2:$F$23,MATCH(LEFT($B372,FIND("_",$B372)-1),WP!$E$2:$E$23,0),2))),INDEX(WP!$A$2:$F$23,MATCH(Results!$B372,WP!$E$2:$E$23,0),2)))),IF(RIGHT(IFERROR(IF(FIND("_",$B372)&gt;0,INDEX(WP!$A$2:$F$23,MATCH(LEFT($B372,FIND("_",$B372)-1),WP!$E$2:$E$23,0),2),IF(FIND("-",$B372)&gt;0,INDEX(WP!$A$2:$F$23,MATCH(LEFT($B372,FIND("_",$B372)-1),WP!$E$2:$E$23,0),2))),INDEX(WP!$A$2:$F$23,MATCH(Results!$B372,WP!$E$2:$E$23,0),2)),6)="Series",LEFT(IFERROR(IF(FIND("_",$B372)&gt;0,INDEX(WP!$A$2:$F$23,MATCH(LEFT($B372,FIND("_",$B372)-1),WP!$E$2:$E$23,0),2),IF(FIND("-",$B372)&gt;0,INDEX(WP!$A$2:$F$23,MATCH(LEFT($B372,FIND("_",$B372)-1),WP!$E$2:$E$23,0),2))),INDEX(WP!$A$2:$F$23,MATCH(Results!$B372,WP!$E$2:$E$23,0),2)),5),(IFERROR(IF(FIND("_",$B372)&gt;0,INDEX(WP!$A$2:$F$23,MATCH(LEFT($B372,FIND("_",$B372)-1),WP!$E$2:$E$23,0),2),IF(FIND("-",$B372)&gt;0,INDEX(WP!$A$2:$F$23,MATCH(LEFT($B372,FIND("_",$B372)-1),WP!$E$2:$E$23,0),2))),INDEX(WP!$A$2:$F$23,MATCH(Results!$B372,WP!$E$2:$E$23,0),2))))&amp;"-"&amp;$I372),"")</f>
        <v/>
      </c>
      <c r="G372" s="17" t="str">
        <f>IF(LEN(_xlfn.IFNA(IF(IFERROR(IF(FIND("_",$B372)&gt;0,MID($B372,FIND("_",$B372)+1,LEN($B372)),IF(FIND("-",$B372)&gt;0,MID($B372,FIND("-",$B372)+1,LEN($B372)))),"")="",IFERROR(VLOOKUP($F372,WP!$B$2:$C$23,2,0),VLOOKUP($C372,Series!$A$3:$F$11,6,0)),IFERROR(VLOOKUP($F372,WP!$B$2:$C$23,2,0),VLOOKUP($C372,Series!$A$3:$F$11,6,0))&amp;" - "&amp;(IFERROR(IF(FIND("_",$B372)&gt;0,MID($B372,FIND("_",$B372)+1,LEN($B372)),IF(FIND("-",$B372)&gt;0,MID($B372,FIND("-",$B372)+1,LEN($B372)))),""))),""))&lt;64,_xlfn.IFNA(IF(IFERROR(IF(FIND("_",$B372)&gt;0,MID($B372,FIND("_",$B372)+1,LEN($B372)),IF(FIND("-",$B372)&gt;0,MID($B372,FIND("-",$B372)+1,LEN($B372)))),"")="",IFERROR(VLOOKUP($F372,WP!$B$2:$C$23,2,0),VLOOKUP($C372,Series!$A$3:$F$11,6,0)),IFERROR(VLOOKUP($F372,WP!$B$2:$C$23,2,0),VLOOKUP($C372,Series!$A$3:$F$11,6,0))&amp;" - "&amp;(IFERROR(IF(FIND("_",$B372)&gt;0,MID($B372,FIND("_",$B372)+1,LEN($B372)),IF(FIND("-",$B372)&gt;0,MID($B372,FIND("-",$B372)+1,LEN($B372)))),""))),""),LEFT((_xlfn.IFNA(IF(IFERROR(IF(FIND("_",$B372)&gt;0,MID($B372,FIND("_",$B372)+1,LEN($B372)),IF(FIND("-",$B372)&gt;0,MID($B372,FIND("-",$B372)+1,LEN($B372)))),"")="",IFERROR(VLOOKUP($F372,WP!$B$2:$C$23,2,0),VLOOKUP($C372,Series!$A$3:$F$11,6,0)),IFERROR(VLOOKUP($F372,WP!$B$2:$C$23,2,0),VLOOKUP($C372,Series!$A$3:$F$11,6,0))&amp;" - "&amp;(IFERROR(IF(FIND("_",$B372)&gt;0,MID($B372,FIND("_",$B372)+1,LEN($B372)),IF(FIND("-",$B372)&gt;0,MID($B372,FIND("-",$B372)+1,LEN($B372)))),""))),"")),64))</f>
        <v/>
      </c>
      <c r="H372" s="12"/>
      <c r="I372" s="12" t="str">
        <f>IF($D372&lt;&gt;"",COUNTIF($D$7:$D372,"="&amp;$D372),"")</f>
        <v/>
      </c>
      <c r="J372"/>
      <c r="K372" s="8"/>
      <c r="L372"/>
    </row>
    <row r="373" spans="1:12" x14ac:dyDescent="0.3">
      <c r="A373" s="1"/>
      <c r="B373" s="26"/>
      <c r="C373" s="12" t="str">
        <f>_xlfn.IFNA(IFERROR(IF(FIND("_",$B373)&gt;0,INDEX(WP!$A$2:$F$23,MATCH(LEFT($B373,FIND("_",$B373)-1),WP!$E$2:$E$23,0),1),IF(FIND("-",$B373)&gt;0,INDEX(WP!$A$2:$F$23,MATCH(LEFT($B373,FIND("_",$B373)-1),WP!$E$2:$E$23,0),1))),INDEX(WP!$A$2:$F$23,MATCH(Results!$B373,WP!$E$2:$E$23,0),1)),"")</f>
        <v/>
      </c>
      <c r="D373" s="12" t="str">
        <f>IFERROR(IFERROR(IF(RIGHT(INDEX(WP!$A$2:$F$23,MATCH(IF(FIND("_",$B373)&gt;0,LEFT($B373,FIND("_",$B373)-1)),WP!$E$2:$E$23,0),2),6)="Series",LEFT(INDEX(WP!$A$2:$F$23,MATCH(IF(FIND("_",$B373)&gt;0,LEFT($B373,FIND("_",$B373)-1)),WP!$E$2:$E$23,0),2),5),""),IF(RIGHT(INDEX(WP!$A$2:$F$23,MATCH($B373,WP!$E$2:$E$23,0),2),6)="Series",LEFT(INDEX(WP!$A$2:$F$23,MATCH($B373,WP!$E$2:$E$23,0),2),5),"")),"")</f>
        <v/>
      </c>
      <c r="E373" s="17" t="str">
        <f>IFERROR(VLOOKUP(VALUE($D373),Series!$B$3:$F$11,2,0),"")</f>
        <v/>
      </c>
      <c r="F373" s="12" t="str">
        <f>_xlfn.IFNA(IF(IF($D373&lt;&gt;"",COUNTIF($E:$E,"="&amp;$D373),"")="",IF(RIGHT(IFERROR(IF(FIND("_",$B373)&gt;0,INDEX(WP!$A$2:$F$23,MATCH(LEFT($B373,FIND("_",$B373)-1),WP!$E$2:$E$23,0),2),IF(FIND("-",$B373)&gt;0,INDEX(WP!$A$2:$F$23,MATCH(LEFT($B373,FIND("_",$B373)-1),WP!$E$2:$E$23,0),2))),INDEX(WP!$A$2:$F$23,MATCH(Results!$B373,WP!$E$2:$E$23,0),2)),6)="Series",LEFT(IFERROR(IF(FIND("_",$B373)&gt;0,INDEX(WP!$A$2:$F$23,MATCH(LEFT($B373,FIND("_",$B373)-1),WP!$E$2:$E$23,0),2),IF(FIND("-",$B373)&gt;0,INDEX(WP!$A$2:$F$23,MATCH(LEFT($B373,FIND("_",$B373)-1),WP!$E$2:$E$23,0),2))),INDEX(WP!$A$2:$F$23,MATCH(Results!$B373,WP!$E$2:$E$23,0),2)),5),(IFERROR(IF(FIND("_",$B373)&gt;0,INDEX(WP!$A$2:$F$23,MATCH(LEFT($B373,FIND("_",$B373)-1),WP!$E$2:$E$23,0),2),IF(FIND("-",$B373)&gt;0,INDEX(WP!$A$2:$F$23,MATCH(LEFT($B373,FIND("_",$B373)-1),WP!$E$2:$E$23,0),2))),INDEX(WP!$A$2:$F$23,MATCH(Results!$B373,WP!$E$2:$E$23,0),2)))),IF(RIGHT(IFERROR(IF(FIND("_",$B373)&gt;0,INDEX(WP!$A$2:$F$23,MATCH(LEFT($B373,FIND("_",$B373)-1),WP!$E$2:$E$23,0),2),IF(FIND("-",$B373)&gt;0,INDEX(WP!$A$2:$F$23,MATCH(LEFT($B373,FIND("_",$B373)-1),WP!$E$2:$E$23,0),2))),INDEX(WP!$A$2:$F$23,MATCH(Results!$B373,WP!$E$2:$E$23,0),2)),6)="Series",LEFT(IFERROR(IF(FIND("_",$B373)&gt;0,INDEX(WP!$A$2:$F$23,MATCH(LEFT($B373,FIND("_",$B373)-1),WP!$E$2:$E$23,0),2),IF(FIND("-",$B373)&gt;0,INDEX(WP!$A$2:$F$23,MATCH(LEFT($B373,FIND("_",$B373)-1),WP!$E$2:$E$23,0),2))),INDEX(WP!$A$2:$F$23,MATCH(Results!$B373,WP!$E$2:$E$23,0),2)),5),(IFERROR(IF(FIND("_",$B373)&gt;0,INDEX(WP!$A$2:$F$23,MATCH(LEFT($B373,FIND("_",$B373)-1),WP!$E$2:$E$23,0),2),IF(FIND("-",$B373)&gt;0,INDEX(WP!$A$2:$F$23,MATCH(LEFT($B373,FIND("_",$B373)-1),WP!$E$2:$E$23,0),2))),INDEX(WP!$A$2:$F$23,MATCH(Results!$B373,WP!$E$2:$E$23,0),2))))&amp;"-"&amp;$I373),"")</f>
        <v/>
      </c>
      <c r="G373" s="17" t="str">
        <f>IF(LEN(_xlfn.IFNA(IF(IFERROR(IF(FIND("_",$B373)&gt;0,MID($B373,FIND("_",$B373)+1,LEN($B373)),IF(FIND("-",$B373)&gt;0,MID($B373,FIND("-",$B373)+1,LEN($B373)))),"")="",IFERROR(VLOOKUP($F373,WP!$B$2:$C$23,2,0),VLOOKUP($C373,Series!$A$3:$F$11,6,0)),IFERROR(VLOOKUP($F373,WP!$B$2:$C$23,2,0),VLOOKUP($C373,Series!$A$3:$F$11,6,0))&amp;" - "&amp;(IFERROR(IF(FIND("_",$B373)&gt;0,MID($B373,FIND("_",$B373)+1,LEN($B373)),IF(FIND("-",$B373)&gt;0,MID($B373,FIND("-",$B373)+1,LEN($B373)))),""))),""))&lt;64,_xlfn.IFNA(IF(IFERROR(IF(FIND("_",$B373)&gt;0,MID($B373,FIND("_",$B373)+1,LEN($B373)),IF(FIND("-",$B373)&gt;0,MID($B373,FIND("-",$B373)+1,LEN($B373)))),"")="",IFERROR(VLOOKUP($F373,WP!$B$2:$C$23,2,0),VLOOKUP($C373,Series!$A$3:$F$11,6,0)),IFERROR(VLOOKUP($F373,WP!$B$2:$C$23,2,0),VLOOKUP($C373,Series!$A$3:$F$11,6,0))&amp;" - "&amp;(IFERROR(IF(FIND("_",$B373)&gt;0,MID($B373,FIND("_",$B373)+1,LEN($B373)),IF(FIND("-",$B373)&gt;0,MID($B373,FIND("-",$B373)+1,LEN($B373)))),""))),""),LEFT((_xlfn.IFNA(IF(IFERROR(IF(FIND("_",$B373)&gt;0,MID($B373,FIND("_",$B373)+1,LEN($B373)),IF(FIND("-",$B373)&gt;0,MID($B373,FIND("-",$B373)+1,LEN($B373)))),"")="",IFERROR(VLOOKUP($F373,WP!$B$2:$C$23,2,0),VLOOKUP($C373,Series!$A$3:$F$11,6,0)),IFERROR(VLOOKUP($F373,WP!$B$2:$C$23,2,0),VLOOKUP($C373,Series!$A$3:$F$11,6,0))&amp;" - "&amp;(IFERROR(IF(FIND("_",$B373)&gt;0,MID($B373,FIND("_",$B373)+1,LEN($B373)),IF(FIND("-",$B373)&gt;0,MID($B373,FIND("-",$B373)+1,LEN($B373)))),""))),"")),64))</f>
        <v/>
      </c>
      <c r="H373" s="12"/>
      <c r="I373" s="12" t="str">
        <f>IF($D373&lt;&gt;"",COUNTIF($D$7:$D373,"="&amp;$D373),"")</f>
        <v/>
      </c>
      <c r="J373"/>
      <c r="K373" s="8"/>
      <c r="L373"/>
    </row>
    <row r="374" spans="1:12" x14ac:dyDescent="0.3">
      <c r="A374" s="1"/>
      <c r="B374" s="26"/>
      <c r="C374" s="12" t="str">
        <f>_xlfn.IFNA(IFERROR(IF(FIND("_",$B374)&gt;0,INDEX(WP!$A$2:$F$23,MATCH(LEFT($B374,FIND("_",$B374)-1),WP!$E$2:$E$23,0),1),IF(FIND("-",$B374)&gt;0,INDEX(WP!$A$2:$F$23,MATCH(LEFT($B374,FIND("_",$B374)-1),WP!$E$2:$E$23,0),1))),INDEX(WP!$A$2:$F$23,MATCH(Results!$B374,WP!$E$2:$E$23,0),1)),"")</f>
        <v/>
      </c>
      <c r="D374" s="12" t="str">
        <f>IFERROR(IFERROR(IF(RIGHT(INDEX(WP!$A$2:$F$23,MATCH(IF(FIND("_",$B374)&gt;0,LEFT($B374,FIND("_",$B374)-1)),WP!$E$2:$E$23,0),2),6)="Series",LEFT(INDEX(WP!$A$2:$F$23,MATCH(IF(FIND("_",$B374)&gt;0,LEFT($B374,FIND("_",$B374)-1)),WP!$E$2:$E$23,0),2),5),""),IF(RIGHT(INDEX(WP!$A$2:$F$23,MATCH($B374,WP!$E$2:$E$23,0),2),6)="Series",LEFT(INDEX(WP!$A$2:$F$23,MATCH($B374,WP!$E$2:$E$23,0),2),5),"")),"")</f>
        <v/>
      </c>
      <c r="E374" s="17" t="str">
        <f>IFERROR(VLOOKUP(VALUE($D374),Series!$B$3:$F$11,2,0),"")</f>
        <v/>
      </c>
      <c r="F374" s="12" t="str">
        <f>_xlfn.IFNA(IF(IF($D374&lt;&gt;"",COUNTIF($E:$E,"="&amp;$D374),"")="",IF(RIGHT(IFERROR(IF(FIND("_",$B374)&gt;0,INDEX(WP!$A$2:$F$23,MATCH(LEFT($B374,FIND("_",$B374)-1),WP!$E$2:$E$23,0),2),IF(FIND("-",$B374)&gt;0,INDEX(WP!$A$2:$F$23,MATCH(LEFT($B374,FIND("_",$B374)-1),WP!$E$2:$E$23,0),2))),INDEX(WP!$A$2:$F$23,MATCH(Results!$B374,WP!$E$2:$E$23,0),2)),6)="Series",LEFT(IFERROR(IF(FIND("_",$B374)&gt;0,INDEX(WP!$A$2:$F$23,MATCH(LEFT($B374,FIND("_",$B374)-1),WP!$E$2:$E$23,0),2),IF(FIND("-",$B374)&gt;0,INDEX(WP!$A$2:$F$23,MATCH(LEFT($B374,FIND("_",$B374)-1),WP!$E$2:$E$23,0),2))),INDEX(WP!$A$2:$F$23,MATCH(Results!$B374,WP!$E$2:$E$23,0),2)),5),(IFERROR(IF(FIND("_",$B374)&gt;0,INDEX(WP!$A$2:$F$23,MATCH(LEFT($B374,FIND("_",$B374)-1),WP!$E$2:$E$23,0),2),IF(FIND("-",$B374)&gt;0,INDEX(WP!$A$2:$F$23,MATCH(LEFT($B374,FIND("_",$B374)-1),WP!$E$2:$E$23,0),2))),INDEX(WP!$A$2:$F$23,MATCH(Results!$B374,WP!$E$2:$E$23,0),2)))),IF(RIGHT(IFERROR(IF(FIND("_",$B374)&gt;0,INDEX(WP!$A$2:$F$23,MATCH(LEFT($B374,FIND("_",$B374)-1),WP!$E$2:$E$23,0),2),IF(FIND("-",$B374)&gt;0,INDEX(WP!$A$2:$F$23,MATCH(LEFT($B374,FIND("_",$B374)-1),WP!$E$2:$E$23,0),2))),INDEX(WP!$A$2:$F$23,MATCH(Results!$B374,WP!$E$2:$E$23,0),2)),6)="Series",LEFT(IFERROR(IF(FIND("_",$B374)&gt;0,INDEX(WP!$A$2:$F$23,MATCH(LEFT($B374,FIND("_",$B374)-1),WP!$E$2:$E$23,0),2),IF(FIND("-",$B374)&gt;0,INDEX(WP!$A$2:$F$23,MATCH(LEFT($B374,FIND("_",$B374)-1),WP!$E$2:$E$23,0),2))),INDEX(WP!$A$2:$F$23,MATCH(Results!$B374,WP!$E$2:$E$23,0),2)),5),(IFERROR(IF(FIND("_",$B374)&gt;0,INDEX(WP!$A$2:$F$23,MATCH(LEFT($B374,FIND("_",$B374)-1),WP!$E$2:$E$23,0),2),IF(FIND("-",$B374)&gt;0,INDEX(WP!$A$2:$F$23,MATCH(LEFT($B374,FIND("_",$B374)-1),WP!$E$2:$E$23,0),2))),INDEX(WP!$A$2:$F$23,MATCH(Results!$B374,WP!$E$2:$E$23,0),2))))&amp;"-"&amp;$I374),"")</f>
        <v/>
      </c>
      <c r="G374" s="17" t="str">
        <f>IF(LEN(_xlfn.IFNA(IF(IFERROR(IF(FIND("_",$B374)&gt;0,MID($B374,FIND("_",$B374)+1,LEN($B374)),IF(FIND("-",$B374)&gt;0,MID($B374,FIND("-",$B374)+1,LEN($B374)))),"")="",IFERROR(VLOOKUP($F374,WP!$B$2:$C$23,2,0),VLOOKUP($C374,Series!$A$3:$F$11,6,0)),IFERROR(VLOOKUP($F374,WP!$B$2:$C$23,2,0),VLOOKUP($C374,Series!$A$3:$F$11,6,0))&amp;" - "&amp;(IFERROR(IF(FIND("_",$B374)&gt;0,MID($B374,FIND("_",$B374)+1,LEN($B374)),IF(FIND("-",$B374)&gt;0,MID($B374,FIND("-",$B374)+1,LEN($B374)))),""))),""))&lt;64,_xlfn.IFNA(IF(IFERROR(IF(FIND("_",$B374)&gt;0,MID($B374,FIND("_",$B374)+1,LEN($B374)),IF(FIND("-",$B374)&gt;0,MID($B374,FIND("-",$B374)+1,LEN($B374)))),"")="",IFERROR(VLOOKUP($F374,WP!$B$2:$C$23,2,0),VLOOKUP($C374,Series!$A$3:$F$11,6,0)),IFERROR(VLOOKUP($F374,WP!$B$2:$C$23,2,0),VLOOKUP($C374,Series!$A$3:$F$11,6,0))&amp;" - "&amp;(IFERROR(IF(FIND("_",$B374)&gt;0,MID($B374,FIND("_",$B374)+1,LEN($B374)),IF(FIND("-",$B374)&gt;0,MID($B374,FIND("-",$B374)+1,LEN($B374)))),""))),""),LEFT((_xlfn.IFNA(IF(IFERROR(IF(FIND("_",$B374)&gt;0,MID($B374,FIND("_",$B374)+1,LEN($B374)),IF(FIND("-",$B374)&gt;0,MID($B374,FIND("-",$B374)+1,LEN($B374)))),"")="",IFERROR(VLOOKUP($F374,WP!$B$2:$C$23,2,0),VLOOKUP($C374,Series!$A$3:$F$11,6,0)),IFERROR(VLOOKUP($F374,WP!$B$2:$C$23,2,0),VLOOKUP($C374,Series!$A$3:$F$11,6,0))&amp;" - "&amp;(IFERROR(IF(FIND("_",$B374)&gt;0,MID($B374,FIND("_",$B374)+1,LEN($B374)),IF(FIND("-",$B374)&gt;0,MID($B374,FIND("-",$B374)+1,LEN($B374)))),""))),"")),64))</f>
        <v/>
      </c>
      <c r="H374" s="12"/>
      <c r="I374" s="12" t="str">
        <f>IF($D374&lt;&gt;"",COUNTIF($D$7:$D374,"="&amp;$D374),"")</f>
        <v/>
      </c>
      <c r="J374"/>
      <c r="K374" s="8"/>
      <c r="L374"/>
    </row>
    <row r="375" spans="1:12" x14ac:dyDescent="0.3">
      <c r="A375" s="1"/>
      <c r="B375" s="26"/>
      <c r="C375" s="12" t="str">
        <f>_xlfn.IFNA(IFERROR(IF(FIND("_",$B375)&gt;0,INDEX(WP!$A$2:$F$23,MATCH(LEFT($B375,FIND("_",$B375)-1),WP!$E$2:$E$23,0),1),IF(FIND("-",$B375)&gt;0,INDEX(WP!$A$2:$F$23,MATCH(LEFT($B375,FIND("_",$B375)-1),WP!$E$2:$E$23,0),1))),INDEX(WP!$A$2:$F$23,MATCH(Results!$B375,WP!$E$2:$E$23,0),1)),"")</f>
        <v/>
      </c>
      <c r="D375" s="12" t="str">
        <f>IFERROR(IFERROR(IF(RIGHT(INDEX(WP!$A$2:$F$23,MATCH(IF(FIND("_",$B375)&gt;0,LEFT($B375,FIND("_",$B375)-1)),WP!$E$2:$E$23,0),2),6)="Series",LEFT(INDEX(WP!$A$2:$F$23,MATCH(IF(FIND("_",$B375)&gt;0,LEFT($B375,FIND("_",$B375)-1)),WP!$E$2:$E$23,0),2),5),""),IF(RIGHT(INDEX(WP!$A$2:$F$23,MATCH($B375,WP!$E$2:$E$23,0),2),6)="Series",LEFT(INDEX(WP!$A$2:$F$23,MATCH($B375,WP!$E$2:$E$23,0),2),5),"")),"")</f>
        <v/>
      </c>
      <c r="E375" s="17" t="str">
        <f>IFERROR(VLOOKUP(VALUE($D375),Series!$B$3:$F$11,2,0),"")</f>
        <v/>
      </c>
      <c r="F375" s="12" t="str">
        <f>_xlfn.IFNA(IF(IF($D375&lt;&gt;"",COUNTIF($E:$E,"="&amp;$D375),"")="",IF(RIGHT(IFERROR(IF(FIND("_",$B375)&gt;0,INDEX(WP!$A$2:$F$23,MATCH(LEFT($B375,FIND("_",$B375)-1),WP!$E$2:$E$23,0),2),IF(FIND("-",$B375)&gt;0,INDEX(WP!$A$2:$F$23,MATCH(LEFT($B375,FIND("_",$B375)-1),WP!$E$2:$E$23,0),2))),INDEX(WP!$A$2:$F$23,MATCH(Results!$B375,WP!$E$2:$E$23,0),2)),6)="Series",LEFT(IFERROR(IF(FIND("_",$B375)&gt;0,INDEX(WP!$A$2:$F$23,MATCH(LEFT($B375,FIND("_",$B375)-1),WP!$E$2:$E$23,0),2),IF(FIND("-",$B375)&gt;0,INDEX(WP!$A$2:$F$23,MATCH(LEFT($B375,FIND("_",$B375)-1),WP!$E$2:$E$23,0),2))),INDEX(WP!$A$2:$F$23,MATCH(Results!$B375,WP!$E$2:$E$23,0),2)),5),(IFERROR(IF(FIND("_",$B375)&gt;0,INDEX(WP!$A$2:$F$23,MATCH(LEFT($B375,FIND("_",$B375)-1),WP!$E$2:$E$23,0),2),IF(FIND("-",$B375)&gt;0,INDEX(WP!$A$2:$F$23,MATCH(LEFT($B375,FIND("_",$B375)-1),WP!$E$2:$E$23,0),2))),INDEX(WP!$A$2:$F$23,MATCH(Results!$B375,WP!$E$2:$E$23,0),2)))),IF(RIGHT(IFERROR(IF(FIND("_",$B375)&gt;0,INDEX(WP!$A$2:$F$23,MATCH(LEFT($B375,FIND("_",$B375)-1),WP!$E$2:$E$23,0),2),IF(FIND("-",$B375)&gt;0,INDEX(WP!$A$2:$F$23,MATCH(LEFT($B375,FIND("_",$B375)-1),WP!$E$2:$E$23,0),2))),INDEX(WP!$A$2:$F$23,MATCH(Results!$B375,WP!$E$2:$E$23,0),2)),6)="Series",LEFT(IFERROR(IF(FIND("_",$B375)&gt;0,INDEX(WP!$A$2:$F$23,MATCH(LEFT($B375,FIND("_",$B375)-1),WP!$E$2:$E$23,0),2),IF(FIND("-",$B375)&gt;0,INDEX(WP!$A$2:$F$23,MATCH(LEFT($B375,FIND("_",$B375)-1),WP!$E$2:$E$23,0),2))),INDEX(WP!$A$2:$F$23,MATCH(Results!$B375,WP!$E$2:$E$23,0),2)),5),(IFERROR(IF(FIND("_",$B375)&gt;0,INDEX(WP!$A$2:$F$23,MATCH(LEFT($B375,FIND("_",$B375)-1),WP!$E$2:$E$23,0),2),IF(FIND("-",$B375)&gt;0,INDEX(WP!$A$2:$F$23,MATCH(LEFT($B375,FIND("_",$B375)-1),WP!$E$2:$E$23,0),2))),INDEX(WP!$A$2:$F$23,MATCH(Results!$B375,WP!$E$2:$E$23,0),2))))&amp;"-"&amp;$I375),"")</f>
        <v/>
      </c>
      <c r="G375" s="17" t="str">
        <f>IF(LEN(_xlfn.IFNA(IF(IFERROR(IF(FIND("_",$B375)&gt;0,MID($B375,FIND("_",$B375)+1,LEN($B375)),IF(FIND("-",$B375)&gt;0,MID($B375,FIND("-",$B375)+1,LEN($B375)))),"")="",IFERROR(VLOOKUP($F375,WP!$B$2:$C$23,2,0),VLOOKUP($C375,Series!$A$3:$F$11,6,0)),IFERROR(VLOOKUP($F375,WP!$B$2:$C$23,2,0),VLOOKUP($C375,Series!$A$3:$F$11,6,0))&amp;" - "&amp;(IFERROR(IF(FIND("_",$B375)&gt;0,MID($B375,FIND("_",$B375)+1,LEN($B375)),IF(FIND("-",$B375)&gt;0,MID($B375,FIND("-",$B375)+1,LEN($B375)))),""))),""))&lt;64,_xlfn.IFNA(IF(IFERROR(IF(FIND("_",$B375)&gt;0,MID($B375,FIND("_",$B375)+1,LEN($B375)),IF(FIND("-",$B375)&gt;0,MID($B375,FIND("-",$B375)+1,LEN($B375)))),"")="",IFERROR(VLOOKUP($F375,WP!$B$2:$C$23,2,0),VLOOKUP($C375,Series!$A$3:$F$11,6,0)),IFERROR(VLOOKUP($F375,WP!$B$2:$C$23,2,0),VLOOKUP($C375,Series!$A$3:$F$11,6,0))&amp;" - "&amp;(IFERROR(IF(FIND("_",$B375)&gt;0,MID($B375,FIND("_",$B375)+1,LEN($B375)),IF(FIND("-",$B375)&gt;0,MID($B375,FIND("-",$B375)+1,LEN($B375)))),""))),""),LEFT((_xlfn.IFNA(IF(IFERROR(IF(FIND("_",$B375)&gt;0,MID($B375,FIND("_",$B375)+1,LEN($B375)),IF(FIND("-",$B375)&gt;0,MID($B375,FIND("-",$B375)+1,LEN($B375)))),"")="",IFERROR(VLOOKUP($F375,WP!$B$2:$C$23,2,0),VLOOKUP($C375,Series!$A$3:$F$11,6,0)),IFERROR(VLOOKUP($F375,WP!$B$2:$C$23,2,0),VLOOKUP($C375,Series!$A$3:$F$11,6,0))&amp;" - "&amp;(IFERROR(IF(FIND("_",$B375)&gt;0,MID($B375,FIND("_",$B375)+1,LEN($B375)),IF(FIND("-",$B375)&gt;0,MID($B375,FIND("-",$B375)+1,LEN($B375)))),""))),"")),64))</f>
        <v/>
      </c>
      <c r="H375" s="12"/>
      <c r="I375" s="12" t="str">
        <f>IF($D375&lt;&gt;"",COUNTIF($D$7:$D375,"="&amp;$D375),"")</f>
        <v/>
      </c>
      <c r="J375"/>
      <c r="K375" s="8"/>
      <c r="L375"/>
    </row>
    <row r="376" spans="1:12" x14ac:dyDescent="0.3">
      <c r="A376" s="1"/>
      <c r="B376" s="26"/>
      <c r="C376" s="12" t="str">
        <f>_xlfn.IFNA(IFERROR(IF(FIND("_",$B376)&gt;0,INDEX(WP!$A$2:$F$23,MATCH(LEFT($B376,FIND("_",$B376)-1),WP!$E$2:$E$23,0),1),IF(FIND("-",$B376)&gt;0,INDEX(WP!$A$2:$F$23,MATCH(LEFT($B376,FIND("_",$B376)-1),WP!$E$2:$E$23,0),1))),INDEX(WP!$A$2:$F$23,MATCH(Results!$B376,WP!$E$2:$E$23,0),1)),"")</f>
        <v/>
      </c>
      <c r="D376" s="12" t="str">
        <f>IFERROR(IFERROR(IF(RIGHT(INDEX(WP!$A$2:$F$23,MATCH(IF(FIND("_",$B376)&gt;0,LEFT($B376,FIND("_",$B376)-1)),WP!$E$2:$E$23,0),2),6)="Series",LEFT(INDEX(WP!$A$2:$F$23,MATCH(IF(FIND("_",$B376)&gt;0,LEFT($B376,FIND("_",$B376)-1)),WP!$E$2:$E$23,0),2),5),""),IF(RIGHT(INDEX(WP!$A$2:$F$23,MATCH($B376,WP!$E$2:$E$23,0),2),6)="Series",LEFT(INDEX(WP!$A$2:$F$23,MATCH($B376,WP!$E$2:$E$23,0),2),5),"")),"")</f>
        <v/>
      </c>
      <c r="E376" s="17" t="str">
        <f>IFERROR(VLOOKUP(VALUE($D376),Series!$B$3:$F$11,2,0),"")</f>
        <v/>
      </c>
      <c r="F376" s="12" t="str">
        <f>_xlfn.IFNA(IF(IF($D376&lt;&gt;"",COUNTIF($E:$E,"="&amp;$D376),"")="",IF(RIGHT(IFERROR(IF(FIND("_",$B376)&gt;0,INDEX(WP!$A$2:$F$23,MATCH(LEFT($B376,FIND("_",$B376)-1),WP!$E$2:$E$23,0),2),IF(FIND("-",$B376)&gt;0,INDEX(WP!$A$2:$F$23,MATCH(LEFT($B376,FIND("_",$B376)-1),WP!$E$2:$E$23,0),2))),INDEX(WP!$A$2:$F$23,MATCH(Results!$B376,WP!$E$2:$E$23,0),2)),6)="Series",LEFT(IFERROR(IF(FIND("_",$B376)&gt;0,INDEX(WP!$A$2:$F$23,MATCH(LEFT($B376,FIND("_",$B376)-1),WP!$E$2:$E$23,0),2),IF(FIND("-",$B376)&gt;0,INDEX(WP!$A$2:$F$23,MATCH(LEFT($B376,FIND("_",$B376)-1),WP!$E$2:$E$23,0),2))),INDEX(WP!$A$2:$F$23,MATCH(Results!$B376,WP!$E$2:$E$23,0),2)),5),(IFERROR(IF(FIND("_",$B376)&gt;0,INDEX(WP!$A$2:$F$23,MATCH(LEFT($B376,FIND("_",$B376)-1),WP!$E$2:$E$23,0),2),IF(FIND("-",$B376)&gt;0,INDEX(WP!$A$2:$F$23,MATCH(LEFT($B376,FIND("_",$B376)-1),WP!$E$2:$E$23,0),2))),INDEX(WP!$A$2:$F$23,MATCH(Results!$B376,WP!$E$2:$E$23,0),2)))),IF(RIGHT(IFERROR(IF(FIND("_",$B376)&gt;0,INDEX(WP!$A$2:$F$23,MATCH(LEFT($B376,FIND("_",$B376)-1),WP!$E$2:$E$23,0),2),IF(FIND("-",$B376)&gt;0,INDEX(WP!$A$2:$F$23,MATCH(LEFT($B376,FIND("_",$B376)-1),WP!$E$2:$E$23,0),2))),INDEX(WP!$A$2:$F$23,MATCH(Results!$B376,WP!$E$2:$E$23,0),2)),6)="Series",LEFT(IFERROR(IF(FIND("_",$B376)&gt;0,INDEX(WP!$A$2:$F$23,MATCH(LEFT($B376,FIND("_",$B376)-1),WP!$E$2:$E$23,0),2),IF(FIND("-",$B376)&gt;0,INDEX(WP!$A$2:$F$23,MATCH(LEFT($B376,FIND("_",$B376)-1),WP!$E$2:$E$23,0),2))),INDEX(WP!$A$2:$F$23,MATCH(Results!$B376,WP!$E$2:$E$23,0),2)),5),(IFERROR(IF(FIND("_",$B376)&gt;0,INDEX(WP!$A$2:$F$23,MATCH(LEFT($B376,FIND("_",$B376)-1),WP!$E$2:$E$23,0),2),IF(FIND("-",$B376)&gt;0,INDEX(WP!$A$2:$F$23,MATCH(LEFT($B376,FIND("_",$B376)-1),WP!$E$2:$E$23,0),2))),INDEX(WP!$A$2:$F$23,MATCH(Results!$B376,WP!$E$2:$E$23,0),2))))&amp;"-"&amp;$I376),"")</f>
        <v/>
      </c>
      <c r="G376" s="17" t="str">
        <f>IF(LEN(_xlfn.IFNA(IF(IFERROR(IF(FIND("_",$B376)&gt;0,MID($B376,FIND("_",$B376)+1,LEN($B376)),IF(FIND("-",$B376)&gt;0,MID($B376,FIND("-",$B376)+1,LEN($B376)))),"")="",IFERROR(VLOOKUP($F376,WP!$B$2:$C$23,2,0),VLOOKUP($C376,Series!$A$3:$F$11,6,0)),IFERROR(VLOOKUP($F376,WP!$B$2:$C$23,2,0),VLOOKUP($C376,Series!$A$3:$F$11,6,0))&amp;" - "&amp;(IFERROR(IF(FIND("_",$B376)&gt;0,MID($B376,FIND("_",$B376)+1,LEN($B376)),IF(FIND("-",$B376)&gt;0,MID($B376,FIND("-",$B376)+1,LEN($B376)))),""))),""))&lt;64,_xlfn.IFNA(IF(IFERROR(IF(FIND("_",$B376)&gt;0,MID($B376,FIND("_",$B376)+1,LEN($B376)),IF(FIND("-",$B376)&gt;0,MID($B376,FIND("-",$B376)+1,LEN($B376)))),"")="",IFERROR(VLOOKUP($F376,WP!$B$2:$C$23,2,0),VLOOKUP($C376,Series!$A$3:$F$11,6,0)),IFERROR(VLOOKUP($F376,WP!$B$2:$C$23,2,0),VLOOKUP($C376,Series!$A$3:$F$11,6,0))&amp;" - "&amp;(IFERROR(IF(FIND("_",$B376)&gt;0,MID($B376,FIND("_",$B376)+1,LEN($B376)),IF(FIND("-",$B376)&gt;0,MID($B376,FIND("-",$B376)+1,LEN($B376)))),""))),""),LEFT((_xlfn.IFNA(IF(IFERROR(IF(FIND("_",$B376)&gt;0,MID($B376,FIND("_",$B376)+1,LEN($B376)),IF(FIND("-",$B376)&gt;0,MID($B376,FIND("-",$B376)+1,LEN($B376)))),"")="",IFERROR(VLOOKUP($F376,WP!$B$2:$C$23,2,0),VLOOKUP($C376,Series!$A$3:$F$11,6,0)),IFERROR(VLOOKUP($F376,WP!$B$2:$C$23,2,0),VLOOKUP($C376,Series!$A$3:$F$11,6,0))&amp;" - "&amp;(IFERROR(IF(FIND("_",$B376)&gt;0,MID($B376,FIND("_",$B376)+1,LEN($B376)),IF(FIND("-",$B376)&gt;0,MID($B376,FIND("-",$B376)+1,LEN($B376)))),""))),"")),64))</f>
        <v/>
      </c>
      <c r="H376" s="12"/>
      <c r="I376" s="12" t="str">
        <f>IF($D376&lt;&gt;"",COUNTIF($D$7:$D376,"="&amp;$D376),"")</f>
        <v/>
      </c>
      <c r="J376"/>
      <c r="K376" s="8"/>
      <c r="L376"/>
    </row>
    <row r="377" spans="1:12" x14ac:dyDescent="0.3">
      <c r="A377" s="1"/>
      <c r="B377" s="26"/>
      <c r="C377" s="12" t="str">
        <f>_xlfn.IFNA(IFERROR(IF(FIND("_",$B377)&gt;0,INDEX(WP!$A$2:$F$23,MATCH(LEFT($B377,FIND("_",$B377)-1),WP!$E$2:$E$23,0),1),IF(FIND("-",$B377)&gt;0,INDEX(WP!$A$2:$F$23,MATCH(LEFT($B377,FIND("_",$B377)-1),WP!$E$2:$E$23,0),1))),INDEX(WP!$A$2:$F$23,MATCH(Results!$B377,WP!$E$2:$E$23,0),1)),"")</f>
        <v/>
      </c>
      <c r="D377" s="12" t="str">
        <f>IFERROR(IFERROR(IF(RIGHT(INDEX(WP!$A$2:$F$23,MATCH(IF(FIND("_",$B377)&gt;0,LEFT($B377,FIND("_",$B377)-1)),WP!$E$2:$E$23,0),2),6)="Series",LEFT(INDEX(WP!$A$2:$F$23,MATCH(IF(FIND("_",$B377)&gt;0,LEFT($B377,FIND("_",$B377)-1)),WP!$E$2:$E$23,0),2),5),""),IF(RIGHT(INDEX(WP!$A$2:$F$23,MATCH($B377,WP!$E$2:$E$23,0),2),6)="Series",LEFT(INDEX(WP!$A$2:$F$23,MATCH($B377,WP!$E$2:$E$23,0),2),5),"")),"")</f>
        <v/>
      </c>
      <c r="E377" s="17" t="str">
        <f>IFERROR(VLOOKUP(VALUE($D377),Series!$B$3:$F$11,2,0),"")</f>
        <v/>
      </c>
      <c r="F377" s="12" t="str">
        <f>_xlfn.IFNA(IF(IF($D377&lt;&gt;"",COUNTIF($E:$E,"="&amp;$D377),"")="",IF(RIGHT(IFERROR(IF(FIND("_",$B377)&gt;0,INDEX(WP!$A$2:$F$23,MATCH(LEFT($B377,FIND("_",$B377)-1),WP!$E$2:$E$23,0),2),IF(FIND("-",$B377)&gt;0,INDEX(WP!$A$2:$F$23,MATCH(LEFT($B377,FIND("_",$B377)-1),WP!$E$2:$E$23,0),2))),INDEX(WP!$A$2:$F$23,MATCH(Results!$B377,WP!$E$2:$E$23,0),2)),6)="Series",LEFT(IFERROR(IF(FIND("_",$B377)&gt;0,INDEX(WP!$A$2:$F$23,MATCH(LEFT($B377,FIND("_",$B377)-1),WP!$E$2:$E$23,0),2),IF(FIND("-",$B377)&gt;0,INDEX(WP!$A$2:$F$23,MATCH(LEFT($B377,FIND("_",$B377)-1),WP!$E$2:$E$23,0),2))),INDEX(WP!$A$2:$F$23,MATCH(Results!$B377,WP!$E$2:$E$23,0),2)),5),(IFERROR(IF(FIND("_",$B377)&gt;0,INDEX(WP!$A$2:$F$23,MATCH(LEFT($B377,FIND("_",$B377)-1),WP!$E$2:$E$23,0),2),IF(FIND("-",$B377)&gt;0,INDEX(WP!$A$2:$F$23,MATCH(LEFT($B377,FIND("_",$B377)-1),WP!$E$2:$E$23,0),2))),INDEX(WP!$A$2:$F$23,MATCH(Results!$B377,WP!$E$2:$E$23,0),2)))),IF(RIGHT(IFERROR(IF(FIND("_",$B377)&gt;0,INDEX(WP!$A$2:$F$23,MATCH(LEFT($B377,FIND("_",$B377)-1),WP!$E$2:$E$23,0),2),IF(FIND("-",$B377)&gt;0,INDEX(WP!$A$2:$F$23,MATCH(LEFT($B377,FIND("_",$B377)-1),WP!$E$2:$E$23,0),2))),INDEX(WP!$A$2:$F$23,MATCH(Results!$B377,WP!$E$2:$E$23,0),2)),6)="Series",LEFT(IFERROR(IF(FIND("_",$B377)&gt;0,INDEX(WP!$A$2:$F$23,MATCH(LEFT($B377,FIND("_",$B377)-1),WP!$E$2:$E$23,0),2),IF(FIND("-",$B377)&gt;0,INDEX(WP!$A$2:$F$23,MATCH(LEFT($B377,FIND("_",$B377)-1),WP!$E$2:$E$23,0),2))),INDEX(WP!$A$2:$F$23,MATCH(Results!$B377,WP!$E$2:$E$23,0),2)),5),(IFERROR(IF(FIND("_",$B377)&gt;0,INDEX(WP!$A$2:$F$23,MATCH(LEFT($B377,FIND("_",$B377)-1),WP!$E$2:$E$23,0),2),IF(FIND("-",$B377)&gt;0,INDEX(WP!$A$2:$F$23,MATCH(LEFT($B377,FIND("_",$B377)-1),WP!$E$2:$E$23,0),2))),INDEX(WP!$A$2:$F$23,MATCH(Results!$B377,WP!$E$2:$E$23,0),2))))&amp;"-"&amp;$I377),"")</f>
        <v/>
      </c>
      <c r="G377" s="17" t="str">
        <f>IF(LEN(_xlfn.IFNA(IF(IFERROR(IF(FIND("_",$B377)&gt;0,MID($B377,FIND("_",$B377)+1,LEN($B377)),IF(FIND("-",$B377)&gt;0,MID($B377,FIND("-",$B377)+1,LEN($B377)))),"")="",IFERROR(VLOOKUP($F377,WP!$B$2:$C$23,2,0),VLOOKUP($C377,Series!$A$3:$F$11,6,0)),IFERROR(VLOOKUP($F377,WP!$B$2:$C$23,2,0),VLOOKUP($C377,Series!$A$3:$F$11,6,0))&amp;" - "&amp;(IFERROR(IF(FIND("_",$B377)&gt;0,MID($B377,FIND("_",$B377)+1,LEN($B377)),IF(FIND("-",$B377)&gt;0,MID($B377,FIND("-",$B377)+1,LEN($B377)))),""))),""))&lt;64,_xlfn.IFNA(IF(IFERROR(IF(FIND("_",$B377)&gt;0,MID($B377,FIND("_",$B377)+1,LEN($B377)),IF(FIND("-",$B377)&gt;0,MID($B377,FIND("-",$B377)+1,LEN($B377)))),"")="",IFERROR(VLOOKUP($F377,WP!$B$2:$C$23,2,0),VLOOKUP($C377,Series!$A$3:$F$11,6,0)),IFERROR(VLOOKUP($F377,WP!$B$2:$C$23,2,0),VLOOKUP($C377,Series!$A$3:$F$11,6,0))&amp;" - "&amp;(IFERROR(IF(FIND("_",$B377)&gt;0,MID($B377,FIND("_",$B377)+1,LEN($B377)),IF(FIND("-",$B377)&gt;0,MID($B377,FIND("-",$B377)+1,LEN($B377)))),""))),""),LEFT((_xlfn.IFNA(IF(IFERROR(IF(FIND("_",$B377)&gt;0,MID($B377,FIND("_",$B377)+1,LEN($B377)),IF(FIND("-",$B377)&gt;0,MID($B377,FIND("-",$B377)+1,LEN($B377)))),"")="",IFERROR(VLOOKUP($F377,WP!$B$2:$C$23,2,0),VLOOKUP($C377,Series!$A$3:$F$11,6,0)),IFERROR(VLOOKUP($F377,WP!$B$2:$C$23,2,0),VLOOKUP($C377,Series!$A$3:$F$11,6,0))&amp;" - "&amp;(IFERROR(IF(FIND("_",$B377)&gt;0,MID($B377,FIND("_",$B377)+1,LEN($B377)),IF(FIND("-",$B377)&gt;0,MID($B377,FIND("-",$B377)+1,LEN($B377)))),""))),"")),64))</f>
        <v/>
      </c>
      <c r="H377" s="12"/>
      <c r="I377" s="12" t="str">
        <f>IF($D377&lt;&gt;"",COUNTIF($D$7:$D377,"="&amp;$D377),"")</f>
        <v/>
      </c>
      <c r="J377"/>
      <c r="K377" s="8"/>
      <c r="L377"/>
    </row>
    <row r="378" spans="1:12" x14ac:dyDescent="0.3">
      <c r="A378" s="1"/>
      <c r="B378" s="26"/>
      <c r="C378" s="12" t="str">
        <f>_xlfn.IFNA(IFERROR(IF(FIND("_",$B378)&gt;0,INDEX(WP!$A$2:$F$23,MATCH(LEFT($B378,FIND("_",$B378)-1),WP!$E$2:$E$23,0),1),IF(FIND("-",$B378)&gt;0,INDEX(WP!$A$2:$F$23,MATCH(LEFT($B378,FIND("_",$B378)-1),WP!$E$2:$E$23,0),1))),INDEX(WP!$A$2:$F$23,MATCH(Results!$B378,WP!$E$2:$E$23,0),1)),"")</f>
        <v/>
      </c>
      <c r="D378" s="12" t="str">
        <f>IFERROR(IFERROR(IF(RIGHT(INDEX(WP!$A$2:$F$23,MATCH(IF(FIND("_",$B378)&gt;0,LEFT($B378,FIND("_",$B378)-1)),WP!$E$2:$E$23,0),2),6)="Series",LEFT(INDEX(WP!$A$2:$F$23,MATCH(IF(FIND("_",$B378)&gt;0,LEFT($B378,FIND("_",$B378)-1)),WP!$E$2:$E$23,0),2),5),""),IF(RIGHT(INDEX(WP!$A$2:$F$23,MATCH($B378,WP!$E$2:$E$23,0),2),6)="Series",LEFT(INDEX(WP!$A$2:$F$23,MATCH($B378,WP!$E$2:$E$23,0),2),5),"")),"")</f>
        <v/>
      </c>
      <c r="E378" s="17" t="str">
        <f>IFERROR(VLOOKUP(VALUE($D378),Series!$B$3:$F$11,2,0),"")</f>
        <v/>
      </c>
      <c r="F378" s="12" t="str">
        <f>_xlfn.IFNA(IF(IF($D378&lt;&gt;"",COUNTIF($E:$E,"="&amp;$D378),"")="",IF(RIGHT(IFERROR(IF(FIND("_",$B378)&gt;0,INDEX(WP!$A$2:$F$23,MATCH(LEFT($B378,FIND("_",$B378)-1),WP!$E$2:$E$23,0),2),IF(FIND("-",$B378)&gt;0,INDEX(WP!$A$2:$F$23,MATCH(LEFT($B378,FIND("_",$B378)-1),WP!$E$2:$E$23,0),2))),INDEX(WP!$A$2:$F$23,MATCH(Results!$B378,WP!$E$2:$E$23,0),2)),6)="Series",LEFT(IFERROR(IF(FIND("_",$B378)&gt;0,INDEX(WP!$A$2:$F$23,MATCH(LEFT($B378,FIND("_",$B378)-1),WP!$E$2:$E$23,0),2),IF(FIND("-",$B378)&gt;0,INDEX(WP!$A$2:$F$23,MATCH(LEFT($B378,FIND("_",$B378)-1),WP!$E$2:$E$23,0),2))),INDEX(WP!$A$2:$F$23,MATCH(Results!$B378,WP!$E$2:$E$23,0),2)),5),(IFERROR(IF(FIND("_",$B378)&gt;0,INDEX(WP!$A$2:$F$23,MATCH(LEFT($B378,FIND("_",$B378)-1),WP!$E$2:$E$23,0),2),IF(FIND("-",$B378)&gt;0,INDEX(WP!$A$2:$F$23,MATCH(LEFT($B378,FIND("_",$B378)-1),WP!$E$2:$E$23,0),2))),INDEX(WP!$A$2:$F$23,MATCH(Results!$B378,WP!$E$2:$E$23,0),2)))),IF(RIGHT(IFERROR(IF(FIND("_",$B378)&gt;0,INDEX(WP!$A$2:$F$23,MATCH(LEFT($B378,FIND("_",$B378)-1),WP!$E$2:$E$23,0),2),IF(FIND("-",$B378)&gt;0,INDEX(WP!$A$2:$F$23,MATCH(LEFT($B378,FIND("_",$B378)-1),WP!$E$2:$E$23,0),2))),INDEX(WP!$A$2:$F$23,MATCH(Results!$B378,WP!$E$2:$E$23,0),2)),6)="Series",LEFT(IFERROR(IF(FIND("_",$B378)&gt;0,INDEX(WP!$A$2:$F$23,MATCH(LEFT($B378,FIND("_",$B378)-1),WP!$E$2:$E$23,0),2),IF(FIND("-",$B378)&gt;0,INDEX(WP!$A$2:$F$23,MATCH(LEFT($B378,FIND("_",$B378)-1),WP!$E$2:$E$23,0),2))),INDEX(WP!$A$2:$F$23,MATCH(Results!$B378,WP!$E$2:$E$23,0),2)),5),(IFERROR(IF(FIND("_",$B378)&gt;0,INDEX(WP!$A$2:$F$23,MATCH(LEFT($B378,FIND("_",$B378)-1),WP!$E$2:$E$23,0),2),IF(FIND("-",$B378)&gt;0,INDEX(WP!$A$2:$F$23,MATCH(LEFT($B378,FIND("_",$B378)-1),WP!$E$2:$E$23,0),2))),INDEX(WP!$A$2:$F$23,MATCH(Results!$B378,WP!$E$2:$E$23,0),2))))&amp;"-"&amp;$I378),"")</f>
        <v/>
      </c>
      <c r="G378" s="17" t="str">
        <f>IF(LEN(_xlfn.IFNA(IF(IFERROR(IF(FIND("_",$B378)&gt;0,MID($B378,FIND("_",$B378)+1,LEN($B378)),IF(FIND("-",$B378)&gt;0,MID($B378,FIND("-",$B378)+1,LEN($B378)))),"")="",IFERROR(VLOOKUP($F378,WP!$B$2:$C$23,2,0),VLOOKUP($C378,Series!$A$3:$F$11,6,0)),IFERROR(VLOOKUP($F378,WP!$B$2:$C$23,2,0),VLOOKUP($C378,Series!$A$3:$F$11,6,0))&amp;" - "&amp;(IFERROR(IF(FIND("_",$B378)&gt;0,MID($B378,FIND("_",$B378)+1,LEN($B378)),IF(FIND("-",$B378)&gt;0,MID($B378,FIND("-",$B378)+1,LEN($B378)))),""))),""))&lt;64,_xlfn.IFNA(IF(IFERROR(IF(FIND("_",$B378)&gt;0,MID($B378,FIND("_",$B378)+1,LEN($B378)),IF(FIND("-",$B378)&gt;0,MID($B378,FIND("-",$B378)+1,LEN($B378)))),"")="",IFERROR(VLOOKUP($F378,WP!$B$2:$C$23,2,0),VLOOKUP($C378,Series!$A$3:$F$11,6,0)),IFERROR(VLOOKUP($F378,WP!$B$2:$C$23,2,0),VLOOKUP($C378,Series!$A$3:$F$11,6,0))&amp;" - "&amp;(IFERROR(IF(FIND("_",$B378)&gt;0,MID($B378,FIND("_",$B378)+1,LEN($B378)),IF(FIND("-",$B378)&gt;0,MID($B378,FIND("-",$B378)+1,LEN($B378)))),""))),""),LEFT((_xlfn.IFNA(IF(IFERROR(IF(FIND("_",$B378)&gt;0,MID($B378,FIND("_",$B378)+1,LEN($B378)),IF(FIND("-",$B378)&gt;0,MID($B378,FIND("-",$B378)+1,LEN($B378)))),"")="",IFERROR(VLOOKUP($F378,WP!$B$2:$C$23,2,0),VLOOKUP($C378,Series!$A$3:$F$11,6,0)),IFERROR(VLOOKUP($F378,WP!$B$2:$C$23,2,0),VLOOKUP($C378,Series!$A$3:$F$11,6,0))&amp;" - "&amp;(IFERROR(IF(FIND("_",$B378)&gt;0,MID($B378,FIND("_",$B378)+1,LEN($B378)),IF(FIND("-",$B378)&gt;0,MID($B378,FIND("-",$B378)+1,LEN($B378)))),""))),"")),64))</f>
        <v/>
      </c>
      <c r="H378" s="12"/>
      <c r="I378" s="12" t="str">
        <f>IF($D378&lt;&gt;"",COUNTIF($D$7:$D378,"="&amp;$D378),"")</f>
        <v/>
      </c>
      <c r="J378"/>
      <c r="K378" s="8"/>
      <c r="L378"/>
    </row>
    <row r="379" spans="1:12" x14ac:dyDescent="0.3">
      <c r="A379" s="1"/>
      <c r="B379" s="26"/>
      <c r="C379" s="12" t="str">
        <f>_xlfn.IFNA(IFERROR(IF(FIND("_",$B379)&gt;0,INDEX(WP!$A$2:$F$23,MATCH(LEFT($B379,FIND("_",$B379)-1),WP!$E$2:$E$23,0),1),IF(FIND("-",$B379)&gt;0,INDEX(WP!$A$2:$F$23,MATCH(LEFT($B379,FIND("_",$B379)-1),WP!$E$2:$E$23,0),1))),INDEX(WP!$A$2:$F$23,MATCH(Results!$B379,WP!$E$2:$E$23,0),1)),"")</f>
        <v/>
      </c>
      <c r="D379" s="12" t="str">
        <f>IFERROR(IFERROR(IF(RIGHT(INDEX(WP!$A$2:$F$23,MATCH(IF(FIND("_",$B379)&gt;0,LEFT($B379,FIND("_",$B379)-1)),WP!$E$2:$E$23,0),2),6)="Series",LEFT(INDEX(WP!$A$2:$F$23,MATCH(IF(FIND("_",$B379)&gt;0,LEFT($B379,FIND("_",$B379)-1)),WP!$E$2:$E$23,0),2),5),""),IF(RIGHT(INDEX(WP!$A$2:$F$23,MATCH($B379,WP!$E$2:$E$23,0),2),6)="Series",LEFT(INDEX(WP!$A$2:$F$23,MATCH($B379,WP!$E$2:$E$23,0),2),5),"")),"")</f>
        <v/>
      </c>
      <c r="E379" s="17" t="str">
        <f>IFERROR(VLOOKUP(VALUE($D379),Series!$B$3:$F$11,2,0),"")</f>
        <v/>
      </c>
      <c r="F379" s="12" t="str">
        <f>_xlfn.IFNA(IF(IF($D379&lt;&gt;"",COUNTIF($E:$E,"="&amp;$D379),"")="",IF(RIGHT(IFERROR(IF(FIND("_",$B379)&gt;0,INDEX(WP!$A$2:$F$23,MATCH(LEFT($B379,FIND("_",$B379)-1),WP!$E$2:$E$23,0),2),IF(FIND("-",$B379)&gt;0,INDEX(WP!$A$2:$F$23,MATCH(LEFT($B379,FIND("_",$B379)-1),WP!$E$2:$E$23,0),2))),INDEX(WP!$A$2:$F$23,MATCH(Results!$B379,WP!$E$2:$E$23,0),2)),6)="Series",LEFT(IFERROR(IF(FIND("_",$B379)&gt;0,INDEX(WP!$A$2:$F$23,MATCH(LEFT($B379,FIND("_",$B379)-1),WP!$E$2:$E$23,0),2),IF(FIND("-",$B379)&gt;0,INDEX(WP!$A$2:$F$23,MATCH(LEFT($B379,FIND("_",$B379)-1),WP!$E$2:$E$23,0),2))),INDEX(WP!$A$2:$F$23,MATCH(Results!$B379,WP!$E$2:$E$23,0),2)),5),(IFERROR(IF(FIND("_",$B379)&gt;0,INDEX(WP!$A$2:$F$23,MATCH(LEFT($B379,FIND("_",$B379)-1),WP!$E$2:$E$23,0),2),IF(FIND("-",$B379)&gt;0,INDEX(WP!$A$2:$F$23,MATCH(LEFT($B379,FIND("_",$B379)-1),WP!$E$2:$E$23,0),2))),INDEX(WP!$A$2:$F$23,MATCH(Results!$B379,WP!$E$2:$E$23,0),2)))),IF(RIGHT(IFERROR(IF(FIND("_",$B379)&gt;0,INDEX(WP!$A$2:$F$23,MATCH(LEFT($B379,FIND("_",$B379)-1),WP!$E$2:$E$23,0),2),IF(FIND("-",$B379)&gt;0,INDEX(WP!$A$2:$F$23,MATCH(LEFT($B379,FIND("_",$B379)-1),WP!$E$2:$E$23,0),2))),INDEX(WP!$A$2:$F$23,MATCH(Results!$B379,WP!$E$2:$E$23,0),2)),6)="Series",LEFT(IFERROR(IF(FIND("_",$B379)&gt;0,INDEX(WP!$A$2:$F$23,MATCH(LEFT($B379,FIND("_",$B379)-1),WP!$E$2:$E$23,0),2),IF(FIND("-",$B379)&gt;0,INDEX(WP!$A$2:$F$23,MATCH(LEFT($B379,FIND("_",$B379)-1),WP!$E$2:$E$23,0),2))),INDEX(WP!$A$2:$F$23,MATCH(Results!$B379,WP!$E$2:$E$23,0),2)),5),(IFERROR(IF(FIND("_",$B379)&gt;0,INDEX(WP!$A$2:$F$23,MATCH(LEFT($B379,FIND("_",$B379)-1),WP!$E$2:$E$23,0),2),IF(FIND("-",$B379)&gt;0,INDEX(WP!$A$2:$F$23,MATCH(LEFT($B379,FIND("_",$B379)-1),WP!$E$2:$E$23,0),2))),INDEX(WP!$A$2:$F$23,MATCH(Results!$B379,WP!$E$2:$E$23,0),2))))&amp;"-"&amp;$I379),"")</f>
        <v/>
      </c>
      <c r="G379" s="17" t="str">
        <f>IF(LEN(_xlfn.IFNA(IF(IFERROR(IF(FIND("_",$B379)&gt;0,MID($B379,FIND("_",$B379)+1,LEN($B379)),IF(FIND("-",$B379)&gt;0,MID($B379,FIND("-",$B379)+1,LEN($B379)))),"")="",IFERROR(VLOOKUP($F379,WP!$B$2:$C$23,2,0),VLOOKUP($C379,Series!$A$3:$F$11,6,0)),IFERROR(VLOOKUP($F379,WP!$B$2:$C$23,2,0),VLOOKUP($C379,Series!$A$3:$F$11,6,0))&amp;" - "&amp;(IFERROR(IF(FIND("_",$B379)&gt;0,MID($B379,FIND("_",$B379)+1,LEN($B379)),IF(FIND("-",$B379)&gt;0,MID($B379,FIND("-",$B379)+1,LEN($B379)))),""))),""))&lt;64,_xlfn.IFNA(IF(IFERROR(IF(FIND("_",$B379)&gt;0,MID($B379,FIND("_",$B379)+1,LEN($B379)),IF(FIND("-",$B379)&gt;0,MID($B379,FIND("-",$B379)+1,LEN($B379)))),"")="",IFERROR(VLOOKUP($F379,WP!$B$2:$C$23,2,0),VLOOKUP($C379,Series!$A$3:$F$11,6,0)),IFERROR(VLOOKUP($F379,WP!$B$2:$C$23,2,0),VLOOKUP($C379,Series!$A$3:$F$11,6,0))&amp;" - "&amp;(IFERROR(IF(FIND("_",$B379)&gt;0,MID($B379,FIND("_",$B379)+1,LEN($B379)),IF(FIND("-",$B379)&gt;0,MID($B379,FIND("-",$B379)+1,LEN($B379)))),""))),""),LEFT((_xlfn.IFNA(IF(IFERROR(IF(FIND("_",$B379)&gt;0,MID($B379,FIND("_",$B379)+1,LEN($B379)),IF(FIND("-",$B379)&gt;0,MID($B379,FIND("-",$B379)+1,LEN($B379)))),"")="",IFERROR(VLOOKUP($F379,WP!$B$2:$C$23,2,0),VLOOKUP($C379,Series!$A$3:$F$11,6,0)),IFERROR(VLOOKUP($F379,WP!$B$2:$C$23,2,0),VLOOKUP($C379,Series!$A$3:$F$11,6,0))&amp;" - "&amp;(IFERROR(IF(FIND("_",$B379)&gt;0,MID($B379,FIND("_",$B379)+1,LEN($B379)),IF(FIND("-",$B379)&gt;0,MID($B379,FIND("-",$B379)+1,LEN($B379)))),""))),"")),64))</f>
        <v/>
      </c>
      <c r="H379" s="12"/>
      <c r="I379" s="12" t="str">
        <f>IF($D379&lt;&gt;"",COUNTIF($D$7:$D379,"="&amp;$D379),"")</f>
        <v/>
      </c>
      <c r="J379"/>
      <c r="K379" s="8"/>
      <c r="L379"/>
    </row>
    <row r="380" spans="1:12" x14ac:dyDescent="0.3">
      <c r="A380" s="1"/>
      <c r="B380" s="26"/>
      <c r="C380" s="12" t="str">
        <f>_xlfn.IFNA(IFERROR(IF(FIND("_",$B380)&gt;0,INDEX(WP!$A$2:$F$23,MATCH(LEFT($B380,FIND("_",$B380)-1),WP!$E$2:$E$23,0),1),IF(FIND("-",$B380)&gt;0,INDEX(WP!$A$2:$F$23,MATCH(LEFT($B380,FIND("_",$B380)-1),WP!$E$2:$E$23,0),1))),INDEX(WP!$A$2:$F$23,MATCH(Results!$B380,WP!$E$2:$E$23,0),1)),"")</f>
        <v/>
      </c>
      <c r="D380" s="12" t="str">
        <f>IFERROR(IFERROR(IF(RIGHT(INDEX(WP!$A$2:$F$23,MATCH(IF(FIND("_",$B380)&gt;0,LEFT($B380,FIND("_",$B380)-1)),WP!$E$2:$E$23,0),2),6)="Series",LEFT(INDEX(WP!$A$2:$F$23,MATCH(IF(FIND("_",$B380)&gt;0,LEFT($B380,FIND("_",$B380)-1)),WP!$E$2:$E$23,0),2),5),""),IF(RIGHT(INDEX(WP!$A$2:$F$23,MATCH($B380,WP!$E$2:$E$23,0),2),6)="Series",LEFT(INDEX(WP!$A$2:$F$23,MATCH($B380,WP!$E$2:$E$23,0),2),5),"")),"")</f>
        <v/>
      </c>
      <c r="E380" s="17" t="str">
        <f>IFERROR(VLOOKUP(VALUE($D380),Series!$B$3:$F$11,2,0),"")</f>
        <v/>
      </c>
      <c r="F380" s="12" t="str">
        <f>_xlfn.IFNA(IF(IF($D380&lt;&gt;"",COUNTIF($E:$E,"="&amp;$D380),"")="",IF(RIGHT(IFERROR(IF(FIND("_",$B380)&gt;0,INDEX(WP!$A$2:$F$23,MATCH(LEFT($B380,FIND("_",$B380)-1),WP!$E$2:$E$23,0),2),IF(FIND("-",$B380)&gt;0,INDEX(WP!$A$2:$F$23,MATCH(LEFT($B380,FIND("_",$B380)-1),WP!$E$2:$E$23,0),2))),INDEX(WP!$A$2:$F$23,MATCH(Results!$B380,WP!$E$2:$E$23,0),2)),6)="Series",LEFT(IFERROR(IF(FIND("_",$B380)&gt;0,INDEX(WP!$A$2:$F$23,MATCH(LEFT($B380,FIND("_",$B380)-1),WP!$E$2:$E$23,0),2),IF(FIND("-",$B380)&gt;0,INDEX(WP!$A$2:$F$23,MATCH(LEFT($B380,FIND("_",$B380)-1),WP!$E$2:$E$23,0),2))),INDEX(WP!$A$2:$F$23,MATCH(Results!$B380,WP!$E$2:$E$23,0),2)),5),(IFERROR(IF(FIND("_",$B380)&gt;0,INDEX(WP!$A$2:$F$23,MATCH(LEFT($B380,FIND("_",$B380)-1),WP!$E$2:$E$23,0),2),IF(FIND("-",$B380)&gt;0,INDEX(WP!$A$2:$F$23,MATCH(LEFT($B380,FIND("_",$B380)-1),WP!$E$2:$E$23,0),2))),INDEX(WP!$A$2:$F$23,MATCH(Results!$B380,WP!$E$2:$E$23,0),2)))),IF(RIGHT(IFERROR(IF(FIND("_",$B380)&gt;0,INDEX(WP!$A$2:$F$23,MATCH(LEFT($B380,FIND("_",$B380)-1),WP!$E$2:$E$23,0),2),IF(FIND("-",$B380)&gt;0,INDEX(WP!$A$2:$F$23,MATCH(LEFT($B380,FIND("_",$B380)-1),WP!$E$2:$E$23,0),2))),INDEX(WP!$A$2:$F$23,MATCH(Results!$B380,WP!$E$2:$E$23,0),2)),6)="Series",LEFT(IFERROR(IF(FIND("_",$B380)&gt;0,INDEX(WP!$A$2:$F$23,MATCH(LEFT($B380,FIND("_",$B380)-1),WP!$E$2:$E$23,0),2),IF(FIND("-",$B380)&gt;0,INDEX(WP!$A$2:$F$23,MATCH(LEFT($B380,FIND("_",$B380)-1),WP!$E$2:$E$23,0),2))),INDEX(WP!$A$2:$F$23,MATCH(Results!$B380,WP!$E$2:$E$23,0),2)),5),(IFERROR(IF(FIND("_",$B380)&gt;0,INDEX(WP!$A$2:$F$23,MATCH(LEFT($B380,FIND("_",$B380)-1),WP!$E$2:$E$23,0),2),IF(FIND("-",$B380)&gt;0,INDEX(WP!$A$2:$F$23,MATCH(LEFT($B380,FIND("_",$B380)-1),WP!$E$2:$E$23,0),2))),INDEX(WP!$A$2:$F$23,MATCH(Results!$B380,WP!$E$2:$E$23,0),2))))&amp;"-"&amp;$I380),"")</f>
        <v/>
      </c>
      <c r="G380" s="17" t="str">
        <f>IF(LEN(_xlfn.IFNA(IF(IFERROR(IF(FIND("_",$B380)&gt;0,MID($B380,FIND("_",$B380)+1,LEN($B380)),IF(FIND("-",$B380)&gt;0,MID($B380,FIND("-",$B380)+1,LEN($B380)))),"")="",IFERROR(VLOOKUP($F380,WP!$B$2:$C$23,2,0),VLOOKUP($C380,Series!$A$3:$F$11,6,0)),IFERROR(VLOOKUP($F380,WP!$B$2:$C$23,2,0),VLOOKUP($C380,Series!$A$3:$F$11,6,0))&amp;" - "&amp;(IFERROR(IF(FIND("_",$B380)&gt;0,MID($B380,FIND("_",$B380)+1,LEN($B380)),IF(FIND("-",$B380)&gt;0,MID($B380,FIND("-",$B380)+1,LEN($B380)))),""))),""))&lt;64,_xlfn.IFNA(IF(IFERROR(IF(FIND("_",$B380)&gt;0,MID($B380,FIND("_",$B380)+1,LEN($B380)),IF(FIND("-",$B380)&gt;0,MID($B380,FIND("-",$B380)+1,LEN($B380)))),"")="",IFERROR(VLOOKUP($F380,WP!$B$2:$C$23,2,0),VLOOKUP($C380,Series!$A$3:$F$11,6,0)),IFERROR(VLOOKUP($F380,WP!$B$2:$C$23,2,0),VLOOKUP($C380,Series!$A$3:$F$11,6,0))&amp;" - "&amp;(IFERROR(IF(FIND("_",$B380)&gt;0,MID($B380,FIND("_",$B380)+1,LEN($B380)),IF(FIND("-",$B380)&gt;0,MID($B380,FIND("-",$B380)+1,LEN($B380)))),""))),""),LEFT((_xlfn.IFNA(IF(IFERROR(IF(FIND("_",$B380)&gt;0,MID($B380,FIND("_",$B380)+1,LEN($B380)),IF(FIND("-",$B380)&gt;0,MID($B380,FIND("-",$B380)+1,LEN($B380)))),"")="",IFERROR(VLOOKUP($F380,WP!$B$2:$C$23,2,0),VLOOKUP($C380,Series!$A$3:$F$11,6,0)),IFERROR(VLOOKUP($F380,WP!$B$2:$C$23,2,0),VLOOKUP($C380,Series!$A$3:$F$11,6,0))&amp;" - "&amp;(IFERROR(IF(FIND("_",$B380)&gt;0,MID($B380,FIND("_",$B380)+1,LEN($B380)),IF(FIND("-",$B380)&gt;0,MID($B380,FIND("-",$B380)+1,LEN($B380)))),""))),"")),64))</f>
        <v/>
      </c>
      <c r="H380" s="12"/>
      <c r="I380" s="12" t="str">
        <f>IF($D380&lt;&gt;"",COUNTIF($D$7:$D380,"="&amp;$D380),"")</f>
        <v/>
      </c>
      <c r="J380"/>
      <c r="K380" s="8"/>
      <c r="L380"/>
    </row>
    <row r="381" spans="1:12" x14ac:dyDescent="0.3">
      <c r="A381" s="1"/>
      <c r="B381" s="26"/>
      <c r="C381" s="12" t="str">
        <f>_xlfn.IFNA(IFERROR(IF(FIND("_",$B381)&gt;0,INDEX(WP!$A$2:$F$23,MATCH(LEFT($B381,FIND("_",$B381)-1),WP!$E$2:$E$23,0),1),IF(FIND("-",$B381)&gt;0,INDEX(WP!$A$2:$F$23,MATCH(LEFT($B381,FIND("_",$B381)-1),WP!$E$2:$E$23,0),1))),INDEX(WP!$A$2:$F$23,MATCH(Results!$B381,WP!$E$2:$E$23,0),1)),"")</f>
        <v/>
      </c>
      <c r="D381" s="12" t="str">
        <f>IFERROR(IFERROR(IF(RIGHT(INDEX(WP!$A$2:$F$23,MATCH(IF(FIND("_",$B381)&gt;0,LEFT($B381,FIND("_",$B381)-1)),WP!$E$2:$E$23,0),2),6)="Series",LEFT(INDEX(WP!$A$2:$F$23,MATCH(IF(FIND("_",$B381)&gt;0,LEFT($B381,FIND("_",$B381)-1)),WP!$E$2:$E$23,0),2),5),""),IF(RIGHT(INDEX(WP!$A$2:$F$23,MATCH($B381,WP!$E$2:$E$23,0),2),6)="Series",LEFT(INDEX(WP!$A$2:$F$23,MATCH($B381,WP!$E$2:$E$23,0),2),5),"")),"")</f>
        <v/>
      </c>
      <c r="E381" s="17" t="str">
        <f>IFERROR(VLOOKUP(VALUE($D381),Series!$B$3:$F$11,2,0),"")</f>
        <v/>
      </c>
      <c r="F381" s="12" t="str">
        <f>_xlfn.IFNA(IF(IF($D381&lt;&gt;"",COUNTIF($E:$E,"="&amp;$D381),"")="",IF(RIGHT(IFERROR(IF(FIND("_",$B381)&gt;0,INDEX(WP!$A$2:$F$23,MATCH(LEFT($B381,FIND("_",$B381)-1),WP!$E$2:$E$23,0),2),IF(FIND("-",$B381)&gt;0,INDEX(WP!$A$2:$F$23,MATCH(LEFT($B381,FIND("_",$B381)-1),WP!$E$2:$E$23,0),2))),INDEX(WP!$A$2:$F$23,MATCH(Results!$B381,WP!$E$2:$E$23,0),2)),6)="Series",LEFT(IFERROR(IF(FIND("_",$B381)&gt;0,INDEX(WP!$A$2:$F$23,MATCH(LEFT($B381,FIND("_",$B381)-1),WP!$E$2:$E$23,0),2),IF(FIND("-",$B381)&gt;0,INDEX(WP!$A$2:$F$23,MATCH(LEFT($B381,FIND("_",$B381)-1),WP!$E$2:$E$23,0),2))),INDEX(WP!$A$2:$F$23,MATCH(Results!$B381,WP!$E$2:$E$23,0),2)),5),(IFERROR(IF(FIND("_",$B381)&gt;0,INDEX(WP!$A$2:$F$23,MATCH(LEFT($B381,FIND("_",$B381)-1),WP!$E$2:$E$23,0),2),IF(FIND("-",$B381)&gt;0,INDEX(WP!$A$2:$F$23,MATCH(LEFT($B381,FIND("_",$B381)-1),WP!$E$2:$E$23,0),2))),INDEX(WP!$A$2:$F$23,MATCH(Results!$B381,WP!$E$2:$E$23,0),2)))),IF(RIGHT(IFERROR(IF(FIND("_",$B381)&gt;0,INDEX(WP!$A$2:$F$23,MATCH(LEFT($B381,FIND("_",$B381)-1),WP!$E$2:$E$23,0),2),IF(FIND("-",$B381)&gt;0,INDEX(WP!$A$2:$F$23,MATCH(LEFT($B381,FIND("_",$B381)-1),WP!$E$2:$E$23,0),2))),INDEX(WP!$A$2:$F$23,MATCH(Results!$B381,WP!$E$2:$E$23,0),2)),6)="Series",LEFT(IFERROR(IF(FIND("_",$B381)&gt;0,INDEX(WP!$A$2:$F$23,MATCH(LEFT($B381,FIND("_",$B381)-1),WP!$E$2:$E$23,0),2),IF(FIND("-",$B381)&gt;0,INDEX(WP!$A$2:$F$23,MATCH(LEFT($B381,FIND("_",$B381)-1),WP!$E$2:$E$23,0),2))),INDEX(WP!$A$2:$F$23,MATCH(Results!$B381,WP!$E$2:$E$23,0),2)),5),(IFERROR(IF(FIND("_",$B381)&gt;0,INDEX(WP!$A$2:$F$23,MATCH(LEFT($B381,FIND("_",$B381)-1),WP!$E$2:$E$23,0),2),IF(FIND("-",$B381)&gt;0,INDEX(WP!$A$2:$F$23,MATCH(LEFT($B381,FIND("_",$B381)-1),WP!$E$2:$E$23,0),2))),INDEX(WP!$A$2:$F$23,MATCH(Results!$B381,WP!$E$2:$E$23,0),2))))&amp;"-"&amp;$I381),"")</f>
        <v/>
      </c>
      <c r="G381" s="17" t="str">
        <f>IF(LEN(_xlfn.IFNA(IF(IFERROR(IF(FIND("_",$B381)&gt;0,MID($B381,FIND("_",$B381)+1,LEN($B381)),IF(FIND("-",$B381)&gt;0,MID($B381,FIND("-",$B381)+1,LEN($B381)))),"")="",IFERROR(VLOOKUP($F381,WP!$B$2:$C$23,2,0),VLOOKUP($C381,Series!$A$3:$F$11,6,0)),IFERROR(VLOOKUP($F381,WP!$B$2:$C$23,2,0),VLOOKUP($C381,Series!$A$3:$F$11,6,0))&amp;" - "&amp;(IFERROR(IF(FIND("_",$B381)&gt;0,MID($B381,FIND("_",$B381)+1,LEN($B381)),IF(FIND("-",$B381)&gt;0,MID($B381,FIND("-",$B381)+1,LEN($B381)))),""))),""))&lt;64,_xlfn.IFNA(IF(IFERROR(IF(FIND("_",$B381)&gt;0,MID($B381,FIND("_",$B381)+1,LEN($B381)),IF(FIND("-",$B381)&gt;0,MID($B381,FIND("-",$B381)+1,LEN($B381)))),"")="",IFERROR(VLOOKUP($F381,WP!$B$2:$C$23,2,0),VLOOKUP($C381,Series!$A$3:$F$11,6,0)),IFERROR(VLOOKUP($F381,WP!$B$2:$C$23,2,0),VLOOKUP($C381,Series!$A$3:$F$11,6,0))&amp;" - "&amp;(IFERROR(IF(FIND("_",$B381)&gt;0,MID($B381,FIND("_",$B381)+1,LEN($B381)),IF(FIND("-",$B381)&gt;0,MID($B381,FIND("-",$B381)+1,LEN($B381)))),""))),""),LEFT((_xlfn.IFNA(IF(IFERROR(IF(FIND("_",$B381)&gt;0,MID($B381,FIND("_",$B381)+1,LEN($B381)),IF(FIND("-",$B381)&gt;0,MID($B381,FIND("-",$B381)+1,LEN($B381)))),"")="",IFERROR(VLOOKUP($F381,WP!$B$2:$C$23,2,0),VLOOKUP($C381,Series!$A$3:$F$11,6,0)),IFERROR(VLOOKUP($F381,WP!$B$2:$C$23,2,0),VLOOKUP($C381,Series!$A$3:$F$11,6,0))&amp;" - "&amp;(IFERROR(IF(FIND("_",$B381)&gt;0,MID($B381,FIND("_",$B381)+1,LEN($B381)),IF(FIND("-",$B381)&gt;0,MID($B381,FIND("-",$B381)+1,LEN($B381)))),""))),"")),64))</f>
        <v/>
      </c>
      <c r="H381" s="12"/>
      <c r="I381" s="12" t="str">
        <f>IF($D381&lt;&gt;"",COUNTIF($D$7:$D381,"="&amp;$D381),"")</f>
        <v/>
      </c>
      <c r="J381"/>
      <c r="K381" s="8"/>
      <c r="L381"/>
    </row>
    <row r="382" spans="1:12" x14ac:dyDescent="0.3">
      <c r="A382" s="1"/>
      <c r="B382" s="26"/>
      <c r="C382" s="12" t="str">
        <f>_xlfn.IFNA(IFERROR(IF(FIND("_",$B382)&gt;0,INDEX(WP!$A$2:$F$23,MATCH(LEFT($B382,FIND("_",$B382)-1),WP!$E$2:$E$23,0),1),IF(FIND("-",$B382)&gt;0,INDEX(WP!$A$2:$F$23,MATCH(LEFT($B382,FIND("_",$B382)-1),WP!$E$2:$E$23,0),1))),INDEX(WP!$A$2:$F$23,MATCH(Results!$B382,WP!$E$2:$E$23,0),1)),"")</f>
        <v/>
      </c>
      <c r="D382" s="12" t="str">
        <f>IFERROR(IFERROR(IF(RIGHT(INDEX(WP!$A$2:$F$23,MATCH(IF(FIND("_",$B382)&gt;0,LEFT($B382,FIND("_",$B382)-1)),WP!$E$2:$E$23,0),2),6)="Series",LEFT(INDEX(WP!$A$2:$F$23,MATCH(IF(FIND("_",$B382)&gt;0,LEFT($B382,FIND("_",$B382)-1)),WP!$E$2:$E$23,0),2),5),""),IF(RIGHT(INDEX(WP!$A$2:$F$23,MATCH($B382,WP!$E$2:$E$23,0),2),6)="Series",LEFT(INDEX(WP!$A$2:$F$23,MATCH($B382,WP!$E$2:$E$23,0),2),5),"")),"")</f>
        <v/>
      </c>
      <c r="E382" s="17" t="str">
        <f>IFERROR(VLOOKUP(VALUE($D382),Series!$B$3:$F$11,2,0),"")</f>
        <v/>
      </c>
      <c r="F382" s="12" t="str">
        <f>_xlfn.IFNA(IF(IF($D382&lt;&gt;"",COUNTIF($E:$E,"="&amp;$D382),"")="",IF(RIGHT(IFERROR(IF(FIND("_",$B382)&gt;0,INDEX(WP!$A$2:$F$23,MATCH(LEFT($B382,FIND("_",$B382)-1),WP!$E$2:$E$23,0),2),IF(FIND("-",$B382)&gt;0,INDEX(WP!$A$2:$F$23,MATCH(LEFT($B382,FIND("_",$B382)-1),WP!$E$2:$E$23,0),2))),INDEX(WP!$A$2:$F$23,MATCH(Results!$B382,WP!$E$2:$E$23,0),2)),6)="Series",LEFT(IFERROR(IF(FIND("_",$B382)&gt;0,INDEX(WP!$A$2:$F$23,MATCH(LEFT($B382,FIND("_",$B382)-1),WP!$E$2:$E$23,0),2),IF(FIND("-",$B382)&gt;0,INDEX(WP!$A$2:$F$23,MATCH(LEFT($B382,FIND("_",$B382)-1),WP!$E$2:$E$23,0),2))),INDEX(WP!$A$2:$F$23,MATCH(Results!$B382,WP!$E$2:$E$23,0),2)),5),(IFERROR(IF(FIND("_",$B382)&gt;0,INDEX(WP!$A$2:$F$23,MATCH(LEFT($B382,FIND("_",$B382)-1),WP!$E$2:$E$23,0),2),IF(FIND("-",$B382)&gt;0,INDEX(WP!$A$2:$F$23,MATCH(LEFT($B382,FIND("_",$B382)-1),WP!$E$2:$E$23,0),2))),INDEX(WP!$A$2:$F$23,MATCH(Results!$B382,WP!$E$2:$E$23,0),2)))),IF(RIGHT(IFERROR(IF(FIND("_",$B382)&gt;0,INDEX(WP!$A$2:$F$23,MATCH(LEFT($B382,FIND("_",$B382)-1),WP!$E$2:$E$23,0),2),IF(FIND("-",$B382)&gt;0,INDEX(WP!$A$2:$F$23,MATCH(LEFT($B382,FIND("_",$B382)-1),WP!$E$2:$E$23,0),2))),INDEX(WP!$A$2:$F$23,MATCH(Results!$B382,WP!$E$2:$E$23,0),2)),6)="Series",LEFT(IFERROR(IF(FIND("_",$B382)&gt;0,INDEX(WP!$A$2:$F$23,MATCH(LEFT($B382,FIND("_",$B382)-1),WP!$E$2:$E$23,0),2),IF(FIND("-",$B382)&gt;0,INDEX(WP!$A$2:$F$23,MATCH(LEFT($B382,FIND("_",$B382)-1),WP!$E$2:$E$23,0),2))),INDEX(WP!$A$2:$F$23,MATCH(Results!$B382,WP!$E$2:$E$23,0),2)),5),(IFERROR(IF(FIND("_",$B382)&gt;0,INDEX(WP!$A$2:$F$23,MATCH(LEFT($B382,FIND("_",$B382)-1),WP!$E$2:$E$23,0),2),IF(FIND("-",$B382)&gt;0,INDEX(WP!$A$2:$F$23,MATCH(LEFT($B382,FIND("_",$B382)-1),WP!$E$2:$E$23,0),2))),INDEX(WP!$A$2:$F$23,MATCH(Results!$B382,WP!$E$2:$E$23,0),2))))&amp;"-"&amp;$I382),"")</f>
        <v/>
      </c>
      <c r="G382" s="17" t="str">
        <f>IF(LEN(_xlfn.IFNA(IF(IFERROR(IF(FIND("_",$B382)&gt;0,MID($B382,FIND("_",$B382)+1,LEN($B382)),IF(FIND("-",$B382)&gt;0,MID($B382,FIND("-",$B382)+1,LEN($B382)))),"")="",IFERROR(VLOOKUP($F382,WP!$B$2:$C$23,2,0),VLOOKUP($C382,Series!$A$3:$F$11,6,0)),IFERROR(VLOOKUP($F382,WP!$B$2:$C$23,2,0),VLOOKUP($C382,Series!$A$3:$F$11,6,0))&amp;" - "&amp;(IFERROR(IF(FIND("_",$B382)&gt;0,MID($B382,FIND("_",$B382)+1,LEN($B382)),IF(FIND("-",$B382)&gt;0,MID($B382,FIND("-",$B382)+1,LEN($B382)))),""))),""))&lt;64,_xlfn.IFNA(IF(IFERROR(IF(FIND("_",$B382)&gt;0,MID($B382,FIND("_",$B382)+1,LEN($B382)),IF(FIND("-",$B382)&gt;0,MID($B382,FIND("-",$B382)+1,LEN($B382)))),"")="",IFERROR(VLOOKUP($F382,WP!$B$2:$C$23,2,0),VLOOKUP($C382,Series!$A$3:$F$11,6,0)),IFERROR(VLOOKUP($F382,WP!$B$2:$C$23,2,0),VLOOKUP($C382,Series!$A$3:$F$11,6,0))&amp;" - "&amp;(IFERROR(IF(FIND("_",$B382)&gt;0,MID($B382,FIND("_",$B382)+1,LEN($B382)),IF(FIND("-",$B382)&gt;0,MID($B382,FIND("-",$B382)+1,LEN($B382)))),""))),""),LEFT((_xlfn.IFNA(IF(IFERROR(IF(FIND("_",$B382)&gt;0,MID($B382,FIND("_",$B382)+1,LEN($B382)),IF(FIND("-",$B382)&gt;0,MID($B382,FIND("-",$B382)+1,LEN($B382)))),"")="",IFERROR(VLOOKUP($F382,WP!$B$2:$C$23,2,0),VLOOKUP($C382,Series!$A$3:$F$11,6,0)),IFERROR(VLOOKUP($F382,WP!$B$2:$C$23,2,0),VLOOKUP($C382,Series!$A$3:$F$11,6,0))&amp;" - "&amp;(IFERROR(IF(FIND("_",$B382)&gt;0,MID($B382,FIND("_",$B382)+1,LEN($B382)),IF(FIND("-",$B382)&gt;0,MID($B382,FIND("-",$B382)+1,LEN($B382)))),""))),"")),64))</f>
        <v/>
      </c>
      <c r="H382" s="12"/>
      <c r="I382" s="12" t="str">
        <f>IF($D382&lt;&gt;"",COUNTIF($D$7:$D382,"="&amp;$D382),"")</f>
        <v/>
      </c>
      <c r="J382"/>
      <c r="K382" s="8"/>
      <c r="L382"/>
    </row>
    <row r="383" spans="1:12" x14ac:dyDescent="0.3">
      <c r="A383" s="1"/>
      <c r="B383" s="26"/>
      <c r="C383" s="12" t="str">
        <f>_xlfn.IFNA(IFERROR(IF(FIND("_",$B383)&gt;0,INDEX(WP!$A$2:$F$23,MATCH(LEFT($B383,FIND("_",$B383)-1),WP!$E$2:$E$23,0),1),IF(FIND("-",$B383)&gt;0,INDEX(WP!$A$2:$F$23,MATCH(LEFT($B383,FIND("_",$B383)-1),WP!$E$2:$E$23,0),1))),INDEX(WP!$A$2:$F$23,MATCH(Results!$B383,WP!$E$2:$E$23,0),1)),"")</f>
        <v/>
      </c>
      <c r="D383" s="12" t="str">
        <f>IFERROR(IFERROR(IF(RIGHT(INDEX(WP!$A$2:$F$23,MATCH(IF(FIND("_",$B383)&gt;0,LEFT($B383,FIND("_",$B383)-1)),WP!$E$2:$E$23,0),2),6)="Series",LEFT(INDEX(WP!$A$2:$F$23,MATCH(IF(FIND("_",$B383)&gt;0,LEFT($B383,FIND("_",$B383)-1)),WP!$E$2:$E$23,0),2),5),""),IF(RIGHT(INDEX(WP!$A$2:$F$23,MATCH($B383,WP!$E$2:$E$23,0),2),6)="Series",LEFT(INDEX(WP!$A$2:$F$23,MATCH($B383,WP!$E$2:$E$23,0),2),5),"")),"")</f>
        <v/>
      </c>
      <c r="E383" s="17" t="str">
        <f>IFERROR(VLOOKUP(VALUE($D383),Series!$B$3:$F$11,2,0),"")</f>
        <v/>
      </c>
      <c r="F383" s="12" t="str">
        <f>_xlfn.IFNA(IF(IF($D383&lt;&gt;"",COUNTIF($E:$E,"="&amp;$D383),"")="",IF(RIGHT(IFERROR(IF(FIND("_",$B383)&gt;0,INDEX(WP!$A$2:$F$23,MATCH(LEFT($B383,FIND("_",$B383)-1),WP!$E$2:$E$23,0),2),IF(FIND("-",$B383)&gt;0,INDEX(WP!$A$2:$F$23,MATCH(LEFT($B383,FIND("_",$B383)-1),WP!$E$2:$E$23,0),2))),INDEX(WP!$A$2:$F$23,MATCH(Results!$B383,WP!$E$2:$E$23,0),2)),6)="Series",LEFT(IFERROR(IF(FIND("_",$B383)&gt;0,INDEX(WP!$A$2:$F$23,MATCH(LEFT($B383,FIND("_",$B383)-1),WP!$E$2:$E$23,0),2),IF(FIND("-",$B383)&gt;0,INDEX(WP!$A$2:$F$23,MATCH(LEFT($B383,FIND("_",$B383)-1),WP!$E$2:$E$23,0),2))),INDEX(WP!$A$2:$F$23,MATCH(Results!$B383,WP!$E$2:$E$23,0),2)),5),(IFERROR(IF(FIND("_",$B383)&gt;0,INDEX(WP!$A$2:$F$23,MATCH(LEFT($B383,FIND("_",$B383)-1),WP!$E$2:$E$23,0),2),IF(FIND("-",$B383)&gt;0,INDEX(WP!$A$2:$F$23,MATCH(LEFT($B383,FIND("_",$B383)-1),WP!$E$2:$E$23,0),2))),INDEX(WP!$A$2:$F$23,MATCH(Results!$B383,WP!$E$2:$E$23,0),2)))),IF(RIGHT(IFERROR(IF(FIND("_",$B383)&gt;0,INDEX(WP!$A$2:$F$23,MATCH(LEFT($B383,FIND("_",$B383)-1),WP!$E$2:$E$23,0),2),IF(FIND("-",$B383)&gt;0,INDEX(WP!$A$2:$F$23,MATCH(LEFT($B383,FIND("_",$B383)-1),WP!$E$2:$E$23,0),2))),INDEX(WP!$A$2:$F$23,MATCH(Results!$B383,WP!$E$2:$E$23,0),2)),6)="Series",LEFT(IFERROR(IF(FIND("_",$B383)&gt;0,INDEX(WP!$A$2:$F$23,MATCH(LEFT($B383,FIND("_",$B383)-1),WP!$E$2:$E$23,0),2),IF(FIND("-",$B383)&gt;0,INDEX(WP!$A$2:$F$23,MATCH(LEFT($B383,FIND("_",$B383)-1),WP!$E$2:$E$23,0),2))),INDEX(WP!$A$2:$F$23,MATCH(Results!$B383,WP!$E$2:$E$23,0),2)),5),(IFERROR(IF(FIND("_",$B383)&gt;0,INDEX(WP!$A$2:$F$23,MATCH(LEFT($B383,FIND("_",$B383)-1),WP!$E$2:$E$23,0),2),IF(FIND("-",$B383)&gt;0,INDEX(WP!$A$2:$F$23,MATCH(LEFT($B383,FIND("_",$B383)-1),WP!$E$2:$E$23,0),2))),INDEX(WP!$A$2:$F$23,MATCH(Results!$B383,WP!$E$2:$E$23,0),2))))&amp;"-"&amp;$I383),"")</f>
        <v/>
      </c>
      <c r="G383" s="17" t="str">
        <f>IF(LEN(_xlfn.IFNA(IF(IFERROR(IF(FIND("_",$B383)&gt;0,MID($B383,FIND("_",$B383)+1,LEN($B383)),IF(FIND("-",$B383)&gt;0,MID($B383,FIND("-",$B383)+1,LEN($B383)))),"")="",IFERROR(VLOOKUP($F383,WP!$B$2:$C$23,2,0),VLOOKUP($C383,Series!$A$3:$F$11,6,0)),IFERROR(VLOOKUP($F383,WP!$B$2:$C$23,2,0),VLOOKUP($C383,Series!$A$3:$F$11,6,0))&amp;" - "&amp;(IFERROR(IF(FIND("_",$B383)&gt;0,MID($B383,FIND("_",$B383)+1,LEN($B383)),IF(FIND("-",$B383)&gt;0,MID($B383,FIND("-",$B383)+1,LEN($B383)))),""))),""))&lt;64,_xlfn.IFNA(IF(IFERROR(IF(FIND("_",$B383)&gt;0,MID($B383,FIND("_",$B383)+1,LEN($B383)),IF(FIND("-",$B383)&gt;0,MID($B383,FIND("-",$B383)+1,LEN($B383)))),"")="",IFERROR(VLOOKUP($F383,WP!$B$2:$C$23,2,0),VLOOKUP($C383,Series!$A$3:$F$11,6,0)),IFERROR(VLOOKUP($F383,WP!$B$2:$C$23,2,0),VLOOKUP($C383,Series!$A$3:$F$11,6,0))&amp;" - "&amp;(IFERROR(IF(FIND("_",$B383)&gt;0,MID($B383,FIND("_",$B383)+1,LEN($B383)),IF(FIND("-",$B383)&gt;0,MID($B383,FIND("-",$B383)+1,LEN($B383)))),""))),""),LEFT((_xlfn.IFNA(IF(IFERROR(IF(FIND("_",$B383)&gt;0,MID($B383,FIND("_",$B383)+1,LEN($B383)),IF(FIND("-",$B383)&gt;0,MID($B383,FIND("-",$B383)+1,LEN($B383)))),"")="",IFERROR(VLOOKUP($F383,WP!$B$2:$C$23,2,0),VLOOKUP($C383,Series!$A$3:$F$11,6,0)),IFERROR(VLOOKUP($F383,WP!$B$2:$C$23,2,0),VLOOKUP($C383,Series!$A$3:$F$11,6,0))&amp;" - "&amp;(IFERROR(IF(FIND("_",$B383)&gt;0,MID($B383,FIND("_",$B383)+1,LEN($B383)),IF(FIND("-",$B383)&gt;0,MID($B383,FIND("-",$B383)+1,LEN($B383)))),""))),"")),64))</f>
        <v/>
      </c>
      <c r="H383" s="12"/>
      <c r="I383" s="12" t="str">
        <f>IF($D383&lt;&gt;"",COUNTIF($D$7:$D383,"="&amp;$D383),"")</f>
        <v/>
      </c>
      <c r="J383"/>
      <c r="K383" s="8"/>
      <c r="L383"/>
    </row>
    <row r="384" spans="1:12" x14ac:dyDescent="0.3">
      <c r="A384" s="1"/>
      <c r="B384" s="26"/>
      <c r="C384" s="12" t="str">
        <f>_xlfn.IFNA(IFERROR(IF(FIND("_",$B384)&gt;0,INDEX(WP!$A$2:$F$23,MATCH(LEFT($B384,FIND("_",$B384)-1),WP!$E$2:$E$23,0),1),IF(FIND("-",$B384)&gt;0,INDEX(WP!$A$2:$F$23,MATCH(LEFT($B384,FIND("_",$B384)-1),WP!$E$2:$E$23,0),1))),INDEX(WP!$A$2:$F$23,MATCH(Results!$B384,WP!$E$2:$E$23,0),1)),"")</f>
        <v/>
      </c>
      <c r="D384" s="12" t="str">
        <f>IFERROR(IFERROR(IF(RIGHT(INDEX(WP!$A$2:$F$23,MATCH(IF(FIND("_",$B384)&gt;0,LEFT($B384,FIND("_",$B384)-1)),WP!$E$2:$E$23,0),2),6)="Series",LEFT(INDEX(WP!$A$2:$F$23,MATCH(IF(FIND("_",$B384)&gt;0,LEFT($B384,FIND("_",$B384)-1)),WP!$E$2:$E$23,0),2),5),""),IF(RIGHT(INDEX(WP!$A$2:$F$23,MATCH($B384,WP!$E$2:$E$23,0),2),6)="Series",LEFT(INDEX(WP!$A$2:$F$23,MATCH($B384,WP!$E$2:$E$23,0),2),5),"")),"")</f>
        <v/>
      </c>
      <c r="E384" s="17" t="str">
        <f>IFERROR(VLOOKUP(VALUE($D384),Series!$B$3:$F$11,2,0),"")</f>
        <v/>
      </c>
      <c r="F384" s="12" t="str">
        <f>_xlfn.IFNA(IF(IF($D384&lt;&gt;"",COUNTIF($E:$E,"="&amp;$D384),"")="",IF(RIGHT(IFERROR(IF(FIND("_",$B384)&gt;0,INDEX(WP!$A$2:$F$23,MATCH(LEFT($B384,FIND("_",$B384)-1),WP!$E$2:$E$23,0),2),IF(FIND("-",$B384)&gt;0,INDEX(WP!$A$2:$F$23,MATCH(LEFT($B384,FIND("_",$B384)-1),WP!$E$2:$E$23,0),2))),INDEX(WP!$A$2:$F$23,MATCH(Results!$B384,WP!$E$2:$E$23,0),2)),6)="Series",LEFT(IFERROR(IF(FIND("_",$B384)&gt;0,INDEX(WP!$A$2:$F$23,MATCH(LEFT($B384,FIND("_",$B384)-1),WP!$E$2:$E$23,0),2),IF(FIND("-",$B384)&gt;0,INDEX(WP!$A$2:$F$23,MATCH(LEFT($B384,FIND("_",$B384)-1),WP!$E$2:$E$23,0),2))),INDEX(WP!$A$2:$F$23,MATCH(Results!$B384,WP!$E$2:$E$23,0),2)),5),(IFERROR(IF(FIND("_",$B384)&gt;0,INDEX(WP!$A$2:$F$23,MATCH(LEFT($B384,FIND("_",$B384)-1),WP!$E$2:$E$23,0),2),IF(FIND("-",$B384)&gt;0,INDEX(WP!$A$2:$F$23,MATCH(LEFT($B384,FIND("_",$B384)-1),WP!$E$2:$E$23,0),2))),INDEX(WP!$A$2:$F$23,MATCH(Results!$B384,WP!$E$2:$E$23,0),2)))),IF(RIGHT(IFERROR(IF(FIND("_",$B384)&gt;0,INDEX(WP!$A$2:$F$23,MATCH(LEFT($B384,FIND("_",$B384)-1),WP!$E$2:$E$23,0),2),IF(FIND("-",$B384)&gt;0,INDEX(WP!$A$2:$F$23,MATCH(LEFT($B384,FIND("_",$B384)-1),WP!$E$2:$E$23,0),2))),INDEX(WP!$A$2:$F$23,MATCH(Results!$B384,WP!$E$2:$E$23,0),2)),6)="Series",LEFT(IFERROR(IF(FIND("_",$B384)&gt;0,INDEX(WP!$A$2:$F$23,MATCH(LEFT($B384,FIND("_",$B384)-1),WP!$E$2:$E$23,0),2),IF(FIND("-",$B384)&gt;0,INDEX(WP!$A$2:$F$23,MATCH(LEFT($B384,FIND("_",$B384)-1),WP!$E$2:$E$23,0),2))),INDEX(WP!$A$2:$F$23,MATCH(Results!$B384,WP!$E$2:$E$23,0),2)),5),(IFERROR(IF(FIND("_",$B384)&gt;0,INDEX(WP!$A$2:$F$23,MATCH(LEFT($B384,FIND("_",$B384)-1),WP!$E$2:$E$23,0),2),IF(FIND("-",$B384)&gt;0,INDEX(WP!$A$2:$F$23,MATCH(LEFT($B384,FIND("_",$B384)-1),WP!$E$2:$E$23,0),2))),INDEX(WP!$A$2:$F$23,MATCH(Results!$B384,WP!$E$2:$E$23,0),2))))&amp;"-"&amp;$I384),"")</f>
        <v/>
      </c>
      <c r="G384" s="17" t="str">
        <f>IF(LEN(_xlfn.IFNA(IF(IFERROR(IF(FIND("_",$B384)&gt;0,MID($B384,FIND("_",$B384)+1,LEN($B384)),IF(FIND("-",$B384)&gt;0,MID($B384,FIND("-",$B384)+1,LEN($B384)))),"")="",IFERROR(VLOOKUP($F384,WP!$B$2:$C$23,2,0),VLOOKUP($C384,Series!$A$3:$F$11,6,0)),IFERROR(VLOOKUP($F384,WP!$B$2:$C$23,2,0),VLOOKUP($C384,Series!$A$3:$F$11,6,0))&amp;" - "&amp;(IFERROR(IF(FIND("_",$B384)&gt;0,MID($B384,FIND("_",$B384)+1,LEN($B384)),IF(FIND("-",$B384)&gt;0,MID($B384,FIND("-",$B384)+1,LEN($B384)))),""))),""))&lt;64,_xlfn.IFNA(IF(IFERROR(IF(FIND("_",$B384)&gt;0,MID($B384,FIND("_",$B384)+1,LEN($B384)),IF(FIND("-",$B384)&gt;0,MID($B384,FIND("-",$B384)+1,LEN($B384)))),"")="",IFERROR(VLOOKUP($F384,WP!$B$2:$C$23,2,0),VLOOKUP($C384,Series!$A$3:$F$11,6,0)),IFERROR(VLOOKUP($F384,WP!$B$2:$C$23,2,0),VLOOKUP($C384,Series!$A$3:$F$11,6,0))&amp;" - "&amp;(IFERROR(IF(FIND("_",$B384)&gt;0,MID($B384,FIND("_",$B384)+1,LEN($B384)),IF(FIND("-",$B384)&gt;0,MID($B384,FIND("-",$B384)+1,LEN($B384)))),""))),""),LEFT((_xlfn.IFNA(IF(IFERROR(IF(FIND("_",$B384)&gt;0,MID($B384,FIND("_",$B384)+1,LEN($B384)),IF(FIND("-",$B384)&gt;0,MID($B384,FIND("-",$B384)+1,LEN($B384)))),"")="",IFERROR(VLOOKUP($F384,WP!$B$2:$C$23,2,0),VLOOKUP($C384,Series!$A$3:$F$11,6,0)),IFERROR(VLOOKUP($F384,WP!$B$2:$C$23,2,0),VLOOKUP($C384,Series!$A$3:$F$11,6,0))&amp;" - "&amp;(IFERROR(IF(FIND("_",$B384)&gt;0,MID($B384,FIND("_",$B384)+1,LEN($B384)),IF(FIND("-",$B384)&gt;0,MID($B384,FIND("-",$B384)+1,LEN($B384)))),""))),"")),64))</f>
        <v/>
      </c>
      <c r="H384" s="12"/>
      <c r="I384" s="12" t="str">
        <f>IF($D384&lt;&gt;"",COUNTIF($D$7:$D384,"="&amp;$D384),"")</f>
        <v/>
      </c>
      <c r="J384"/>
      <c r="K384" s="8"/>
      <c r="L384"/>
    </row>
    <row r="385" spans="1:12" x14ac:dyDescent="0.3">
      <c r="A385" s="1"/>
      <c r="B385" s="26"/>
      <c r="C385" s="12" t="str">
        <f>_xlfn.IFNA(IFERROR(IF(FIND("_",$B385)&gt;0,INDEX(WP!$A$2:$F$23,MATCH(LEFT($B385,FIND("_",$B385)-1),WP!$E$2:$E$23,0),1),IF(FIND("-",$B385)&gt;0,INDEX(WP!$A$2:$F$23,MATCH(LEFT($B385,FIND("_",$B385)-1),WP!$E$2:$E$23,0),1))),INDEX(WP!$A$2:$F$23,MATCH(Results!$B385,WP!$E$2:$E$23,0),1)),"")</f>
        <v/>
      </c>
      <c r="D385" s="12" t="str">
        <f>IFERROR(IFERROR(IF(RIGHT(INDEX(WP!$A$2:$F$23,MATCH(IF(FIND("_",$B385)&gt;0,LEFT($B385,FIND("_",$B385)-1)),WP!$E$2:$E$23,0),2),6)="Series",LEFT(INDEX(WP!$A$2:$F$23,MATCH(IF(FIND("_",$B385)&gt;0,LEFT($B385,FIND("_",$B385)-1)),WP!$E$2:$E$23,0),2),5),""),IF(RIGHT(INDEX(WP!$A$2:$F$23,MATCH($B385,WP!$E$2:$E$23,0),2),6)="Series",LEFT(INDEX(WP!$A$2:$F$23,MATCH($B385,WP!$E$2:$E$23,0),2),5),"")),"")</f>
        <v/>
      </c>
      <c r="E385" s="17" t="str">
        <f>IFERROR(VLOOKUP(VALUE($D385),Series!$B$3:$F$11,2,0),"")</f>
        <v/>
      </c>
      <c r="F385" s="12" t="str">
        <f>_xlfn.IFNA(IF(IF($D385&lt;&gt;"",COUNTIF($E:$E,"="&amp;$D385),"")="",IF(RIGHT(IFERROR(IF(FIND("_",$B385)&gt;0,INDEX(WP!$A$2:$F$23,MATCH(LEFT($B385,FIND("_",$B385)-1),WP!$E$2:$E$23,0),2),IF(FIND("-",$B385)&gt;0,INDEX(WP!$A$2:$F$23,MATCH(LEFT($B385,FIND("_",$B385)-1),WP!$E$2:$E$23,0),2))),INDEX(WP!$A$2:$F$23,MATCH(Results!$B385,WP!$E$2:$E$23,0),2)),6)="Series",LEFT(IFERROR(IF(FIND("_",$B385)&gt;0,INDEX(WP!$A$2:$F$23,MATCH(LEFT($B385,FIND("_",$B385)-1),WP!$E$2:$E$23,0),2),IF(FIND("-",$B385)&gt;0,INDEX(WP!$A$2:$F$23,MATCH(LEFT($B385,FIND("_",$B385)-1),WP!$E$2:$E$23,0),2))),INDEX(WP!$A$2:$F$23,MATCH(Results!$B385,WP!$E$2:$E$23,0),2)),5),(IFERROR(IF(FIND("_",$B385)&gt;0,INDEX(WP!$A$2:$F$23,MATCH(LEFT($B385,FIND("_",$B385)-1),WP!$E$2:$E$23,0),2),IF(FIND("-",$B385)&gt;0,INDEX(WP!$A$2:$F$23,MATCH(LEFT($B385,FIND("_",$B385)-1),WP!$E$2:$E$23,0),2))),INDEX(WP!$A$2:$F$23,MATCH(Results!$B385,WP!$E$2:$E$23,0),2)))),IF(RIGHT(IFERROR(IF(FIND("_",$B385)&gt;0,INDEX(WP!$A$2:$F$23,MATCH(LEFT($B385,FIND("_",$B385)-1),WP!$E$2:$E$23,0),2),IF(FIND("-",$B385)&gt;0,INDEX(WP!$A$2:$F$23,MATCH(LEFT($B385,FIND("_",$B385)-1),WP!$E$2:$E$23,0),2))),INDEX(WP!$A$2:$F$23,MATCH(Results!$B385,WP!$E$2:$E$23,0),2)),6)="Series",LEFT(IFERROR(IF(FIND("_",$B385)&gt;0,INDEX(WP!$A$2:$F$23,MATCH(LEFT($B385,FIND("_",$B385)-1),WP!$E$2:$E$23,0),2),IF(FIND("-",$B385)&gt;0,INDEX(WP!$A$2:$F$23,MATCH(LEFT($B385,FIND("_",$B385)-1),WP!$E$2:$E$23,0),2))),INDEX(WP!$A$2:$F$23,MATCH(Results!$B385,WP!$E$2:$E$23,0),2)),5),(IFERROR(IF(FIND("_",$B385)&gt;0,INDEX(WP!$A$2:$F$23,MATCH(LEFT($B385,FIND("_",$B385)-1),WP!$E$2:$E$23,0),2),IF(FIND("-",$B385)&gt;0,INDEX(WP!$A$2:$F$23,MATCH(LEFT($B385,FIND("_",$B385)-1),WP!$E$2:$E$23,0),2))),INDEX(WP!$A$2:$F$23,MATCH(Results!$B385,WP!$E$2:$E$23,0),2))))&amp;"-"&amp;$I385),"")</f>
        <v/>
      </c>
      <c r="G385" s="17" t="str">
        <f>IF(LEN(_xlfn.IFNA(IF(IFERROR(IF(FIND("_",$B385)&gt;0,MID($B385,FIND("_",$B385)+1,LEN($B385)),IF(FIND("-",$B385)&gt;0,MID($B385,FIND("-",$B385)+1,LEN($B385)))),"")="",IFERROR(VLOOKUP($F385,WP!$B$2:$C$23,2,0),VLOOKUP($C385,Series!$A$3:$F$11,6,0)),IFERROR(VLOOKUP($F385,WP!$B$2:$C$23,2,0),VLOOKUP($C385,Series!$A$3:$F$11,6,0))&amp;" - "&amp;(IFERROR(IF(FIND("_",$B385)&gt;0,MID($B385,FIND("_",$B385)+1,LEN($B385)),IF(FIND("-",$B385)&gt;0,MID($B385,FIND("-",$B385)+1,LEN($B385)))),""))),""))&lt;64,_xlfn.IFNA(IF(IFERROR(IF(FIND("_",$B385)&gt;0,MID($B385,FIND("_",$B385)+1,LEN($B385)),IF(FIND("-",$B385)&gt;0,MID($B385,FIND("-",$B385)+1,LEN($B385)))),"")="",IFERROR(VLOOKUP($F385,WP!$B$2:$C$23,2,0),VLOOKUP($C385,Series!$A$3:$F$11,6,0)),IFERROR(VLOOKUP($F385,WP!$B$2:$C$23,2,0),VLOOKUP($C385,Series!$A$3:$F$11,6,0))&amp;" - "&amp;(IFERROR(IF(FIND("_",$B385)&gt;0,MID($B385,FIND("_",$B385)+1,LEN($B385)),IF(FIND("-",$B385)&gt;0,MID($B385,FIND("-",$B385)+1,LEN($B385)))),""))),""),LEFT((_xlfn.IFNA(IF(IFERROR(IF(FIND("_",$B385)&gt;0,MID($B385,FIND("_",$B385)+1,LEN($B385)),IF(FIND("-",$B385)&gt;0,MID($B385,FIND("-",$B385)+1,LEN($B385)))),"")="",IFERROR(VLOOKUP($F385,WP!$B$2:$C$23,2,0),VLOOKUP($C385,Series!$A$3:$F$11,6,0)),IFERROR(VLOOKUP($F385,WP!$B$2:$C$23,2,0),VLOOKUP($C385,Series!$A$3:$F$11,6,0))&amp;" - "&amp;(IFERROR(IF(FIND("_",$B385)&gt;0,MID($B385,FIND("_",$B385)+1,LEN($B385)),IF(FIND("-",$B385)&gt;0,MID($B385,FIND("-",$B385)+1,LEN($B385)))),""))),"")),64))</f>
        <v/>
      </c>
      <c r="H385" s="12"/>
      <c r="I385" s="12" t="str">
        <f>IF($D385&lt;&gt;"",COUNTIF($D$7:$D385,"="&amp;$D385),"")</f>
        <v/>
      </c>
      <c r="J385"/>
      <c r="K385" s="8"/>
      <c r="L385"/>
    </row>
    <row r="386" spans="1:12" x14ac:dyDescent="0.3">
      <c r="A386" s="1"/>
      <c r="B386" s="26"/>
      <c r="C386" s="12" t="str">
        <f>_xlfn.IFNA(IFERROR(IF(FIND("_",$B386)&gt;0,INDEX(WP!$A$2:$F$23,MATCH(LEFT($B386,FIND("_",$B386)-1),WP!$E$2:$E$23,0),1),IF(FIND("-",$B386)&gt;0,INDEX(WP!$A$2:$F$23,MATCH(LEFT($B386,FIND("_",$B386)-1),WP!$E$2:$E$23,0),1))),INDEX(WP!$A$2:$F$23,MATCH(Results!$B386,WP!$E$2:$E$23,0),1)),"")</f>
        <v/>
      </c>
      <c r="D386" s="12" t="str">
        <f>IFERROR(IFERROR(IF(RIGHT(INDEX(WP!$A$2:$F$23,MATCH(IF(FIND("_",$B386)&gt;0,LEFT($B386,FIND("_",$B386)-1)),WP!$E$2:$E$23,0),2),6)="Series",LEFT(INDEX(WP!$A$2:$F$23,MATCH(IF(FIND("_",$B386)&gt;0,LEFT($B386,FIND("_",$B386)-1)),WP!$E$2:$E$23,0),2),5),""),IF(RIGHT(INDEX(WP!$A$2:$F$23,MATCH($B386,WP!$E$2:$E$23,0),2),6)="Series",LEFT(INDEX(WP!$A$2:$F$23,MATCH($B386,WP!$E$2:$E$23,0),2),5),"")),"")</f>
        <v/>
      </c>
      <c r="E386" s="17" t="str">
        <f>IFERROR(VLOOKUP(VALUE($D386),Series!$B$3:$F$11,2,0),"")</f>
        <v/>
      </c>
      <c r="F386" s="12" t="str">
        <f>_xlfn.IFNA(IF(IF($D386&lt;&gt;"",COUNTIF($E:$E,"="&amp;$D386),"")="",IF(RIGHT(IFERROR(IF(FIND("_",$B386)&gt;0,INDEX(WP!$A$2:$F$23,MATCH(LEFT($B386,FIND("_",$B386)-1),WP!$E$2:$E$23,0),2),IF(FIND("-",$B386)&gt;0,INDEX(WP!$A$2:$F$23,MATCH(LEFT($B386,FIND("_",$B386)-1),WP!$E$2:$E$23,0),2))),INDEX(WP!$A$2:$F$23,MATCH(Results!$B386,WP!$E$2:$E$23,0),2)),6)="Series",LEFT(IFERROR(IF(FIND("_",$B386)&gt;0,INDEX(WP!$A$2:$F$23,MATCH(LEFT($B386,FIND("_",$B386)-1),WP!$E$2:$E$23,0),2),IF(FIND("-",$B386)&gt;0,INDEX(WP!$A$2:$F$23,MATCH(LEFT($B386,FIND("_",$B386)-1),WP!$E$2:$E$23,0),2))),INDEX(WP!$A$2:$F$23,MATCH(Results!$B386,WP!$E$2:$E$23,0),2)),5),(IFERROR(IF(FIND("_",$B386)&gt;0,INDEX(WP!$A$2:$F$23,MATCH(LEFT($B386,FIND("_",$B386)-1),WP!$E$2:$E$23,0),2),IF(FIND("-",$B386)&gt;0,INDEX(WP!$A$2:$F$23,MATCH(LEFT($B386,FIND("_",$B386)-1),WP!$E$2:$E$23,0),2))),INDEX(WP!$A$2:$F$23,MATCH(Results!$B386,WP!$E$2:$E$23,0),2)))),IF(RIGHT(IFERROR(IF(FIND("_",$B386)&gt;0,INDEX(WP!$A$2:$F$23,MATCH(LEFT($B386,FIND("_",$B386)-1),WP!$E$2:$E$23,0),2),IF(FIND("-",$B386)&gt;0,INDEX(WP!$A$2:$F$23,MATCH(LEFT($B386,FIND("_",$B386)-1),WP!$E$2:$E$23,0),2))),INDEX(WP!$A$2:$F$23,MATCH(Results!$B386,WP!$E$2:$E$23,0),2)),6)="Series",LEFT(IFERROR(IF(FIND("_",$B386)&gt;0,INDEX(WP!$A$2:$F$23,MATCH(LEFT($B386,FIND("_",$B386)-1),WP!$E$2:$E$23,0),2),IF(FIND("-",$B386)&gt;0,INDEX(WP!$A$2:$F$23,MATCH(LEFT($B386,FIND("_",$B386)-1),WP!$E$2:$E$23,0),2))),INDEX(WP!$A$2:$F$23,MATCH(Results!$B386,WP!$E$2:$E$23,0),2)),5),(IFERROR(IF(FIND("_",$B386)&gt;0,INDEX(WP!$A$2:$F$23,MATCH(LEFT($B386,FIND("_",$B386)-1),WP!$E$2:$E$23,0),2),IF(FIND("-",$B386)&gt;0,INDEX(WP!$A$2:$F$23,MATCH(LEFT($B386,FIND("_",$B386)-1),WP!$E$2:$E$23,0),2))),INDEX(WP!$A$2:$F$23,MATCH(Results!$B386,WP!$E$2:$E$23,0),2))))&amp;"-"&amp;$I386),"")</f>
        <v/>
      </c>
      <c r="G386" s="17" t="str">
        <f>IF(LEN(_xlfn.IFNA(IF(IFERROR(IF(FIND("_",$B386)&gt;0,MID($B386,FIND("_",$B386)+1,LEN($B386)),IF(FIND("-",$B386)&gt;0,MID($B386,FIND("-",$B386)+1,LEN($B386)))),"")="",IFERROR(VLOOKUP($F386,WP!$B$2:$C$23,2,0),VLOOKUP($C386,Series!$A$3:$F$11,6,0)),IFERROR(VLOOKUP($F386,WP!$B$2:$C$23,2,0),VLOOKUP($C386,Series!$A$3:$F$11,6,0))&amp;" - "&amp;(IFERROR(IF(FIND("_",$B386)&gt;0,MID($B386,FIND("_",$B386)+1,LEN($B386)),IF(FIND("-",$B386)&gt;0,MID($B386,FIND("-",$B386)+1,LEN($B386)))),""))),""))&lt;64,_xlfn.IFNA(IF(IFERROR(IF(FIND("_",$B386)&gt;0,MID($B386,FIND("_",$B386)+1,LEN($B386)),IF(FIND("-",$B386)&gt;0,MID($B386,FIND("-",$B386)+1,LEN($B386)))),"")="",IFERROR(VLOOKUP($F386,WP!$B$2:$C$23,2,0),VLOOKUP($C386,Series!$A$3:$F$11,6,0)),IFERROR(VLOOKUP($F386,WP!$B$2:$C$23,2,0),VLOOKUP($C386,Series!$A$3:$F$11,6,0))&amp;" - "&amp;(IFERROR(IF(FIND("_",$B386)&gt;0,MID($B386,FIND("_",$B386)+1,LEN($B386)),IF(FIND("-",$B386)&gt;0,MID($B386,FIND("-",$B386)+1,LEN($B386)))),""))),""),LEFT((_xlfn.IFNA(IF(IFERROR(IF(FIND("_",$B386)&gt;0,MID($B386,FIND("_",$B386)+1,LEN($B386)),IF(FIND("-",$B386)&gt;0,MID($B386,FIND("-",$B386)+1,LEN($B386)))),"")="",IFERROR(VLOOKUP($F386,WP!$B$2:$C$23,2,0),VLOOKUP($C386,Series!$A$3:$F$11,6,0)),IFERROR(VLOOKUP($F386,WP!$B$2:$C$23,2,0),VLOOKUP($C386,Series!$A$3:$F$11,6,0))&amp;" - "&amp;(IFERROR(IF(FIND("_",$B386)&gt;0,MID($B386,FIND("_",$B386)+1,LEN($B386)),IF(FIND("-",$B386)&gt;0,MID($B386,FIND("-",$B386)+1,LEN($B386)))),""))),"")),64))</f>
        <v/>
      </c>
      <c r="H386" s="12"/>
      <c r="I386" s="12" t="str">
        <f>IF($D386&lt;&gt;"",COUNTIF($D$7:$D386,"="&amp;$D386),"")</f>
        <v/>
      </c>
      <c r="J386"/>
      <c r="K386" s="8"/>
      <c r="L386"/>
    </row>
    <row r="387" spans="1:12" x14ac:dyDescent="0.3">
      <c r="A387" s="1"/>
      <c r="B387" s="26"/>
      <c r="C387" s="12" t="str">
        <f>_xlfn.IFNA(IFERROR(IF(FIND("_",$B387)&gt;0,INDEX(WP!$A$2:$F$23,MATCH(LEFT($B387,FIND("_",$B387)-1),WP!$E$2:$E$23,0),1),IF(FIND("-",$B387)&gt;0,INDEX(WP!$A$2:$F$23,MATCH(LEFT($B387,FIND("_",$B387)-1),WP!$E$2:$E$23,0),1))),INDEX(WP!$A$2:$F$23,MATCH(Results!$B387,WP!$E$2:$E$23,0),1)),"")</f>
        <v/>
      </c>
      <c r="D387" s="12" t="str">
        <f>IFERROR(IFERROR(IF(RIGHT(INDEX(WP!$A$2:$F$23,MATCH(IF(FIND("_",$B387)&gt;0,LEFT($B387,FIND("_",$B387)-1)),WP!$E$2:$E$23,0),2),6)="Series",LEFT(INDEX(WP!$A$2:$F$23,MATCH(IF(FIND("_",$B387)&gt;0,LEFT($B387,FIND("_",$B387)-1)),WP!$E$2:$E$23,0),2),5),""),IF(RIGHT(INDEX(WP!$A$2:$F$23,MATCH($B387,WP!$E$2:$E$23,0),2),6)="Series",LEFT(INDEX(WP!$A$2:$F$23,MATCH($B387,WP!$E$2:$E$23,0),2),5),"")),"")</f>
        <v/>
      </c>
      <c r="E387" s="17" t="str">
        <f>IFERROR(VLOOKUP(VALUE($D387),Series!$B$3:$F$11,2,0),"")</f>
        <v/>
      </c>
      <c r="F387" s="12" t="str">
        <f>_xlfn.IFNA(IF(IF($D387&lt;&gt;"",COUNTIF($E:$E,"="&amp;$D387),"")="",IF(RIGHT(IFERROR(IF(FIND("_",$B387)&gt;0,INDEX(WP!$A$2:$F$23,MATCH(LEFT($B387,FIND("_",$B387)-1),WP!$E$2:$E$23,0),2),IF(FIND("-",$B387)&gt;0,INDEX(WP!$A$2:$F$23,MATCH(LEFT($B387,FIND("_",$B387)-1),WP!$E$2:$E$23,0),2))),INDEX(WP!$A$2:$F$23,MATCH(Results!$B387,WP!$E$2:$E$23,0),2)),6)="Series",LEFT(IFERROR(IF(FIND("_",$B387)&gt;0,INDEX(WP!$A$2:$F$23,MATCH(LEFT($B387,FIND("_",$B387)-1),WP!$E$2:$E$23,0),2),IF(FIND("-",$B387)&gt;0,INDEX(WP!$A$2:$F$23,MATCH(LEFT($B387,FIND("_",$B387)-1),WP!$E$2:$E$23,0),2))),INDEX(WP!$A$2:$F$23,MATCH(Results!$B387,WP!$E$2:$E$23,0),2)),5),(IFERROR(IF(FIND("_",$B387)&gt;0,INDEX(WP!$A$2:$F$23,MATCH(LEFT($B387,FIND("_",$B387)-1),WP!$E$2:$E$23,0),2),IF(FIND("-",$B387)&gt;0,INDEX(WP!$A$2:$F$23,MATCH(LEFT($B387,FIND("_",$B387)-1),WP!$E$2:$E$23,0),2))),INDEX(WP!$A$2:$F$23,MATCH(Results!$B387,WP!$E$2:$E$23,0),2)))),IF(RIGHT(IFERROR(IF(FIND("_",$B387)&gt;0,INDEX(WP!$A$2:$F$23,MATCH(LEFT($B387,FIND("_",$B387)-1),WP!$E$2:$E$23,0),2),IF(FIND("-",$B387)&gt;0,INDEX(WP!$A$2:$F$23,MATCH(LEFT($B387,FIND("_",$B387)-1),WP!$E$2:$E$23,0),2))),INDEX(WP!$A$2:$F$23,MATCH(Results!$B387,WP!$E$2:$E$23,0),2)),6)="Series",LEFT(IFERROR(IF(FIND("_",$B387)&gt;0,INDEX(WP!$A$2:$F$23,MATCH(LEFT($B387,FIND("_",$B387)-1),WP!$E$2:$E$23,0),2),IF(FIND("-",$B387)&gt;0,INDEX(WP!$A$2:$F$23,MATCH(LEFT($B387,FIND("_",$B387)-1),WP!$E$2:$E$23,0),2))),INDEX(WP!$A$2:$F$23,MATCH(Results!$B387,WP!$E$2:$E$23,0),2)),5),(IFERROR(IF(FIND("_",$B387)&gt;0,INDEX(WP!$A$2:$F$23,MATCH(LEFT($B387,FIND("_",$B387)-1),WP!$E$2:$E$23,0),2),IF(FIND("-",$B387)&gt;0,INDEX(WP!$A$2:$F$23,MATCH(LEFT($B387,FIND("_",$B387)-1),WP!$E$2:$E$23,0),2))),INDEX(WP!$A$2:$F$23,MATCH(Results!$B387,WP!$E$2:$E$23,0),2))))&amp;"-"&amp;$I387),"")</f>
        <v/>
      </c>
      <c r="G387" s="17" t="str">
        <f>IF(LEN(_xlfn.IFNA(IF(IFERROR(IF(FIND("_",$B387)&gt;0,MID($B387,FIND("_",$B387)+1,LEN($B387)),IF(FIND("-",$B387)&gt;0,MID($B387,FIND("-",$B387)+1,LEN($B387)))),"")="",IFERROR(VLOOKUP($F387,WP!$B$2:$C$23,2,0),VLOOKUP($C387,Series!$A$3:$F$11,6,0)),IFERROR(VLOOKUP($F387,WP!$B$2:$C$23,2,0),VLOOKUP($C387,Series!$A$3:$F$11,6,0))&amp;" - "&amp;(IFERROR(IF(FIND("_",$B387)&gt;0,MID($B387,FIND("_",$B387)+1,LEN($B387)),IF(FIND("-",$B387)&gt;0,MID($B387,FIND("-",$B387)+1,LEN($B387)))),""))),""))&lt;64,_xlfn.IFNA(IF(IFERROR(IF(FIND("_",$B387)&gt;0,MID($B387,FIND("_",$B387)+1,LEN($B387)),IF(FIND("-",$B387)&gt;0,MID($B387,FIND("-",$B387)+1,LEN($B387)))),"")="",IFERROR(VLOOKUP($F387,WP!$B$2:$C$23,2,0),VLOOKUP($C387,Series!$A$3:$F$11,6,0)),IFERROR(VLOOKUP($F387,WP!$B$2:$C$23,2,0),VLOOKUP($C387,Series!$A$3:$F$11,6,0))&amp;" - "&amp;(IFERROR(IF(FIND("_",$B387)&gt;0,MID($B387,FIND("_",$B387)+1,LEN($B387)),IF(FIND("-",$B387)&gt;0,MID($B387,FIND("-",$B387)+1,LEN($B387)))),""))),""),LEFT((_xlfn.IFNA(IF(IFERROR(IF(FIND("_",$B387)&gt;0,MID($B387,FIND("_",$B387)+1,LEN($B387)),IF(FIND("-",$B387)&gt;0,MID($B387,FIND("-",$B387)+1,LEN($B387)))),"")="",IFERROR(VLOOKUP($F387,WP!$B$2:$C$23,2,0),VLOOKUP($C387,Series!$A$3:$F$11,6,0)),IFERROR(VLOOKUP($F387,WP!$B$2:$C$23,2,0),VLOOKUP($C387,Series!$A$3:$F$11,6,0))&amp;" - "&amp;(IFERROR(IF(FIND("_",$B387)&gt;0,MID($B387,FIND("_",$B387)+1,LEN($B387)),IF(FIND("-",$B387)&gt;0,MID($B387,FIND("-",$B387)+1,LEN($B387)))),""))),"")),64))</f>
        <v/>
      </c>
      <c r="H387" s="12"/>
      <c r="I387" s="12" t="str">
        <f>IF($D387&lt;&gt;"",COUNTIF($D$7:$D387,"="&amp;$D387),"")</f>
        <v/>
      </c>
      <c r="J387"/>
      <c r="K387" s="8"/>
      <c r="L387"/>
    </row>
    <row r="388" spans="1:12" x14ac:dyDescent="0.3">
      <c r="A388" s="1"/>
      <c r="B388" s="26"/>
      <c r="C388" s="12" t="str">
        <f>_xlfn.IFNA(IFERROR(IF(FIND("_",$B388)&gt;0,INDEX(WP!$A$2:$F$23,MATCH(LEFT($B388,FIND("_",$B388)-1),WP!$E$2:$E$23,0),1),IF(FIND("-",$B388)&gt;0,INDEX(WP!$A$2:$F$23,MATCH(LEFT($B388,FIND("_",$B388)-1),WP!$E$2:$E$23,0),1))),INDEX(WP!$A$2:$F$23,MATCH(Results!$B388,WP!$E$2:$E$23,0),1)),"")</f>
        <v/>
      </c>
      <c r="D388" s="12" t="str">
        <f>IFERROR(IFERROR(IF(RIGHT(INDEX(WP!$A$2:$F$23,MATCH(IF(FIND("_",$B388)&gt;0,LEFT($B388,FIND("_",$B388)-1)),WP!$E$2:$E$23,0),2),6)="Series",LEFT(INDEX(WP!$A$2:$F$23,MATCH(IF(FIND("_",$B388)&gt;0,LEFT($B388,FIND("_",$B388)-1)),WP!$E$2:$E$23,0),2),5),""),IF(RIGHT(INDEX(WP!$A$2:$F$23,MATCH($B388,WP!$E$2:$E$23,0),2),6)="Series",LEFT(INDEX(WP!$A$2:$F$23,MATCH($B388,WP!$E$2:$E$23,0),2),5),"")),"")</f>
        <v/>
      </c>
      <c r="E388" s="17" t="str">
        <f>IFERROR(VLOOKUP(VALUE($D388),Series!$B$3:$F$11,2,0),"")</f>
        <v/>
      </c>
      <c r="F388" s="12" t="str">
        <f>_xlfn.IFNA(IF(IF($D388&lt;&gt;"",COUNTIF($E:$E,"="&amp;$D388),"")="",IF(RIGHT(IFERROR(IF(FIND("_",$B388)&gt;0,INDEX(WP!$A$2:$F$23,MATCH(LEFT($B388,FIND("_",$B388)-1),WP!$E$2:$E$23,0),2),IF(FIND("-",$B388)&gt;0,INDEX(WP!$A$2:$F$23,MATCH(LEFT($B388,FIND("_",$B388)-1),WP!$E$2:$E$23,0),2))),INDEX(WP!$A$2:$F$23,MATCH(Results!$B388,WP!$E$2:$E$23,0),2)),6)="Series",LEFT(IFERROR(IF(FIND("_",$B388)&gt;0,INDEX(WP!$A$2:$F$23,MATCH(LEFT($B388,FIND("_",$B388)-1),WP!$E$2:$E$23,0),2),IF(FIND("-",$B388)&gt;0,INDEX(WP!$A$2:$F$23,MATCH(LEFT($B388,FIND("_",$B388)-1),WP!$E$2:$E$23,0),2))),INDEX(WP!$A$2:$F$23,MATCH(Results!$B388,WP!$E$2:$E$23,0),2)),5),(IFERROR(IF(FIND("_",$B388)&gt;0,INDEX(WP!$A$2:$F$23,MATCH(LEFT($B388,FIND("_",$B388)-1),WP!$E$2:$E$23,0),2),IF(FIND("-",$B388)&gt;0,INDEX(WP!$A$2:$F$23,MATCH(LEFT($B388,FIND("_",$B388)-1),WP!$E$2:$E$23,0),2))),INDEX(WP!$A$2:$F$23,MATCH(Results!$B388,WP!$E$2:$E$23,0),2)))),IF(RIGHT(IFERROR(IF(FIND("_",$B388)&gt;0,INDEX(WP!$A$2:$F$23,MATCH(LEFT($B388,FIND("_",$B388)-1),WP!$E$2:$E$23,0),2),IF(FIND("-",$B388)&gt;0,INDEX(WP!$A$2:$F$23,MATCH(LEFT($B388,FIND("_",$B388)-1),WP!$E$2:$E$23,0),2))),INDEX(WP!$A$2:$F$23,MATCH(Results!$B388,WP!$E$2:$E$23,0),2)),6)="Series",LEFT(IFERROR(IF(FIND("_",$B388)&gt;0,INDEX(WP!$A$2:$F$23,MATCH(LEFT($B388,FIND("_",$B388)-1),WP!$E$2:$E$23,0),2),IF(FIND("-",$B388)&gt;0,INDEX(WP!$A$2:$F$23,MATCH(LEFT($B388,FIND("_",$B388)-1),WP!$E$2:$E$23,0),2))),INDEX(WP!$A$2:$F$23,MATCH(Results!$B388,WP!$E$2:$E$23,0),2)),5),(IFERROR(IF(FIND("_",$B388)&gt;0,INDEX(WP!$A$2:$F$23,MATCH(LEFT($B388,FIND("_",$B388)-1),WP!$E$2:$E$23,0),2),IF(FIND("-",$B388)&gt;0,INDEX(WP!$A$2:$F$23,MATCH(LEFT($B388,FIND("_",$B388)-1),WP!$E$2:$E$23,0),2))),INDEX(WP!$A$2:$F$23,MATCH(Results!$B388,WP!$E$2:$E$23,0),2))))&amp;"-"&amp;$I388),"")</f>
        <v/>
      </c>
      <c r="G388" s="17" t="str">
        <f>IF(LEN(_xlfn.IFNA(IF(IFERROR(IF(FIND("_",$B388)&gt;0,MID($B388,FIND("_",$B388)+1,LEN($B388)),IF(FIND("-",$B388)&gt;0,MID($B388,FIND("-",$B388)+1,LEN($B388)))),"")="",IFERROR(VLOOKUP($F388,WP!$B$2:$C$23,2,0),VLOOKUP($C388,Series!$A$3:$F$11,6,0)),IFERROR(VLOOKUP($F388,WP!$B$2:$C$23,2,0),VLOOKUP($C388,Series!$A$3:$F$11,6,0))&amp;" - "&amp;(IFERROR(IF(FIND("_",$B388)&gt;0,MID($B388,FIND("_",$B388)+1,LEN($B388)),IF(FIND("-",$B388)&gt;0,MID($B388,FIND("-",$B388)+1,LEN($B388)))),""))),""))&lt;64,_xlfn.IFNA(IF(IFERROR(IF(FIND("_",$B388)&gt;0,MID($B388,FIND("_",$B388)+1,LEN($B388)),IF(FIND("-",$B388)&gt;0,MID($B388,FIND("-",$B388)+1,LEN($B388)))),"")="",IFERROR(VLOOKUP($F388,WP!$B$2:$C$23,2,0),VLOOKUP($C388,Series!$A$3:$F$11,6,0)),IFERROR(VLOOKUP($F388,WP!$B$2:$C$23,2,0),VLOOKUP($C388,Series!$A$3:$F$11,6,0))&amp;" - "&amp;(IFERROR(IF(FIND("_",$B388)&gt;0,MID($B388,FIND("_",$B388)+1,LEN($B388)),IF(FIND("-",$B388)&gt;0,MID($B388,FIND("-",$B388)+1,LEN($B388)))),""))),""),LEFT((_xlfn.IFNA(IF(IFERROR(IF(FIND("_",$B388)&gt;0,MID($B388,FIND("_",$B388)+1,LEN($B388)),IF(FIND("-",$B388)&gt;0,MID($B388,FIND("-",$B388)+1,LEN($B388)))),"")="",IFERROR(VLOOKUP($F388,WP!$B$2:$C$23,2,0),VLOOKUP($C388,Series!$A$3:$F$11,6,0)),IFERROR(VLOOKUP($F388,WP!$B$2:$C$23,2,0),VLOOKUP($C388,Series!$A$3:$F$11,6,0))&amp;" - "&amp;(IFERROR(IF(FIND("_",$B388)&gt;0,MID($B388,FIND("_",$B388)+1,LEN($B388)),IF(FIND("-",$B388)&gt;0,MID($B388,FIND("-",$B388)+1,LEN($B388)))),""))),"")),64))</f>
        <v/>
      </c>
      <c r="H388" s="12"/>
      <c r="I388" s="12" t="str">
        <f>IF($D388&lt;&gt;"",COUNTIF($D$7:$D388,"="&amp;$D388),"")</f>
        <v/>
      </c>
      <c r="J388"/>
      <c r="K388" s="8"/>
      <c r="L388"/>
    </row>
    <row r="389" spans="1:12" x14ac:dyDescent="0.3">
      <c r="A389" s="1"/>
      <c r="B389" s="26"/>
      <c r="C389" s="12" t="str">
        <f>_xlfn.IFNA(IFERROR(IF(FIND("_",$B389)&gt;0,INDEX(WP!$A$2:$F$23,MATCH(LEFT($B389,FIND("_",$B389)-1),WP!$E$2:$E$23,0),1),IF(FIND("-",$B389)&gt;0,INDEX(WP!$A$2:$F$23,MATCH(LEFT($B389,FIND("_",$B389)-1),WP!$E$2:$E$23,0),1))),INDEX(WP!$A$2:$F$23,MATCH(Results!$B389,WP!$E$2:$E$23,0),1)),"")</f>
        <v/>
      </c>
      <c r="D389" s="12" t="str">
        <f>IFERROR(IFERROR(IF(RIGHT(INDEX(WP!$A$2:$F$23,MATCH(IF(FIND("_",$B389)&gt;0,LEFT($B389,FIND("_",$B389)-1)),WP!$E$2:$E$23,0),2),6)="Series",LEFT(INDEX(WP!$A$2:$F$23,MATCH(IF(FIND("_",$B389)&gt;0,LEFT($B389,FIND("_",$B389)-1)),WP!$E$2:$E$23,0),2),5),""),IF(RIGHT(INDEX(WP!$A$2:$F$23,MATCH($B389,WP!$E$2:$E$23,0),2),6)="Series",LEFT(INDEX(WP!$A$2:$F$23,MATCH($B389,WP!$E$2:$E$23,0),2),5),"")),"")</f>
        <v/>
      </c>
      <c r="E389" s="17" t="str">
        <f>IFERROR(VLOOKUP(VALUE($D389),Series!$B$3:$F$11,2,0),"")</f>
        <v/>
      </c>
      <c r="F389" s="12" t="str">
        <f>_xlfn.IFNA(IF(IF($D389&lt;&gt;"",COUNTIF($E:$E,"="&amp;$D389),"")="",IF(RIGHT(IFERROR(IF(FIND("_",$B389)&gt;0,INDEX(WP!$A$2:$F$23,MATCH(LEFT($B389,FIND("_",$B389)-1),WP!$E$2:$E$23,0),2),IF(FIND("-",$B389)&gt;0,INDEX(WP!$A$2:$F$23,MATCH(LEFT($B389,FIND("_",$B389)-1),WP!$E$2:$E$23,0),2))),INDEX(WP!$A$2:$F$23,MATCH(Results!$B389,WP!$E$2:$E$23,0),2)),6)="Series",LEFT(IFERROR(IF(FIND("_",$B389)&gt;0,INDEX(WP!$A$2:$F$23,MATCH(LEFT($B389,FIND("_",$B389)-1),WP!$E$2:$E$23,0),2),IF(FIND("-",$B389)&gt;0,INDEX(WP!$A$2:$F$23,MATCH(LEFT($B389,FIND("_",$B389)-1),WP!$E$2:$E$23,0),2))),INDEX(WP!$A$2:$F$23,MATCH(Results!$B389,WP!$E$2:$E$23,0),2)),5),(IFERROR(IF(FIND("_",$B389)&gt;0,INDEX(WP!$A$2:$F$23,MATCH(LEFT($B389,FIND("_",$B389)-1),WP!$E$2:$E$23,0),2),IF(FIND("-",$B389)&gt;0,INDEX(WP!$A$2:$F$23,MATCH(LEFT($B389,FIND("_",$B389)-1),WP!$E$2:$E$23,0),2))),INDEX(WP!$A$2:$F$23,MATCH(Results!$B389,WP!$E$2:$E$23,0),2)))),IF(RIGHT(IFERROR(IF(FIND("_",$B389)&gt;0,INDEX(WP!$A$2:$F$23,MATCH(LEFT($B389,FIND("_",$B389)-1),WP!$E$2:$E$23,0),2),IF(FIND("-",$B389)&gt;0,INDEX(WP!$A$2:$F$23,MATCH(LEFT($B389,FIND("_",$B389)-1),WP!$E$2:$E$23,0),2))),INDEX(WP!$A$2:$F$23,MATCH(Results!$B389,WP!$E$2:$E$23,0),2)),6)="Series",LEFT(IFERROR(IF(FIND("_",$B389)&gt;0,INDEX(WP!$A$2:$F$23,MATCH(LEFT($B389,FIND("_",$B389)-1),WP!$E$2:$E$23,0),2),IF(FIND("-",$B389)&gt;0,INDEX(WP!$A$2:$F$23,MATCH(LEFT($B389,FIND("_",$B389)-1),WP!$E$2:$E$23,0),2))),INDEX(WP!$A$2:$F$23,MATCH(Results!$B389,WP!$E$2:$E$23,0),2)),5),(IFERROR(IF(FIND("_",$B389)&gt;0,INDEX(WP!$A$2:$F$23,MATCH(LEFT($B389,FIND("_",$B389)-1),WP!$E$2:$E$23,0),2),IF(FIND("-",$B389)&gt;0,INDEX(WP!$A$2:$F$23,MATCH(LEFT($B389,FIND("_",$B389)-1),WP!$E$2:$E$23,0),2))),INDEX(WP!$A$2:$F$23,MATCH(Results!$B389,WP!$E$2:$E$23,0),2))))&amp;"-"&amp;$I389),"")</f>
        <v/>
      </c>
      <c r="G389" s="17" t="str">
        <f>IF(LEN(_xlfn.IFNA(IF(IFERROR(IF(FIND("_",$B389)&gt;0,MID($B389,FIND("_",$B389)+1,LEN($B389)),IF(FIND("-",$B389)&gt;0,MID($B389,FIND("-",$B389)+1,LEN($B389)))),"")="",IFERROR(VLOOKUP($F389,WP!$B$2:$C$23,2,0),VLOOKUP($C389,Series!$A$3:$F$11,6,0)),IFERROR(VLOOKUP($F389,WP!$B$2:$C$23,2,0),VLOOKUP($C389,Series!$A$3:$F$11,6,0))&amp;" - "&amp;(IFERROR(IF(FIND("_",$B389)&gt;0,MID($B389,FIND("_",$B389)+1,LEN($B389)),IF(FIND("-",$B389)&gt;0,MID($B389,FIND("-",$B389)+1,LEN($B389)))),""))),""))&lt;64,_xlfn.IFNA(IF(IFERROR(IF(FIND("_",$B389)&gt;0,MID($B389,FIND("_",$B389)+1,LEN($B389)),IF(FIND("-",$B389)&gt;0,MID($B389,FIND("-",$B389)+1,LEN($B389)))),"")="",IFERROR(VLOOKUP($F389,WP!$B$2:$C$23,2,0),VLOOKUP($C389,Series!$A$3:$F$11,6,0)),IFERROR(VLOOKUP($F389,WP!$B$2:$C$23,2,0),VLOOKUP($C389,Series!$A$3:$F$11,6,0))&amp;" - "&amp;(IFERROR(IF(FIND("_",$B389)&gt;0,MID($B389,FIND("_",$B389)+1,LEN($B389)),IF(FIND("-",$B389)&gt;0,MID($B389,FIND("-",$B389)+1,LEN($B389)))),""))),""),LEFT((_xlfn.IFNA(IF(IFERROR(IF(FIND("_",$B389)&gt;0,MID($B389,FIND("_",$B389)+1,LEN($B389)),IF(FIND("-",$B389)&gt;0,MID($B389,FIND("-",$B389)+1,LEN($B389)))),"")="",IFERROR(VLOOKUP($F389,WP!$B$2:$C$23,2,0),VLOOKUP($C389,Series!$A$3:$F$11,6,0)),IFERROR(VLOOKUP($F389,WP!$B$2:$C$23,2,0),VLOOKUP($C389,Series!$A$3:$F$11,6,0))&amp;" - "&amp;(IFERROR(IF(FIND("_",$B389)&gt;0,MID($B389,FIND("_",$B389)+1,LEN($B389)),IF(FIND("-",$B389)&gt;0,MID($B389,FIND("-",$B389)+1,LEN($B389)))),""))),"")),64))</f>
        <v/>
      </c>
      <c r="H389" s="12"/>
      <c r="I389" s="12" t="str">
        <f>IF($D389&lt;&gt;"",COUNTIF($D$7:$D389,"="&amp;$D389),"")</f>
        <v/>
      </c>
      <c r="J389"/>
      <c r="K389" s="8"/>
      <c r="L389"/>
    </row>
    <row r="390" spans="1:12" x14ac:dyDescent="0.3">
      <c r="A390" s="1"/>
      <c r="B390" s="26"/>
      <c r="C390" s="12" t="str">
        <f>_xlfn.IFNA(IFERROR(IF(FIND("_",$B390)&gt;0,INDEX(WP!$A$2:$F$23,MATCH(LEFT($B390,FIND("_",$B390)-1),WP!$E$2:$E$23,0),1),IF(FIND("-",$B390)&gt;0,INDEX(WP!$A$2:$F$23,MATCH(LEFT($B390,FIND("_",$B390)-1),WP!$E$2:$E$23,0),1))),INDEX(WP!$A$2:$F$23,MATCH(Results!$B390,WP!$E$2:$E$23,0),1)),"")</f>
        <v/>
      </c>
      <c r="D390" s="12" t="str">
        <f>IFERROR(IFERROR(IF(RIGHT(INDEX(WP!$A$2:$F$23,MATCH(IF(FIND("_",$B390)&gt;0,LEFT($B390,FIND("_",$B390)-1)),WP!$E$2:$E$23,0),2),6)="Series",LEFT(INDEX(WP!$A$2:$F$23,MATCH(IF(FIND("_",$B390)&gt;0,LEFT($B390,FIND("_",$B390)-1)),WP!$E$2:$E$23,0),2),5),""),IF(RIGHT(INDEX(WP!$A$2:$F$23,MATCH($B390,WP!$E$2:$E$23,0),2),6)="Series",LEFT(INDEX(WP!$A$2:$F$23,MATCH($B390,WP!$E$2:$E$23,0),2),5),"")),"")</f>
        <v/>
      </c>
      <c r="E390" s="17" t="str">
        <f>IFERROR(VLOOKUP(VALUE($D390),Series!$B$3:$F$11,2,0),"")</f>
        <v/>
      </c>
      <c r="F390" s="12" t="str">
        <f>_xlfn.IFNA(IF(IF($D390&lt;&gt;"",COUNTIF($E:$E,"="&amp;$D390),"")="",IF(RIGHT(IFERROR(IF(FIND("_",$B390)&gt;0,INDEX(WP!$A$2:$F$23,MATCH(LEFT($B390,FIND("_",$B390)-1),WP!$E$2:$E$23,0),2),IF(FIND("-",$B390)&gt;0,INDEX(WP!$A$2:$F$23,MATCH(LEFT($B390,FIND("_",$B390)-1),WP!$E$2:$E$23,0),2))),INDEX(WP!$A$2:$F$23,MATCH(Results!$B390,WP!$E$2:$E$23,0),2)),6)="Series",LEFT(IFERROR(IF(FIND("_",$B390)&gt;0,INDEX(WP!$A$2:$F$23,MATCH(LEFT($B390,FIND("_",$B390)-1),WP!$E$2:$E$23,0),2),IF(FIND("-",$B390)&gt;0,INDEX(WP!$A$2:$F$23,MATCH(LEFT($B390,FIND("_",$B390)-1),WP!$E$2:$E$23,0),2))),INDEX(WP!$A$2:$F$23,MATCH(Results!$B390,WP!$E$2:$E$23,0),2)),5),(IFERROR(IF(FIND("_",$B390)&gt;0,INDEX(WP!$A$2:$F$23,MATCH(LEFT($B390,FIND("_",$B390)-1),WP!$E$2:$E$23,0),2),IF(FIND("-",$B390)&gt;0,INDEX(WP!$A$2:$F$23,MATCH(LEFT($B390,FIND("_",$B390)-1),WP!$E$2:$E$23,0),2))),INDEX(WP!$A$2:$F$23,MATCH(Results!$B390,WP!$E$2:$E$23,0),2)))),IF(RIGHT(IFERROR(IF(FIND("_",$B390)&gt;0,INDEX(WP!$A$2:$F$23,MATCH(LEFT($B390,FIND("_",$B390)-1),WP!$E$2:$E$23,0),2),IF(FIND("-",$B390)&gt;0,INDEX(WP!$A$2:$F$23,MATCH(LEFT($B390,FIND("_",$B390)-1),WP!$E$2:$E$23,0),2))),INDEX(WP!$A$2:$F$23,MATCH(Results!$B390,WP!$E$2:$E$23,0),2)),6)="Series",LEFT(IFERROR(IF(FIND("_",$B390)&gt;0,INDEX(WP!$A$2:$F$23,MATCH(LEFT($B390,FIND("_",$B390)-1),WP!$E$2:$E$23,0),2),IF(FIND("-",$B390)&gt;0,INDEX(WP!$A$2:$F$23,MATCH(LEFT($B390,FIND("_",$B390)-1),WP!$E$2:$E$23,0),2))),INDEX(WP!$A$2:$F$23,MATCH(Results!$B390,WP!$E$2:$E$23,0),2)),5),(IFERROR(IF(FIND("_",$B390)&gt;0,INDEX(WP!$A$2:$F$23,MATCH(LEFT($B390,FIND("_",$B390)-1),WP!$E$2:$E$23,0),2),IF(FIND("-",$B390)&gt;0,INDEX(WP!$A$2:$F$23,MATCH(LEFT($B390,FIND("_",$B390)-1),WP!$E$2:$E$23,0),2))),INDEX(WP!$A$2:$F$23,MATCH(Results!$B390,WP!$E$2:$E$23,0),2))))&amp;"-"&amp;$I390),"")</f>
        <v/>
      </c>
      <c r="G390" s="17" t="str">
        <f>IF(LEN(_xlfn.IFNA(IF(IFERROR(IF(FIND("_",$B390)&gt;0,MID($B390,FIND("_",$B390)+1,LEN($B390)),IF(FIND("-",$B390)&gt;0,MID($B390,FIND("-",$B390)+1,LEN($B390)))),"")="",IFERROR(VLOOKUP($F390,WP!$B$2:$C$23,2,0),VLOOKUP($C390,Series!$A$3:$F$11,6,0)),IFERROR(VLOOKUP($F390,WP!$B$2:$C$23,2,0),VLOOKUP($C390,Series!$A$3:$F$11,6,0))&amp;" - "&amp;(IFERROR(IF(FIND("_",$B390)&gt;0,MID($B390,FIND("_",$B390)+1,LEN($B390)),IF(FIND("-",$B390)&gt;0,MID($B390,FIND("-",$B390)+1,LEN($B390)))),""))),""))&lt;64,_xlfn.IFNA(IF(IFERROR(IF(FIND("_",$B390)&gt;0,MID($B390,FIND("_",$B390)+1,LEN($B390)),IF(FIND("-",$B390)&gt;0,MID($B390,FIND("-",$B390)+1,LEN($B390)))),"")="",IFERROR(VLOOKUP($F390,WP!$B$2:$C$23,2,0),VLOOKUP($C390,Series!$A$3:$F$11,6,0)),IFERROR(VLOOKUP($F390,WP!$B$2:$C$23,2,0),VLOOKUP($C390,Series!$A$3:$F$11,6,0))&amp;" - "&amp;(IFERROR(IF(FIND("_",$B390)&gt;0,MID($B390,FIND("_",$B390)+1,LEN($B390)),IF(FIND("-",$B390)&gt;0,MID($B390,FIND("-",$B390)+1,LEN($B390)))),""))),""),LEFT((_xlfn.IFNA(IF(IFERROR(IF(FIND("_",$B390)&gt;0,MID($B390,FIND("_",$B390)+1,LEN($B390)),IF(FIND("-",$B390)&gt;0,MID($B390,FIND("-",$B390)+1,LEN($B390)))),"")="",IFERROR(VLOOKUP($F390,WP!$B$2:$C$23,2,0),VLOOKUP($C390,Series!$A$3:$F$11,6,0)),IFERROR(VLOOKUP($F390,WP!$B$2:$C$23,2,0),VLOOKUP($C390,Series!$A$3:$F$11,6,0))&amp;" - "&amp;(IFERROR(IF(FIND("_",$B390)&gt;0,MID($B390,FIND("_",$B390)+1,LEN($B390)),IF(FIND("-",$B390)&gt;0,MID($B390,FIND("-",$B390)+1,LEN($B390)))),""))),"")),64))</f>
        <v/>
      </c>
      <c r="H390" s="12"/>
      <c r="I390" s="12" t="str">
        <f>IF($D390&lt;&gt;"",COUNTIF($D$7:$D390,"="&amp;$D390),"")</f>
        <v/>
      </c>
      <c r="J390"/>
      <c r="K390" s="8"/>
      <c r="L390"/>
    </row>
    <row r="391" spans="1:12" x14ac:dyDescent="0.3">
      <c r="A391" s="1"/>
      <c r="B391" s="26"/>
      <c r="C391" s="12" t="str">
        <f>_xlfn.IFNA(IFERROR(IF(FIND("_",$B391)&gt;0,INDEX(WP!$A$2:$F$23,MATCH(LEFT($B391,FIND("_",$B391)-1),WP!$E$2:$E$23,0),1),IF(FIND("-",$B391)&gt;0,INDEX(WP!$A$2:$F$23,MATCH(LEFT($B391,FIND("_",$B391)-1),WP!$E$2:$E$23,0),1))),INDEX(WP!$A$2:$F$23,MATCH(Results!$B391,WP!$E$2:$E$23,0),1)),"")</f>
        <v/>
      </c>
      <c r="D391" s="12" t="str">
        <f>IFERROR(IFERROR(IF(RIGHT(INDEX(WP!$A$2:$F$23,MATCH(IF(FIND("_",$B391)&gt;0,LEFT($B391,FIND("_",$B391)-1)),WP!$E$2:$E$23,0),2),6)="Series",LEFT(INDEX(WP!$A$2:$F$23,MATCH(IF(FIND("_",$B391)&gt;0,LEFT($B391,FIND("_",$B391)-1)),WP!$E$2:$E$23,0),2),5),""),IF(RIGHT(INDEX(WP!$A$2:$F$23,MATCH($B391,WP!$E$2:$E$23,0),2),6)="Series",LEFT(INDEX(WP!$A$2:$F$23,MATCH($B391,WP!$E$2:$E$23,0),2),5),"")),"")</f>
        <v/>
      </c>
      <c r="E391" s="17" t="str">
        <f>IFERROR(VLOOKUP(VALUE($D391),Series!$B$3:$F$11,2,0),"")</f>
        <v/>
      </c>
      <c r="F391" s="12" t="str">
        <f>_xlfn.IFNA(IF(IF($D391&lt;&gt;"",COUNTIF($E:$E,"="&amp;$D391),"")="",IF(RIGHT(IFERROR(IF(FIND("_",$B391)&gt;0,INDEX(WP!$A$2:$F$23,MATCH(LEFT($B391,FIND("_",$B391)-1),WP!$E$2:$E$23,0),2),IF(FIND("-",$B391)&gt;0,INDEX(WP!$A$2:$F$23,MATCH(LEFT($B391,FIND("_",$B391)-1),WP!$E$2:$E$23,0),2))),INDEX(WP!$A$2:$F$23,MATCH(Results!$B391,WP!$E$2:$E$23,0),2)),6)="Series",LEFT(IFERROR(IF(FIND("_",$B391)&gt;0,INDEX(WP!$A$2:$F$23,MATCH(LEFT($B391,FIND("_",$B391)-1),WP!$E$2:$E$23,0),2),IF(FIND("-",$B391)&gt;0,INDEX(WP!$A$2:$F$23,MATCH(LEFT($B391,FIND("_",$B391)-1),WP!$E$2:$E$23,0),2))),INDEX(WP!$A$2:$F$23,MATCH(Results!$B391,WP!$E$2:$E$23,0),2)),5),(IFERROR(IF(FIND("_",$B391)&gt;0,INDEX(WP!$A$2:$F$23,MATCH(LEFT($B391,FIND("_",$B391)-1),WP!$E$2:$E$23,0),2),IF(FIND("-",$B391)&gt;0,INDEX(WP!$A$2:$F$23,MATCH(LEFT($B391,FIND("_",$B391)-1),WP!$E$2:$E$23,0),2))),INDEX(WP!$A$2:$F$23,MATCH(Results!$B391,WP!$E$2:$E$23,0),2)))),IF(RIGHT(IFERROR(IF(FIND("_",$B391)&gt;0,INDEX(WP!$A$2:$F$23,MATCH(LEFT($B391,FIND("_",$B391)-1),WP!$E$2:$E$23,0),2),IF(FIND("-",$B391)&gt;0,INDEX(WP!$A$2:$F$23,MATCH(LEFT($B391,FIND("_",$B391)-1),WP!$E$2:$E$23,0),2))),INDEX(WP!$A$2:$F$23,MATCH(Results!$B391,WP!$E$2:$E$23,0),2)),6)="Series",LEFT(IFERROR(IF(FIND("_",$B391)&gt;0,INDEX(WP!$A$2:$F$23,MATCH(LEFT($B391,FIND("_",$B391)-1),WP!$E$2:$E$23,0),2),IF(FIND("-",$B391)&gt;0,INDEX(WP!$A$2:$F$23,MATCH(LEFT($B391,FIND("_",$B391)-1),WP!$E$2:$E$23,0),2))),INDEX(WP!$A$2:$F$23,MATCH(Results!$B391,WP!$E$2:$E$23,0),2)),5),(IFERROR(IF(FIND("_",$B391)&gt;0,INDEX(WP!$A$2:$F$23,MATCH(LEFT($B391,FIND("_",$B391)-1),WP!$E$2:$E$23,0),2),IF(FIND("-",$B391)&gt;0,INDEX(WP!$A$2:$F$23,MATCH(LEFT($B391,FIND("_",$B391)-1),WP!$E$2:$E$23,0),2))),INDEX(WP!$A$2:$F$23,MATCH(Results!$B391,WP!$E$2:$E$23,0),2))))&amp;"-"&amp;$I391),"")</f>
        <v/>
      </c>
      <c r="G391" s="17" t="str">
        <f>IF(LEN(_xlfn.IFNA(IF(IFERROR(IF(FIND("_",$B391)&gt;0,MID($B391,FIND("_",$B391)+1,LEN($B391)),IF(FIND("-",$B391)&gt;0,MID($B391,FIND("-",$B391)+1,LEN($B391)))),"")="",IFERROR(VLOOKUP($F391,WP!$B$2:$C$23,2,0),VLOOKUP($C391,Series!$A$3:$F$11,6,0)),IFERROR(VLOOKUP($F391,WP!$B$2:$C$23,2,0),VLOOKUP($C391,Series!$A$3:$F$11,6,0))&amp;" - "&amp;(IFERROR(IF(FIND("_",$B391)&gt;0,MID($B391,FIND("_",$B391)+1,LEN($B391)),IF(FIND("-",$B391)&gt;0,MID($B391,FIND("-",$B391)+1,LEN($B391)))),""))),""))&lt;64,_xlfn.IFNA(IF(IFERROR(IF(FIND("_",$B391)&gt;0,MID($B391,FIND("_",$B391)+1,LEN($B391)),IF(FIND("-",$B391)&gt;0,MID($B391,FIND("-",$B391)+1,LEN($B391)))),"")="",IFERROR(VLOOKUP($F391,WP!$B$2:$C$23,2,0),VLOOKUP($C391,Series!$A$3:$F$11,6,0)),IFERROR(VLOOKUP($F391,WP!$B$2:$C$23,2,0),VLOOKUP($C391,Series!$A$3:$F$11,6,0))&amp;" - "&amp;(IFERROR(IF(FIND("_",$B391)&gt;0,MID($B391,FIND("_",$B391)+1,LEN($B391)),IF(FIND("-",$B391)&gt;0,MID($B391,FIND("-",$B391)+1,LEN($B391)))),""))),""),LEFT((_xlfn.IFNA(IF(IFERROR(IF(FIND("_",$B391)&gt;0,MID($B391,FIND("_",$B391)+1,LEN($B391)),IF(FIND("-",$B391)&gt;0,MID($B391,FIND("-",$B391)+1,LEN($B391)))),"")="",IFERROR(VLOOKUP($F391,WP!$B$2:$C$23,2,0),VLOOKUP($C391,Series!$A$3:$F$11,6,0)),IFERROR(VLOOKUP($F391,WP!$B$2:$C$23,2,0),VLOOKUP($C391,Series!$A$3:$F$11,6,0))&amp;" - "&amp;(IFERROR(IF(FIND("_",$B391)&gt;0,MID($B391,FIND("_",$B391)+1,LEN($B391)),IF(FIND("-",$B391)&gt;0,MID($B391,FIND("-",$B391)+1,LEN($B391)))),""))),"")),64))</f>
        <v/>
      </c>
      <c r="H391" s="12"/>
      <c r="I391" s="12" t="str">
        <f>IF($D391&lt;&gt;"",COUNTIF($D$7:$D391,"="&amp;$D391),"")</f>
        <v/>
      </c>
      <c r="J391"/>
      <c r="K391" s="8"/>
      <c r="L391"/>
    </row>
    <row r="392" spans="1:12" x14ac:dyDescent="0.3">
      <c r="A392" s="1"/>
      <c r="B392" s="26"/>
      <c r="C392" s="12" t="str">
        <f>_xlfn.IFNA(IFERROR(IF(FIND("_",$B392)&gt;0,INDEX(WP!$A$2:$F$23,MATCH(LEFT($B392,FIND("_",$B392)-1),WP!$E$2:$E$23,0),1),IF(FIND("-",$B392)&gt;0,INDEX(WP!$A$2:$F$23,MATCH(LEFT($B392,FIND("_",$B392)-1),WP!$E$2:$E$23,0),1))),INDEX(WP!$A$2:$F$23,MATCH(Results!$B392,WP!$E$2:$E$23,0),1)),"")</f>
        <v/>
      </c>
      <c r="D392" s="12" t="str">
        <f>IFERROR(IFERROR(IF(RIGHT(INDEX(WP!$A$2:$F$23,MATCH(IF(FIND("_",$B392)&gt;0,LEFT($B392,FIND("_",$B392)-1)),WP!$E$2:$E$23,0),2),6)="Series",LEFT(INDEX(WP!$A$2:$F$23,MATCH(IF(FIND("_",$B392)&gt;0,LEFT($B392,FIND("_",$B392)-1)),WP!$E$2:$E$23,0),2),5),""),IF(RIGHT(INDEX(WP!$A$2:$F$23,MATCH($B392,WP!$E$2:$E$23,0),2),6)="Series",LEFT(INDEX(WP!$A$2:$F$23,MATCH($B392,WP!$E$2:$E$23,0),2),5),"")),"")</f>
        <v/>
      </c>
      <c r="E392" s="17" t="str">
        <f>IFERROR(VLOOKUP(VALUE($D392),Series!$B$3:$F$11,2,0),"")</f>
        <v/>
      </c>
      <c r="F392" s="12" t="str">
        <f>_xlfn.IFNA(IF(IF($D392&lt;&gt;"",COUNTIF($E:$E,"="&amp;$D392),"")="",IF(RIGHT(IFERROR(IF(FIND("_",$B392)&gt;0,INDEX(WP!$A$2:$F$23,MATCH(LEFT($B392,FIND("_",$B392)-1),WP!$E$2:$E$23,0),2),IF(FIND("-",$B392)&gt;0,INDEX(WP!$A$2:$F$23,MATCH(LEFT($B392,FIND("_",$B392)-1),WP!$E$2:$E$23,0),2))),INDEX(WP!$A$2:$F$23,MATCH(Results!$B392,WP!$E$2:$E$23,0),2)),6)="Series",LEFT(IFERROR(IF(FIND("_",$B392)&gt;0,INDEX(WP!$A$2:$F$23,MATCH(LEFT($B392,FIND("_",$B392)-1),WP!$E$2:$E$23,0),2),IF(FIND("-",$B392)&gt;0,INDEX(WP!$A$2:$F$23,MATCH(LEFT($B392,FIND("_",$B392)-1),WP!$E$2:$E$23,0),2))),INDEX(WP!$A$2:$F$23,MATCH(Results!$B392,WP!$E$2:$E$23,0),2)),5),(IFERROR(IF(FIND("_",$B392)&gt;0,INDEX(WP!$A$2:$F$23,MATCH(LEFT($B392,FIND("_",$B392)-1),WP!$E$2:$E$23,0),2),IF(FIND("-",$B392)&gt;0,INDEX(WP!$A$2:$F$23,MATCH(LEFT($B392,FIND("_",$B392)-1),WP!$E$2:$E$23,0),2))),INDEX(WP!$A$2:$F$23,MATCH(Results!$B392,WP!$E$2:$E$23,0),2)))),IF(RIGHT(IFERROR(IF(FIND("_",$B392)&gt;0,INDEX(WP!$A$2:$F$23,MATCH(LEFT($B392,FIND("_",$B392)-1),WP!$E$2:$E$23,0),2),IF(FIND("-",$B392)&gt;0,INDEX(WP!$A$2:$F$23,MATCH(LEFT($B392,FIND("_",$B392)-1),WP!$E$2:$E$23,0),2))),INDEX(WP!$A$2:$F$23,MATCH(Results!$B392,WP!$E$2:$E$23,0),2)),6)="Series",LEFT(IFERROR(IF(FIND("_",$B392)&gt;0,INDEX(WP!$A$2:$F$23,MATCH(LEFT($B392,FIND("_",$B392)-1),WP!$E$2:$E$23,0),2),IF(FIND("-",$B392)&gt;0,INDEX(WP!$A$2:$F$23,MATCH(LEFT($B392,FIND("_",$B392)-1),WP!$E$2:$E$23,0),2))),INDEX(WP!$A$2:$F$23,MATCH(Results!$B392,WP!$E$2:$E$23,0),2)),5),(IFERROR(IF(FIND("_",$B392)&gt;0,INDEX(WP!$A$2:$F$23,MATCH(LEFT($B392,FIND("_",$B392)-1),WP!$E$2:$E$23,0),2),IF(FIND("-",$B392)&gt;0,INDEX(WP!$A$2:$F$23,MATCH(LEFT($B392,FIND("_",$B392)-1),WP!$E$2:$E$23,0),2))),INDEX(WP!$A$2:$F$23,MATCH(Results!$B392,WP!$E$2:$E$23,0),2))))&amp;"-"&amp;$I392),"")</f>
        <v/>
      </c>
      <c r="G392" s="17" t="str">
        <f>IF(LEN(_xlfn.IFNA(IF(IFERROR(IF(FIND("_",$B392)&gt;0,MID($B392,FIND("_",$B392)+1,LEN($B392)),IF(FIND("-",$B392)&gt;0,MID($B392,FIND("-",$B392)+1,LEN($B392)))),"")="",IFERROR(VLOOKUP($F392,WP!$B$2:$C$23,2,0),VLOOKUP($C392,Series!$A$3:$F$11,6,0)),IFERROR(VLOOKUP($F392,WP!$B$2:$C$23,2,0),VLOOKUP($C392,Series!$A$3:$F$11,6,0))&amp;" - "&amp;(IFERROR(IF(FIND("_",$B392)&gt;0,MID($B392,FIND("_",$B392)+1,LEN($B392)),IF(FIND("-",$B392)&gt;0,MID($B392,FIND("-",$B392)+1,LEN($B392)))),""))),""))&lt;64,_xlfn.IFNA(IF(IFERROR(IF(FIND("_",$B392)&gt;0,MID($B392,FIND("_",$B392)+1,LEN($B392)),IF(FIND("-",$B392)&gt;0,MID($B392,FIND("-",$B392)+1,LEN($B392)))),"")="",IFERROR(VLOOKUP($F392,WP!$B$2:$C$23,2,0),VLOOKUP($C392,Series!$A$3:$F$11,6,0)),IFERROR(VLOOKUP($F392,WP!$B$2:$C$23,2,0),VLOOKUP($C392,Series!$A$3:$F$11,6,0))&amp;" - "&amp;(IFERROR(IF(FIND("_",$B392)&gt;0,MID($B392,FIND("_",$B392)+1,LEN($B392)),IF(FIND("-",$B392)&gt;0,MID($B392,FIND("-",$B392)+1,LEN($B392)))),""))),""),LEFT((_xlfn.IFNA(IF(IFERROR(IF(FIND("_",$B392)&gt;0,MID($B392,FIND("_",$B392)+1,LEN($B392)),IF(FIND("-",$B392)&gt;0,MID($B392,FIND("-",$B392)+1,LEN($B392)))),"")="",IFERROR(VLOOKUP($F392,WP!$B$2:$C$23,2,0),VLOOKUP($C392,Series!$A$3:$F$11,6,0)),IFERROR(VLOOKUP($F392,WP!$B$2:$C$23,2,0),VLOOKUP($C392,Series!$A$3:$F$11,6,0))&amp;" - "&amp;(IFERROR(IF(FIND("_",$B392)&gt;0,MID($B392,FIND("_",$B392)+1,LEN($B392)),IF(FIND("-",$B392)&gt;0,MID($B392,FIND("-",$B392)+1,LEN($B392)))),""))),"")),64))</f>
        <v/>
      </c>
      <c r="H392" s="12"/>
      <c r="I392" s="12" t="str">
        <f>IF($D392&lt;&gt;"",COUNTIF($D$7:$D392,"="&amp;$D392),"")</f>
        <v/>
      </c>
      <c r="J392"/>
      <c r="K392" s="8"/>
      <c r="L392"/>
    </row>
    <row r="393" spans="1:12" x14ac:dyDescent="0.3">
      <c r="A393" s="1"/>
      <c r="B393" s="26"/>
      <c r="C393" s="12" t="str">
        <f>_xlfn.IFNA(IFERROR(IF(FIND("_",$B393)&gt;0,INDEX(WP!$A$2:$F$23,MATCH(LEFT($B393,FIND("_",$B393)-1),WP!$E$2:$E$23,0),1),IF(FIND("-",$B393)&gt;0,INDEX(WP!$A$2:$F$23,MATCH(LEFT($B393,FIND("_",$B393)-1),WP!$E$2:$E$23,0),1))),INDEX(WP!$A$2:$F$23,MATCH(Results!$B393,WP!$E$2:$E$23,0),1)),"")</f>
        <v/>
      </c>
      <c r="D393" s="12" t="str">
        <f>IFERROR(IFERROR(IF(RIGHT(INDEX(WP!$A$2:$F$23,MATCH(IF(FIND("_",$B393)&gt;0,LEFT($B393,FIND("_",$B393)-1)),WP!$E$2:$E$23,0),2),6)="Series",LEFT(INDEX(WP!$A$2:$F$23,MATCH(IF(FIND("_",$B393)&gt;0,LEFT($B393,FIND("_",$B393)-1)),WP!$E$2:$E$23,0),2),5),""),IF(RIGHT(INDEX(WP!$A$2:$F$23,MATCH($B393,WP!$E$2:$E$23,0),2),6)="Series",LEFT(INDEX(WP!$A$2:$F$23,MATCH($B393,WP!$E$2:$E$23,0),2),5),"")),"")</f>
        <v/>
      </c>
      <c r="E393" s="17" t="str">
        <f>IFERROR(VLOOKUP(VALUE($D393),Series!$B$3:$F$11,2,0),"")</f>
        <v/>
      </c>
      <c r="F393" s="12" t="str">
        <f>_xlfn.IFNA(IF(IF($D393&lt;&gt;"",COUNTIF($E:$E,"="&amp;$D393),"")="",IF(RIGHT(IFERROR(IF(FIND("_",$B393)&gt;0,INDEX(WP!$A$2:$F$23,MATCH(LEFT($B393,FIND("_",$B393)-1),WP!$E$2:$E$23,0),2),IF(FIND("-",$B393)&gt;0,INDEX(WP!$A$2:$F$23,MATCH(LEFT($B393,FIND("_",$B393)-1),WP!$E$2:$E$23,0),2))),INDEX(WP!$A$2:$F$23,MATCH(Results!$B393,WP!$E$2:$E$23,0),2)),6)="Series",LEFT(IFERROR(IF(FIND("_",$B393)&gt;0,INDEX(WP!$A$2:$F$23,MATCH(LEFT($B393,FIND("_",$B393)-1),WP!$E$2:$E$23,0),2),IF(FIND("-",$B393)&gt;0,INDEX(WP!$A$2:$F$23,MATCH(LEFT($B393,FIND("_",$B393)-1),WP!$E$2:$E$23,0),2))),INDEX(WP!$A$2:$F$23,MATCH(Results!$B393,WP!$E$2:$E$23,0),2)),5),(IFERROR(IF(FIND("_",$B393)&gt;0,INDEX(WP!$A$2:$F$23,MATCH(LEFT($B393,FIND("_",$B393)-1),WP!$E$2:$E$23,0),2),IF(FIND("-",$B393)&gt;0,INDEX(WP!$A$2:$F$23,MATCH(LEFT($B393,FIND("_",$B393)-1),WP!$E$2:$E$23,0),2))),INDEX(WP!$A$2:$F$23,MATCH(Results!$B393,WP!$E$2:$E$23,0),2)))),IF(RIGHT(IFERROR(IF(FIND("_",$B393)&gt;0,INDEX(WP!$A$2:$F$23,MATCH(LEFT($B393,FIND("_",$B393)-1),WP!$E$2:$E$23,0),2),IF(FIND("-",$B393)&gt;0,INDEX(WP!$A$2:$F$23,MATCH(LEFT($B393,FIND("_",$B393)-1),WP!$E$2:$E$23,0),2))),INDEX(WP!$A$2:$F$23,MATCH(Results!$B393,WP!$E$2:$E$23,0),2)),6)="Series",LEFT(IFERROR(IF(FIND("_",$B393)&gt;0,INDEX(WP!$A$2:$F$23,MATCH(LEFT($B393,FIND("_",$B393)-1),WP!$E$2:$E$23,0),2),IF(FIND("-",$B393)&gt;0,INDEX(WP!$A$2:$F$23,MATCH(LEFT($B393,FIND("_",$B393)-1),WP!$E$2:$E$23,0),2))),INDEX(WP!$A$2:$F$23,MATCH(Results!$B393,WP!$E$2:$E$23,0),2)),5),(IFERROR(IF(FIND("_",$B393)&gt;0,INDEX(WP!$A$2:$F$23,MATCH(LEFT($B393,FIND("_",$B393)-1),WP!$E$2:$E$23,0),2),IF(FIND("-",$B393)&gt;0,INDEX(WP!$A$2:$F$23,MATCH(LEFT($B393,FIND("_",$B393)-1),WP!$E$2:$E$23,0),2))),INDEX(WP!$A$2:$F$23,MATCH(Results!$B393,WP!$E$2:$E$23,0),2))))&amp;"-"&amp;$I393),"")</f>
        <v/>
      </c>
      <c r="G393" s="17" t="str">
        <f>IF(LEN(_xlfn.IFNA(IF(IFERROR(IF(FIND("_",$B393)&gt;0,MID($B393,FIND("_",$B393)+1,LEN($B393)),IF(FIND("-",$B393)&gt;0,MID($B393,FIND("-",$B393)+1,LEN($B393)))),"")="",IFERROR(VLOOKUP($F393,WP!$B$2:$C$23,2,0),VLOOKUP($C393,Series!$A$3:$F$11,6,0)),IFERROR(VLOOKUP($F393,WP!$B$2:$C$23,2,0),VLOOKUP($C393,Series!$A$3:$F$11,6,0))&amp;" - "&amp;(IFERROR(IF(FIND("_",$B393)&gt;0,MID($B393,FIND("_",$B393)+1,LEN($B393)),IF(FIND("-",$B393)&gt;0,MID($B393,FIND("-",$B393)+1,LEN($B393)))),""))),""))&lt;64,_xlfn.IFNA(IF(IFERROR(IF(FIND("_",$B393)&gt;0,MID($B393,FIND("_",$B393)+1,LEN($B393)),IF(FIND("-",$B393)&gt;0,MID($B393,FIND("-",$B393)+1,LEN($B393)))),"")="",IFERROR(VLOOKUP($F393,WP!$B$2:$C$23,2,0),VLOOKUP($C393,Series!$A$3:$F$11,6,0)),IFERROR(VLOOKUP($F393,WP!$B$2:$C$23,2,0),VLOOKUP($C393,Series!$A$3:$F$11,6,0))&amp;" - "&amp;(IFERROR(IF(FIND("_",$B393)&gt;0,MID($B393,FIND("_",$B393)+1,LEN($B393)),IF(FIND("-",$B393)&gt;0,MID($B393,FIND("-",$B393)+1,LEN($B393)))),""))),""),LEFT((_xlfn.IFNA(IF(IFERROR(IF(FIND("_",$B393)&gt;0,MID($B393,FIND("_",$B393)+1,LEN($B393)),IF(FIND("-",$B393)&gt;0,MID($B393,FIND("-",$B393)+1,LEN($B393)))),"")="",IFERROR(VLOOKUP($F393,WP!$B$2:$C$23,2,0),VLOOKUP($C393,Series!$A$3:$F$11,6,0)),IFERROR(VLOOKUP($F393,WP!$B$2:$C$23,2,0),VLOOKUP($C393,Series!$A$3:$F$11,6,0))&amp;" - "&amp;(IFERROR(IF(FIND("_",$B393)&gt;0,MID($B393,FIND("_",$B393)+1,LEN($B393)),IF(FIND("-",$B393)&gt;0,MID($B393,FIND("-",$B393)+1,LEN($B393)))),""))),"")),64))</f>
        <v/>
      </c>
      <c r="H393" s="12"/>
      <c r="I393" s="12" t="str">
        <f>IF($D393&lt;&gt;"",COUNTIF($D$7:$D393,"="&amp;$D393),"")</f>
        <v/>
      </c>
      <c r="J393"/>
      <c r="K393" s="8"/>
      <c r="L393"/>
    </row>
    <row r="394" spans="1:12" x14ac:dyDescent="0.3">
      <c r="A394" s="1"/>
      <c r="B394" s="26"/>
      <c r="C394" s="12" t="str">
        <f>_xlfn.IFNA(IFERROR(IF(FIND("_",$B394)&gt;0,INDEX(WP!$A$2:$F$23,MATCH(LEFT($B394,FIND("_",$B394)-1),WP!$E$2:$E$23,0),1),IF(FIND("-",$B394)&gt;0,INDEX(WP!$A$2:$F$23,MATCH(LEFT($B394,FIND("_",$B394)-1),WP!$E$2:$E$23,0),1))),INDEX(WP!$A$2:$F$23,MATCH(Results!$B394,WP!$E$2:$E$23,0),1)),"")</f>
        <v/>
      </c>
      <c r="D394" s="12" t="str">
        <f>IFERROR(IFERROR(IF(RIGHT(INDEX(WP!$A$2:$F$23,MATCH(IF(FIND("_",$B394)&gt;0,LEFT($B394,FIND("_",$B394)-1)),WP!$E$2:$E$23,0),2),6)="Series",LEFT(INDEX(WP!$A$2:$F$23,MATCH(IF(FIND("_",$B394)&gt;0,LEFT($B394,FIND("_",$B394)-1)),WP!$E$2:$E$23,0),2),5),""),IF(RIGHT(INDEX(WP!$A$2:$F$23,MATCH($B394,WP!$E$2:$E$23,0),2),6)="Series",LEFT(INDEX(WP!$A$2:$F$23,MATCH($B394,WP!$E$2:$E$23,0),2),5),"")),"")</f>
        <v/>
      </c>
      <c r="E394" s="17" t="str">
        <f>IFERROR(VLOOKUP(VALUE($D394),Series!$B$3:$F$11,2,0),"")</f>
        <v/>
      </c>
      <c r="F394" s="12" t="str">
        <f>_xlfn.IFNA(IF(IF($D394&lt;&gt;"",COUNTIF($E:$E,"="&amp;$D394),"")="",IF(RIGHT(IFERROR(IF(FIND("_",$B394)&gt;0,INDEX(WP!$A$2:$F$23,MATCH(LEFT($B394,FIND("_",$B394)-1),WP!$E$2:$E$23,0),2),IF(FIND("-",$B394)&gt;0,INDEX(WP!$A$2:$F$23,MATCH(LEFT($B394,FIND("_",$B394)-1),WP!$E$2:$E$23,0),2))),INDEX(WP!$A$2:$F$23,MATCH(Results!$B394,WP!$E$2:$E$23,0),2)),6)="Series",LEFT(IFERROR(IF(FIND("_",$B394)&gt;0,INDEX(WP!$A$2:$F$23,MATCH(LEFT($B394,FIND("_",$B394)-1),WP!$E$2:$E$23,0),2),IF(FIND("-",$B394)&gt;0,INDEX(WP!$A$2:$F$23,MATCH(LEFT($B394,FIND("_",$B394)-1),WP!$E$2:$E$23,0),2))),INDEX(WP!$A$2:$F$23,MATCH(Results!$B394,WP!$E$2:$E$23,0),2)),5),(IFERROR(IF(FIND("_",$B394)&gt;0,INDEX(WP!$A$2:$F$23,MATCH(LEFT($B394,FIND("_",$B394)-1),WP!$E$2:$E$23,0),2),IF(FIND("-",$B394)&gt;0,INDEX(WP!$A$2:$F$23,MATCH(LEFT($B394,FIND("_",$B394)-1),WP!$E$2:$E$23,0),2))),INDEX(WP!$A$2:$F$23,MATCH(Results!$B394,WP!$E$2:$E$23,0),2)))),IF(RIGHT(IFERROR(IF(FIND("_",$B394)&gt;0,INDEX(WP!$A$2:$F$23,MATCH(LEFT($B394,FIND("_",$B394)-1),WP!$E$2:$E$23,0),2),IF(FIND("-",$B394)&gt;0,INDEX(WP!$A$2:$F$23,MATCH(LEFT($B394,FIND("_",$B394)-1),WP!$E$2:$E$23,0),2))),INDEX(WP!$A$2:$F$23,MATCH(Results!$B394,WP!$E$2:$E$23,0),2)),6)="Series",LEFT(IFERROR(IF(FIND("_",$B394)&gt;0,INDEX(WP!$A$2:$F$23,MATCH(LEFT($B394,FIND("_",$B394)-1),WP!$E$2:$E$23,0),2),IF(FIND("-",$B394)&gt;0,INDEX(WP!$A$2:$F$23,MATCH(LEFT($B394,FIND("_",$B394)-1),WP!$E$2:$E$23,0),2))),INDEX(WP!$A$2:$F$23,MATCH(Results!$B394,WP!$E$2:$E$23,0),2)),5),(IFERROR(IF(FIND("_",$B394)&gt;0,INDEX(WP!$A$2:$F$23,MATCH(LEFT($B394,FIND("_",$B394)-1),WP!$E$2:$E$23,0),2),IF(FIND("-",$B394)&gt;0,INDEX(WP!$A$2:$F$23,MATCH(LEFT($B394,FIND("_",$B394)-1),WP!$E$2:$E$23,0),2))),INDEX(WP!$A$2:$F$23,MATCH(Results!$B394,WP!$E$2:$E$23,0),2))))&amp;"-"&amp;$I394),"")</f>
        <v/>
      </c>
      <c r="G394" s="17" t="str">
        <f>IF(LEN(_xlfn.IFNA(IF(IFERROR(IF(FIND("_",$B394)&gt;0,MID($B394,FIND("_",$B394)+1,LEN($B394)),IF(FIND("-",$B394)&gt;0,MID($B394,FIND("-",$B394)+1,LEN($B394)))),"")="",IFERROR(VLOOKUP($F394,WP!$B$2:$C$23,2,0),VLOOKUP($C394,Series!$A$3:$F$11,6,0)),IFERROR(VLOOKUP($F394,WP!$B$2:$C$23,2,0),VLOOKUP($C394,Series!$A$3:$F$11,6,0))&amp;" - "&amp;(IFERROR(IF(FIND("_",$B394)&gt;0,MID($B394,FIND("_",$B394)+1,LEN($B394)),IF(FIND("-",$B394)&gt;0,MID($B394,FIND("-",$B394)+1,LEN($B394)))),""))),""))&lt;64,_xlfn.IFNA(IF(IFERROR(IF(FIND("_",$B394)&gt;0,MID($B394,FIND("_",$B394)+1,LEN($B394)),IF(FIND("-",$B394)&gt;0,MID($B394,FIND("-",$B394)+1,LEN($B394)))),"")="",IFERROR(VLOOKUP($F394,WP!$B$2:$C$23,2,0),VLOOKUP($C394,Series!$A$3:$F$11,6,0)),IFERROR(VLOOKUP($F394,WP!$B$2:$C$23,2,0),VLOOKUP($C394,Series!$A$3:$F$11,6,0))&amp;" - "&amp;(IFERROR(IF(FIND("_",$B394)&gt;0,MID($B394,FIND("_",$B394)+1,LEN($B394)),IF(FIND("-",$B394)&gt;0,MID($B394,FIND("-",$B394)+1,LEN($B394)))),""))),""),LEFT((_xlfn.IFNA(IF(IFERROR(IF(FIND("_",$B394)&gt;0,MID($B394,FIND("_",$B394)+1,LEN($B394)),IF(FIND("-",$B394)&gt;0,MID($B394,FIND("-",$B394)+1,LEN($B394)))),"")="",IFERROR(VLOOKUP($F394,WP!$B$2:$C$23,2,0),VLOOKUP($C394,Series!$A$3:$F$11,6,0)),IFERROR(VLOOKUP($F394,WP!$B$2:$C$23,2,0),VLOOKUP($C394,Series!$A$3:$F$11,6,0))&amp;" - "&amp;(IFERROR(IF(FIND("_",$B394)&gt;0,MID($B394,FIND("_",$B394)+1,LEN($B394)),IF(FIND("-",$B394)&gt;0,MID($B394,FIND("-",$B394)+1,LEN($B394)))),""))),"")),64))</f>
        <v/>
      </c>
      <c r="H394" s="12"/>
      <c r="I394" s="12" t="str">
        <f>IF($D394&lt;&gt;"",COUNTIF($D$7:$D394,"="&amp;$D394),"")</f>
        <v/>
      </c>
      <c r="J394"/>
      <c r="K394" s="8"/>
      <c r="L394"/>
    </row>
    <row r="395" spans="1:12" x14ac:dyDescent="0.3">
      <c r="A395" s="1"/>
      <c r="B395" s="26"/>
      <c r="C395" s="12" t="str">
        <f>_xlfn.IFNA(IFERROR(IF(FIND("_",$B395)&gt;0,INDEX(WP!$A$2:$F$23,MATCH(LEFT($B395,FIND("_",$B395)-1),WP!$E$2:$E$23,0),1),IF(FIND("-",$B395)&gt;0,INDEX(WP!$A$2:$F$23,MATCH(LEFT($B395,FIND("_",$B395)-1),WP!$E$2:$E$23,0),1))),INDEX(WP!$A$2:$F$23,MATCH(Results!$B395,WP!$E$2:$E$23,0),1)),"")</f>
        <v/>
      </c>
      <c r="D395" s="12" t="str">
        <f>IFERROR(IFERROR(IF(RIGHT(INDEX(WP!$A$2:$F$23,MATCH(IF(FIND("_",$B395)&gt;0,LEFT($B395,FIND("_",$B395)-1)),WP!$E$2:$E$23,0),2),6)="Series",LEFT(INDEX(WP!$A$2:$F$23,MATCH(IF(FIND("_",$B395)&gt;0,LEFT($B395,FIND("_",$B395)-1)),WP!$E$2:$E$23,0),2),5),""),IF(RIGHT(INDEX(WP!$A$2:$F$23,MATCH($B395,WP!$E$2:$E$23,0),2),6)="Series",LEFT(INDEX(WP!$A$2:$F$23,MATCH($B395,WP!$E$2:$E$23,0),2),5),"")),"")</f>
        <v/>
      </c>
      <c r="E395" s="17" t="str">
        <f>IFERROR(VLOOKUP(VALUE($D395),Series!$B$3:$F$11,2,0),"")</f>
        <v/>
      </c>
      <c r="F395" s="12" t="str">
        <f>_xlfn.IFNA(IF(IF($D395&lt;&gt;"",COUNTIF($E:$E,"="&amp;$D395),"")="",IF(RIGHT(IFERROR(IF(FIND("_",$B395)&gt;0,INDEX(WP!$A$2:$F$23,MATCH(LEFT($B395,FIND("_",$B395)-1),WP!$E$2:$E$23,0),2),IF(FIND("-",$B395)&gt;0,INDEX(WP!$A$2:$F$23,MATCH(LEFT($B395,FIND("_",$B395)-1),WP!$E$2:$E$23,0),2))),INDEX(WP!$A$2:$F$23,MATCH(Results!$B395,WP!$E$2:$E$23,0),2)),6)="Series",LEFT(IFERROR(IF(FIND("_",$B395)&gt;0,INDEX(WP!$A$2:$F$23,MATCH(LEFT($B395,FIND("_",$B395)-1),WP!$E$2:$E$23,0),2),IF(FIND("-",$B395)&gt;0,INDEX(WP!$A$2:$F$23,MATCH(LEFT($B395,FIND("_",$B395)-1),WP!$E$2:$E$23,0),2))),INDEX(WP!$A$2:$F$23,MATCH(Results!$B395,WP!$E$2:$E$23,0),2)),5),(IFERROR(IF(FIND("_",$B395)&gt;0,INDEX(WP!$A$2:$F$23,MATCH(LEFT($B395,FIND("_",$B395)-1),WP!$E$2:$E$23,0),2),IF(FIND("-",$B395)&gt;0,INDEX(WP!$A$2:$F$23,MATCH(LEFT($B395,FIND("_",$B395)-1),WP!$E$2:$E$23,0),2))),INDEX(WP!$A$2:$F$23,MATCH(Results!$B395,WP!$E$2:$E$23,0),2)))),IF(RIGHT(IFERROR(IF(FIND("_",$B395)&gt;0,INDEX(WP!$A$2:$F$23,MATCH(LEFT($B395,FIND("_",$B395)-1),WP!$E$2:$E$23,0),2),IF(FIND("-",$B395)&gt;0,INDEX(WP!$A$2:$F$23,MATCH(LEFT($B395,FIND("_",$B395)-1),WP!$E$2:$E$23,0),2))),INDEX(WP!$A$2:$F$23,MATCH(Results!$B395,WP!$E$2:$E$23,0),2)),6)="Series",LEFT(IFERROR(IF(FIND("_",$B395)&gt;0,INDEX(WP!$A$2:$F$23,MATCH(LEFT($B395,FIND("_",$B395)-1),WP!$E$2:$E$23,0),2),IF(FIND("-",$B395)&gt;0,INDEX(WP!$A$2:$F$23,MATCH(LEFT($B395,FIND("_",$B395)-1),WP!$E$2:$E$23,0),2))),INDEX(WP!$A$2:$F$23,MATCH(Results!$B395,WP!$E$2:$E$23,0),2)),5),(IFERROR(IF(FIND("_",$B395)&gt;0,INDEX(WP!$A$2:$F$23,MATCH(LEFT($B395,FIND("_",$B395)-1),WP!$E$2:$E$23,0),2),IF(FIND("-",$B395)&gt;0,INDEX(WP!$A$2:$F$23,MATCH(LEFT($B395,FIND("_",$B395)-1),WP!$E$2:$E$23,0),2))),INDEX(WP!$A$2:$F$23,MATCH(Results!$B395,WP!$E$2:$E$23,0),2))))&amp;"-"&amp;$I395),"")</f>
        <v/>
      </c>
      <c r="G395" s="17" t="str">
        <f>IF(LEN(_xlfn.IFNA(IF(IFERROR(IF(FIND("_",$B395)&gt;0,MID($B395,FIND("_",$B395)+1,LEN($B395)),IF(FIND("-",$B395)&gt;0,MID($B395,FIND("-",$B395)+1,LEN($B395)))),"")="",IFERROR(VLOOKUP($F395,WP!$B$2:$C$23,2,0),VLOOKUP($C395,Series!$A$3:$F$11,6,0)),IFERROR(VLOOKUP($F395,WP!$B$2:$C$23,2,0),VLOOKUP($C395,Series!$A$3:$F$11,6,0))&amp;" - "&amp;(IFERROR(IF(FIND("_",$B395)&gt;0,MID($B395,FIND("_",$B395)+1,LEN($B395)),IF(FIND("-",$B395)&gt;0,MID($B395,FIND("-",$B395)+1,LEN($B395)))),""))),""))&lt;64,_xlfn.IFNA(IF(IFERROR(IF(FIND("_",$B395)&gt;0,MID($B395,FIND("_",$B395)+1,LEN($B395)),IF(FIND("-",$B395)&gt;0,MID($B395,FIND("-",$B395)+1,LEN($B395)))),"")="",IFERROR(VLOOKUP($F395,WP!$B$2:$C$23,2,0),VLOOKUP($C395,Series!$A$3:$F$11,6,0)),IFERROR(VLOOKUP($F395,WP!$B$2:$C$23,2,0),VLOOKUP($C395,Series!$A$3:$F$11,6,0))&amp;" - "&amp;(IFERROR(IF(FIND("_",$B395)&gt;0,MID($B395,FIND("_",$B395)+1,LEN($B395)),IF(FIND("-",$B395)&gt;0,MID($B395,FIND("-",$B395)+1,LEN($B395)))),""))),""),LEFT((_xlfn.IFNA(IF(IFERROR(IF(FIND("_",$B395)&gt;0,MID($B395,FIND("_",$B395)+1,LEN($B395)),IF(FIND("-",$B395)&gt;0,MID($B395,FIND("-",$B395)+1,LEN($B395)))),"")="",IFERROR(VLOOKUP($F395,WP!$B$2:$C$23,2,0),VLOOKUP($C395,Series!$A$3:$F$11,6,0)),IFERROR(VLOOKUP($F395,WP!$B$2:$C$23,2,0),VLOOKUP($C395,Series!$A$3:$F$11,6,0))&amp;" - "&amp;(IFERROR(IF(FIND("_",$B395)&gt;0,MID($B395,FIND("_",$B395)+1,LEN($B395)),IF(FIND("-",$B395)&gt;0,MID($B395,FIND("-",$B395)+1,LEN($B395)))),""))),"")),64))</f>
        <v/>
      </c>
      <c r="H395" s="12"/>
      <c r="I395" s="12" t="str">
        <f>IF($D395&lt;&gt;"",COUNTIF($D$7:$D395,"="&amp;$D395),"")</f>
        <v/>
      </c>
      <c r="J395"/>
      <c r="K395" s="8"/>
      <c r="L395"/>
    </row>
    <row r="396" spans="1:12" x14ac:dyDescent="0.3">
      <c r="A396" s="1"/>
      <c r="B396" s="26"/>
      <c r="C396" s="12" t="str">
        <f>_xlfn.IFNA(IFERROR(IF(FIND("_",$B396)&gt;0,INDEX(WP!$A$2:$F$23,MATCH(LEFT($B396,FIND("_",$B396)-1),WP!$E$2:$E$23,0),1),IF(FIND("-",$B396)&gt;0,INDEX(WP!$A$2:$F$23,MATCH(LEFT($B396,FIND("_",$B396)-1),WP!$E$2:$E$23,0),1))),INDEX(WP!$A$2:$F$23,MATCH(Results!$B396,WP!$E$2:$E$23,0),1)),"")</f>
        <v/>
      </c>
      <c r="D396" s="12" t="str">
        <f>IFERROR(IFERROR(IF(RIGHT(INDEX(WP!$A$2:$F$23,MATCH(IF(FIND("_",$B396)&gt;0,LEFT($B396,FIND("_",$B396)-1)),WP!$E$2:$E$23,0),2),6)="Series",LEFT(INDEX(WP!$A$2:$F$23,MATCH(IF(FIND("_",$B396)&gt;0,LEFT($B396,FIND("_",$B396)-1)),WP!$E$2:$E$23,0),2),5),""),IF(RIGHT(INDEX(WP!$A$2:$F$23,MATCH($B396,WP!$E$2:$E$23,0),2),6)="Series",LEFT(INDEX(WP!$A$2:$F$23,MATCH($B396,WP!$E$2:$E$23,0),2),5),"")),"")</f>
        <v/>
      </c>
      <c r="E396" s="17" t="str">
        <f>IFERROR(VLOOKUP(VALUE($D396),Series!$B$3:$F$11,2,0),"")</f>
        <v/>
      </c>
      <c r="F396" s="12" t="str">
        <f>_xlfn.IFNA(IF(IF($D396&lt;&gt;"",COUNTIF($E:$E,"="&amp;$D396),"")="",IF(RIGHT(IFERROR(IF(FIND("_",$B396)&gt;0,INDEX(WP!$A$2:$F$23,MATCH(LEFT($B396,FIND("_",$B396)-1),WP!$E$2:$E$23,0),2),IF(FIND("-",$B396)&gt;0,INDEX(WP!$A$2:$F$23,MATCH(LEFT($B396,FIND("_",$B396)-1),WP!$E$2:$E$23,0),2))),INDEX(WP!$A$2:$F$23,MATCH(Results!$B396,WP!$E$2:$E$23,0),2)),6)="Series",LEFT(IFERROR(IF(FIND("_",$B396)&gt;0,INDEX(WP!$A$2:$F$23,MATCH(LEFT($B396,FIND("_",$B396)-1),WP!$E$2:$E$23,0),2),IF(FIND("-",$B396)&gt;0,INDEX(WP!$A$2:$F$23,MATCH(LEFT($B396,FIND("_",$B396)-1),WP!$E$2:$E$23,0),2))),INDEX(WP!$A$2:$F$23,MATCH(Results!$B396,WP!$E$2:$E$23,0),2)),5),(IFERROR(IF(FIND("_",$B396)&gt;0,INDEX(WP!$A$2:$F$23,MATCH(LEFT($B396,FIND("_",$B396)-1),WP!$E$2:$E$23,0),2),IF(FIND("-",$B396)&gt;0,INDEX(WP!$A$2:$F$23,MATCH(LEFT($B396,FIND("_",$B396)-1),WP!$E$2:$E$23,0),2))),INDEX(WP!$A$2:$F$23,MATCH(Results!$B396,WP!$E$2:$E$23,0),2)))),IF(RIGHT(IFERROR(IF(FIND("_",$B396)&gt;0,INDEX(WP!$A$2:$F$23,MATCH(LEFT($B396,FIND("_",$B396)-1),WP!$E$2:$E$23,0),2),IF(FIND("-",$B396)&gt;0,INDEX(WP!$A$2:$F$23,MATCH(LEFT($B396,FIND("_",$B396)-1),WP!$E$2:$E$23,0),2))),INDEX(WP!$A$2:$F$23,MATCH(Results!$B396,WP!$E$2:$E$23,0),2)),6)="Series",LEFT(IFERROR(IF(FIND("_",$B396)&gt;0,INDEX(WP!$A$2:$F$23,MATCH(LEFT($B396,FIND("_",$B396)-1),WP!$E$2:$E$23,0),2),IF(FIND("-",$B396)&gt;0,INDEX(WP!$A$2:$F$23,MATCH(LEFT($B396,FIND("_",$B396)-1),WP!$E$2:$E$23,0),2))),INDEX(WP!$A$2:$F$23,MATCH(Results!$B396,WP!$E$2:$E$23,0),2)),5),(IFERROR(IF(FIND("_",$B396)&gt;0,INDEX(WP!$A$2:$F$23,MATCH(LEFT($B396,FIND("_",$B396)-1),WP!$E$2:$E$23,0),2),IF(FIND("-",$B396)&gt;0,INDEX(WP!$A$2:$F$23,MATCH(LEFT($B396,FIND("_",$B396)-1),WP!$E$2:$E$23,0),2))),INDEX(WP!$A$2:$F$23,MATCH(Results!$B396,WP!$E$2:$E$23,0),2))))&amp;"-"&amp;$I396),"")</f>
        <v/>
      </c>
      <c r="G396" s="17" t="str">
        <f>IF(LEN(_xlfn.IFNA(IF(IFERROR(IF(FIND("_",$B396)&gt;0,MID($B396,FIND("_",$B396)+1,LEN($B396)),IF(FIND("-",$B396)&gt;0,MID($B396,FIND("-",$B396)+1,LEN($B396)))),"")="",IFERROR(VLOOKUP($F396,WP!$B$2:$C$23,2,0),VLOOKUP($C396,Series!$A$3:$F$11,6,0)),IFERROR(VLOOKUP($F396,WP!$B$2:$C$23,2,0),VLOOKUP($C396,Series!$A$3:$F$11,6,0))&amp;" - "&amp;(IFERROR(IF(FIND("_",$B396)&gt;0,MID($B396,FIND("_",$B396)+1,LEN($B396)),IF(FIND("-",$B396)&gt;0,MID($B396,FIND("-",$B396)+1,LEN($B396)))),""))),""))&lt;64,_xlfn.IFNA(IF(IFERROR(IF(FIND("_",$B396)&gt;0,MID($B396,FIND("_",$B396)+1,LEN($B396)),IF(FIND("-",$B396)&gt;0,MID($B396,FIND("-",$B396)+1,LEN($B396)))),"")="",IFERROR(VLOOKUP($F396,WP!$B$2:$C$23,2,0),VLOOKUP($C396,Series!$A$3:$F$11,6,0)),IFERROR(VLOOKUP($F396,WP!$B$2:$C$23,2,0),VLOOKUP($C396,Series!$A$3:$F$11,6,0))&amp;" - "&amp;(IFERROR(IF(FIND("_",$B396)&gt;0,MID($B396,FIND("_",$B396)+1,LEN($B396)),IF(FIND("-",$B396)&gt;0,MID($B396,FIND("-",$B396)+1,LEN($B396)))),""))),""),LEFT((_xlfn.IFNA(IF(IFERROR(IF(FIND("_",$B396)&gt;0,MID($B396,FIND("_",$B396)+1,LEN($B396)),IF(FIND("-",$B396)&gt;0,MID($B396,FIND("-",$B396)+1,LEN($B396)))),"")="",IFERROR(VLOOKUP($F396,WP!$B$2:$C$23,2,0),VLOOKUP($C396,Series!$A$3:$F$11,6,0)),IFERROR(VLOOKUP($F396,WP!$B$2:$C$23,2,0),VLOOKUP($C396,Series!$A$3:$F$11,6,0))&amp;" - "&amp;(IFERROR(IF(FIND("_",$B396)&gt;0,MID($B396,FIND("_",$B396)+1,LEN($B396)),IF(FIND("-",$B396)&gt;0,MID($B396,FIND("-",$B396)+1,LEN($B396)))),""))),"")),64))</f>
        <v/>
      </c>
      <c r="H396" s="12"/>
      <c r="I396" s="12" t="str">
        <f>IF($D396&lt;&gt;"",COUNTIF($D$7:$D396,"="&amp;$D396),"")</f>
        <v/>
      </c>
      <c r="J396"/>
      <c r="K396" s="8"/>
      <c r="L396"/>
    </row>
    <row r="397" spans="1:12" x14ac:dyDescent="0.3">
      <c r="A397" s="1"/>
      <c r="B397" s="26"/>
      <c r="C397" s="12" t="str">
        <f>_xlfn.IFNA(IFERROR(IF(FIND("_",$B397)&gt;0,INDEX(WP!$A$2:$F$23,MATCH(LEFT($B397,FIND("_",$B397)-1),WP!$E$2:$E$23,0),1),IF(FIND("-",$B397)&gt;0,INDEX(WP!$A$2:$F$23,MATCH(LEFT($B397,FIND("_",$B397)-1),WP!$E$2:$E$23,0),1))),INDEX(WP!$A$2:$F$23,MATCH(Results!$B397,WP!$E$2:$E$23,0),1)),"")</f>
        <v/>
      </c>
      <c r="D397" s="12" t="str">
        <f>IFERROR(IFERROR(IF(RIGHT(INDEX(WP!$A$2:$F$23,MATCH(IF(FIND("_",$B397)&gt;0,LEFT($B397,FIND("_",$B397)-1)),WP!$E$2:$E$23,0),2),6)="Series",LEFT(INDEX(WP!$A$2:$F$23,MATCH(IF(FIND("_",$B397)&gt;0,LEFT($B397,FIND("_",$B397)-1)),WP!$E$2:$E$23,0),2),5),""),IF(RIGHT(INDEX(WP!$A$2:$F$23,MATCH($B397,WP!$E$2:$E$23,0),2),6)="Series",LEFT(INDEX(WP!$A$2:$F$23,MATCH($B397,WP!$E$2:$E$23,0),2),5),"")),"")</f>
        <v/>
      </c>
      <c r="E397" s="17" t="str">
        <f>IFERROR(VLOOKUP(VALUE($D397),Series!$B$3:$F$11,2,0),"")</f>
        <v/>
      </c>
      <c r="F397" s="12" t="str">
        <f>_xlfn.IFNA(IF(IF($D397&lt;&gt;"",COUNTIF($E:$E,"="&amp;$D397),"")="",IF(RIGHT(IFERROR(IF(FIND("_",$B397)&gt;0,INDEX(WP!$A$2:$F$23,MATCH(LEFT($B397,FIND("_",$B397)-1),WP!$E$2:$E$23,0),2),IF(FIND("-",$B397)&gt;0,INDEX(WP!$A$2:$F$23,MATCH(LEFT($B397,FIND("_",$B397)-1),WP!$E$2:$E$23,0),2))),INDEX(WP!$A$2:$F$23,MATCH(Results!$B397,WP!$E$2:$E$23,0),2)),6)="Series",LEFT(IFERROR(IF(FIND("_",$B397)&gt;0,INDEX(WP!$A$2:$F$23,MATCH(LEFT($B397,FIND("_",$B397)-1),WP!$E$2:$E$23,0),2),IF(FIND("-",$B397)&gt;0,INDEX(WP!$A$2:$F$23,MATCH(LEFT($B397,FIND("_",$B397)-1),WP!$E$2:$E$23,0),2))),INDEX(WP!$A$2:$F$23,MATCH(Results!$B397,WP!$E$2:$E$23,0),2)),5),(IFERROR(IF(FIND("_",$B397)&gt;0,INDEX(WP!$A$2:$F$23,MATCH(LEFT($B397,FIND("_",$B397)-1),WP!$E$2:$E$23,0),2),IF(FIND("-",$B397)&gt;0,INDEX(WP!$A$2:$F$23,MATCH(LEFT($B397,FIND("_",$B397)-1),WP!$E$2:$E$23,0),2))),INDEX(WP!$A$2:$F$23,MATCH(Results!$B397,WP!$E$2:$E$23,0),2)))),IF(RIGHT(IFERROR(IF(FIND("_",$B397)&gt;0,INDEX(WP!$A$2:$F$23,MATCH(LEFT($B397,FIND("_",$B397)-1),WP!$E$2:$E$23,0),2),IF(FIND("-",$B397)&gt;0,INDEX(WP!$A$2:$F$23,MATCH(LEFT($B397,FIND("_",$B397)-1),WP!$E$2:$E$23,0),2))),INDEX(WP!$A$2:$F$23,MATCH(Results!$B397,WP!$E$2:$E$23,0),2)),6)="Series",LEFT(IFERROR(IF(FIND("_",$B397)&gt;0,INDEX(WP!$A$2:$F$23,MATCH(LEFT($B397,FIND("_",$B397)-1),WP!$E$2:$E$23,0),2),IF(FIND("-",$B397)&gt;0,INDEX(WP!$A$2:$F$23,MATCH(LEFT($B397,FIND("_",$B397)-1),WP!$E$2:$E$23,0),2))),INDEX(WP!$A$2:$F$23,MATCH(Results!$B397,WP!$E$2:$E$23,0),2)),5),(IFERROR(IF(FIND("_",$B397)&gt;0,INDEX(WP!$A$2:$F$23,MATCH(LEFT($B397,FIND("_",$B397)-1),WP!$E$2:$E$23,0),2),IF(FIND("-",$B397)&gt;0,INDEX(WP!$A$2:$F$23,MATCH(LEFT($B397,FIND("_",$B397)-1),WP!$E$2:$E$23,0),2))),INDEX(WP!$A$2:$F$23,MATCH(Results!$B397,WP!$E$2:$E$23,0),2))))&amp;"-"&amp;$I397),"")</f>
        <v/>
      </c>
      <c r="G397" s="17" t="str">
        <f>IF(LEN(_xlfn.IFNA(IF(IFERROR(IF(FIND("_",$B397)&gt;0,MID($B397,FIND("_",$B397)+1,LEN($B397)),IF(FIND("-",$B397)&gt;0,MID($B397,FIND("-",$B397)+1,LEN($B397)))),"")="",IFERROR(VLOOKUP($F397,WP!$B$2:$C$23,2,0),VLOOKUP($C397,Series!$A$3:$F$11,6,0)),IFERROR(VLOOKUP($F397,WP!$B$2:$C$23,2,0),VLOOKUP($C397,Series!$A$3:$F$11,6,0))&amp;" - "&amp;(IFERROR(IF(FIND("_",$B397)&gt;0,MID($B397,FIND("_",$B397)+1,LEN($B397)),IF(FIND("-",$B397)&gt;0,MID($B397,FIND("-",$B397)+1,LEN($B397)))),""))),""))&lt;64,_xlfn.IFNA(IF(IFERROR(IF(FIND("_",$B397)&gt;0,MID($B397,FIND("_",$B397)+1,LEN($B397)),IF(FIND("-",$B397)&gt;0,MID($B397,FIND("-",$B397)+1,LEN($B397)))),"")="",IFERROR(VLOOKUP($F397,WP!$B$2:$C$23,2,0),VLOOKUP($C397,Series!$A$3:$F$11,6,0)),IFERROR(VLOOKUP($F397,WP!$B$2:$C$23,2,0),VLOOKUP($C397,Series!$A$3:$F$11,6,0))&amp;" - "&amp;(IFERROR(IF(FIND("_",$B397)&gt;0,MID($B397,FIND("_",$B397)+1,LEN($B397)),IF(FIND("-",$B397)&gt;0,MID($B397,FIND("-",$B397)+1,LEN($B397)))),""))),""),LEFT((_xlfn.IFNA(IF(IFERROR(IF(FIND("_",$B397)&gt;0,MID($B397,FIND("_",$B397)+1,LEN($B397)),IF(FIND("-",$B397)&gt;0,MID($B397,FIND("-",$B397)+1,LEN($B397)))),"")="",IFERROR(VLOOKUP($F397,WP!$B$2:$C$23,2,0),VLOOKUP($C397,Series!$A$3:$F$11,6,0)),IFERROR(VLOOKUP($F397,WP!$B$2:$C$23,2,0),VLOOKUP($C397,Series!$A$3:$F$11,6,0))&amp;" - "&amp;(IFERROR(IF(FIND("_",$B397)&gt;0,MID($B397,FIND("_",$B397)+1,LEN($B397)),IF(FIND("-",$B397)&gt;0,MID($B397,FIND("-",$B397)+1,LEN($B397)))),""))),"")),64))</f>
        <v/>
      </c>
      <c r="H397" s="12"/>
      <c r="I397" s="12" t="str">
        <f>IF($D397&lt;&gt;"",COUNTIF($D$7:$D397,"="&amp;$D397),"")</f>
        <v/>
      </c>
      <c r="J397"/>
      <c r="K397" s="8"/>
      <c r="L397"/>
    </row>
    <row r="398" spans="1:12" x14ac:dyDescent="0.3">
      <c r="A398" s="1"/>
      <c r="B398" s="26"/>
      <c r="C398" s="12" t="str">
        <f>_xlfn.IFNA(IFERROR(IF(FIND("_",$B398)&gt;0,INDEX(WP!$A$2:$F$23,MATCH(LEFT($B398,FIND("_",$B398)-1),WP!$E$2:$E$23,0),1),IF(FIND("-",$B398)&gt;0,INDEX(WP!$A$2:$F$23,MATCH(LEFT($B398,FIND("_",$B398)-1),WP!$E$2:$E$23,0),1))),INDEX(WP!$A$2:$F$23,MATCH(Results!$B398,WP!$E$2:$E$23,0),1)),"")</f>
        <v/>
      </c>
      <c r="D398" s="12" t="str">
        <f>IFERROR(IFERROR(IF(RIGHT(INDEX(WP!$A$2:$F$23,MATCH(IF(FIND("_",$B398)&gt;0,LEFT($B398,FIND("_",$B398)-1)),WP!$E$2:$E$23,0),2),6)="Series",LEFT(INDEX(WP!$A$2:$F$23,MATCH(IF(FIND("_",$B398)&gt;0,LEFT($B398,FIND("_",$B398)-1)),WP!$E$2:$E$23,0),2),5),""),IF(RIGHT(INDEX(WP!$A$2:$F$23,MATCH($B398,WP!$E$2:$E$23,0),2),6)="Series",LEFT(INDEX(WP!$A$2:$F$23,MATCH($B398,WP!$E$2:$E$23,0),2),5),"")),"")</f>
        <v/>
      </c>
      <c r="E398" s="17" t="str">
        <f>IFERROR(VLOOKUP(VALUE($D398),Series!$B$3:$F$11,2,0),"")</f>
        <v/>
      </c>
      <c r="F398" s="12" t="str">
        <f>_xlfn.IFNA(IF(IF($D398&lt;&gt;"",COUNTIF($E:$E,"="&amp;$D398),"")="",IF(RIGHT(IFERROR(IF(FIND("_",$B398)&gt;0,INDEX(WP!$A$2:$F$23,MATCH(LEFT($B398,FIND("_",$B398)-1),WP!$E$2:$E$23,0),2),IF(FIND("-",$B398)&gt;0,INDEX(WP!$A$2:$F$23,MATCH(LEFT($B398,FIND("_",$B398)-1),WP!$E$2:$E$23,0),2))),INDEX(WP!$A$2:$F$23,MATCH(Results!$B398,WP!$E$2:$E$23,0),2)),6)="Series",LEFT(IFERROR(IF(FIND("_",$B398)&gt;0,INDEX(WP!$A$2:$F$23,MATCH(LEFT($B398,FIND("_",$B398)-1),WP!$E$2:$E$23,0),2),IF(FIND("-",$B398)&gt;0,INDEX(WP!$A$2:$F$23,MATCH(LEFT($B398,FIND("_",$B398)-1),WP!$E$2:$E$23,0),2))),INDEX(WP!$A$2:$F$23,MATCH(Results!$B398,WP!$E$2:$E$23,0),2)),5),(IFERROR(IF(FIND("_",$B398)&gt;0,INDEX(WP!$A$2:$F$23,MATCH(LEFT($B398,FIND("_",$B398)-1),WP!$E$2:$E$23,0),2),IF(FIND("-",$B398)&gt;0,INDEX(WP!$A$2:$F$23,MATCH(LEFT($B398,FIND("_",$B398)-1),WP!$E$2:$E$23,0),2))),INDEX(WP!$A$2:$F$23,MATCH(Results!$B398,WP!$E$2:$E$23,0),2)))),IF(RIGHT(IFERROR(IF(FIND("_",$B398)&gt;0,INDEX(WP!$A$2:$F$23,MATCH(LEFT($B398,FIND("_",$B398)-1),WP!$E$2:$E$23,0),2),IF(FIND("-",$B398)&gt;0,INDEX(WP!$A$2:$F$23,MATCH(LEFT($B398,FIND("_",$B398)-1),WP!$E$2:$E$23,0),2))),INDEX(WP!$A$2:$F$23,MATCH(Results!$B398,WP!$E$2:$E$23,0),2)),6)="Series",LEFT(IFERROR(IF(FIND("_",$B398)&gt;0,INDEX(WP!$A$2:$F$23,MATCH(LEFT($B398,FIND("_",$B398)-1),WP!$E$2:$E$23,0),2),IF(FIND("-",$B398)&gt;0,INDEX(WP!$A$2:$F$23,MATCH(LEFT($B398,FIND("_",$B398)-1),WP!$E$2:$E$23,0),2))),INDEX(WP!$A$2:$F$23,MATCH(Results!$B398,WP!$E$2:$E$23,0),2)),5),(IFERROR(IF(FIND("_",$B398)&gt;0,INDEX(WP!$A$2:$F$23,MATCH(LEFT($B398,FIND("_",$B398)-1),WP!$E$2:$E$23,0),2),IF(FIND("-",$B398)&gt;0,INDEX(WP!$A$2:$F$23,MATCH(LEFT($B398,FIND("_",$B398)-1),WP!$E$2:$E$23,0),2))),INDEX(WP!$A$2:$F$23,MATCH(Results!$B398,WP!$E$2:$E$23,0),2))))&amp;"-"&amp;$I398),"")</f>
        <v/>
      </c>
      <c r="G398" s="17" t="str">
        <f>IF(LEN(_xlfn.IFNA(IF(IFERROR(IF(FIND("_",$B398)&gt;0,MID($B398,FIND("_",$B398)+1,LEN($B398)),IF(FIND("-",$B398)&gt;0,MID($B398,FIND("-",$B398)+1,LEN($B398)))),"")="",IFERROR(VLOOKUP($F398,WP!$B$2:$C$23,2,0),VLOOKUP($C398,Series!$A$3:$F$11,6,0)),IFERROR(VLOOKUP($F398,WP!$B$2:$C$23,2,0),VLOOKUP($C398,Series!$A$3:$F$11,6,0))&amp;" - "&amp;(IFERROR(IF(FIND("_",$B398)&gt;0,MID($B398,FIND("_",$B398)+1,LEN($B398)),IF(FIND("-",$B398)&gt;0,MID($B398,FIND("-",$B398)+1,LEN($B398)))),""))),""))&lt;64,_xlfn.IFNA(IF(IFERROR(IF(FIND("_",$B398)&gt;0,MID($B398,FIND("_",$B398)+1,LEN($B398)),IF(FIND("-",$B398)&gt;0,MID($B398,FIND("-",$B398)+1,LEN($B398)))),"")="",IFERROR(VLOOKUP($F398,WP!$B$2:$C$23,2,0),VLOOKUP($C398,Series!$A$3:$F$11,6,0)),IFERROR(VLOOKUP($F398,WP!$B$2:$C$23,2,0),VLOOKUP($C398,Series!$A$3:$F$11,6,0))&amp;" - "&amp;(IFERROR(IF(FIND("_",$B398)&gt;0,MID($B398,FIND("_",$B398)+1,LEN($B398)),IF(FIND("-",$B398)&gt;0,MID($B398,FIND("-",$B398)+1,LEN($B398)))),""))),""),LEFT((_xlfn.IFNA(IF(IFERROR(IF(FIND("_",$B398)&gt;0,MID($B398,FIND("_",$B398)+1,LEN($B398)),IF(FIND("-",$B398)&gt;0,MID($B398,FIND("-",$B398)+1,LEN($B398)))),"")="",IFERROR(VLOOKUP($F398,WP!$B$2:$C$23,2,0),VLOOKUP($C398,Series!$A$3:$F$11,6,0)),IFERROR(VLOOKUP($F398,WP!$B$2:$C$23,2,0),VLOOKUP($C398,Series!$A$3:$F$11,6,0))&amp;" - "&amp;(IFERROR(IF(FIND("_",$B398)&gt;0,MID($B398,FIND("_",$B398)+1,LEN($B398)),IF(FIND("-",$B398)&gt;0,MID($B398,FIND("-",$B398)+1,LEN($B398)))),""))),"")),64))</f>
        <v/>
      </c>
      <c r="H398" s="12"/>
      <c r="I398" s="12" t="str">
        <f>IF($D398&lt;&gt;"",COUNTIF($D$7:$D398,"="&amp;$D398),"")</f>
        <v/>
      </c>
      <c r="J398"/>
      <c r="K398" s="8"/>
      <c r="L398"/>
    </row>
    <row r="399" spans="1:12" x14ac:dyDescent="0.3">
      <c r="A399" s="1"/>
      <c r="B399" s="26"/>
      <c r="C399" s="12" t="str">
        <f>_xlfn.IFNA(IFERROR(IF(FIND("_",$B399)&gt;0,INDEX(WP!$A$2:$F$23,MATCH(LEFT($B399,FIND("_",$B399)-1),WP!$E$2:$E$23,0),1),IF(FIND("-",$B399)&gt;0,INDEX(WP!$A$2:$F$23,MATCH(LEFT($B399,FIND("_",$B399)-1),WP!$E$2:$E$23,0),1))),INDEX(WP!$A$2:$F$23,MATCH(Results!$B399,WP!$E$2:$E$23,0),1)),"")</f>
        <v/>
      </c>
      <c r="D399" s="12" t="str">
        <f>IFERROR(IFERROR(IF(RIGHT(INDEX(WP!$A$2:$F$23,MATCH(IF(FIND("_",$B399)&gt;0,LEFT($B399,FIND("_",$B399)-1)),WP!$E$2:$E$23,0),2),6)="Series",LEFT(INDEX(WP!$A$2:$F$23,MATCH(IF(FIND("_",$B399)&gt;0,LEFT($B399,FIND("_",$B399)-1)),WP!$E$2:$E$23,0),2),5),""),IF(RIGHT(INDEX(WP!$A$2:$F$23,MATCH($B399,WP!$E$2:$E$23,0),2),6)="Series",LEFT(INDEX(WP!$A$2:$F$23,MATCH($B399,WP!$E$2:$E$23,0),2),5),"")),"")</f>
        <v/>
      </c>
      <c r="E399" s="17" t="str">
        <f>IFERROR(VLOOKUP(VALUE($D399),Series!$B$3:$F$11,2,0),"")</f>
        <v/>
      </c>
      <c r="F399" s="12" t="str">
        <f>_xlfn.IFNA(IF(IF($D399&lt;&gt;"",COUNTIF($E:$E,"="&amp;$D399),"")="",IF(RIGHT(IFERROR(IF(FIND("_",$B399)&gt;0,INDEX(WP!$A$2:$F$23,MATCH(LEFT($B399,FIND("_",$B399)-1),WP!$E$2:$E$23,0),2),IF(FIND("-",$B399)&gt;0,INDEX(WP!$A$2:$F$23,MATCH(LEFT($B399,FIND("_",$B399)-1),WP!$E$2:$E$23,0),2))),INDEX(WP!$A$2:$F$23,MATCH(Results!$B399,WP!$E$2:$E$23,0),2)),6)="Series",LEFT(IFERROR(IF(FIND("_",$B399)&gt;0,INDEX(WP!$A$2:$F$23,MATCH(LEFT($B399,FIND("_",$B399)-1),WP!$E$2:$E$23,0),2),IF(FIND("-",$B399)&gt;0,INDEX(WP!$A$2:$F$23,MATCH(LEFT($B399,FIND("_",$B399)-1),WP!$E$2:$E$23,0),2))),INDEX(WP!$A$2:$F$23,MATCH(Results!$B399,WP!$E$2:$E$23,0),2)),5),(IFERROR(IF(FIND("_",$B399)&gt;0,INDEX(WP!$A$2:$F$23,MATCH(LEFT($B399,FIND("_",$B399)-1),WP!$E$2:$E$23,0),2),IF(FIND("-",$B399)&gt;0,INDEX(WP!$A$2:$F$23,MATCH(LEFT($B399,FIND("_",$B399)-1),WP!$E$2:$E$23,0),2))),INDEX(WP!$A$2:$F$23,MATCH(Results!$B399,WP!$E$2:$E$23,0),2)))),IF(RIGHT(IFERROR(IF(FIND("_",$B399)&gt;0,INDEX(WP!$A$2:$F$23,MATCH(LEFT($B399,FIND("_",$B399)-1),WP!$E$2:$E$23,0),2),IF(FIND("-",$B399)&gt;0,INDEX(WP!$A$2:$F$23,MATCH(LEFT($B399,FIND("_",$B399)-1),WP!$E$2:$E$23,0),2))),INDEX(WP!$A$2:$F$23,MATCH(Results!$B399,WP!$E$2:$E$23,0),2)),6)="Series",LEFT(IFERROR(IF(FIND("_",$B399)&gt;0,INDEX(WP!$A$2:$F$23,MATCH(LEFT($B399,FIND("_",$B399)-1),WP!$E$2:$E$23,0),2),IF(FIND("-",$B399)&gt;0,INDEX(WP!$A$2:$F$23,MATCH(LEFT($B399,FIND("_",$B399)-1),WP!$E$2:$E$23,0),2))),INDEX(WP!$A$2:$F$23,MATCH(Results!$B399,WP!$E$2:$E$23,0),2)),5),(IFERROR(IF(FIND("_",$B399)&gt;0,INDEX(WP!$A$2:$F$23,MATCH(LEFT($B399,FIND("_",$B399)-1),WP!$E$2:$E$23,0),2),IF(FIND("-",$B399)&gt;0,INDEX(WP!$A$2:$F$23,MATCH(LEFT($B399,FIND("_",$B399)-1),WP!$E$2:$E$23,0),2))),INDEX(WP!$A$2:$F$23,MATCH(Results!$B399,WP!$E$2:$E$23,0),2))))&amp;"-"&amp;$I399),"")</f>
        <v/>
      </c>
      <c r="G399" s="17" t="str">
        <f>IF(LEN(_xlfn.IFNA(IF(IFERROR(IF(FIND("_",$B399)&gt;0,MID($B399,FIND("_",$B399)+1,LEN($B399)),IF(FIND("-",$B399)&gt;0,MID($B399,FIND("-",$B399)+1,LEN($B399)))),"")="",IFERROR(VLOOKUP($F399,WP!$B$2:$C$23,2,0),VLOOKUP($C399,Series!$A$3:$F$11,6,0)),IFERROR(VLOOKUP($F399,WP!$B$2:$C$23,2,0),VLOOKUP($C399,Series!$A$3:$F$11,6,0))&amp;" - "&amp;(IFERROR(IF(FIND("_",$B399)&gt;0,MID($B399,FIND("_",$B399)+1,LEN($B399)),IF(FIND("-",$B399)&gt;0,MID($B399,FIND("-",$B399)+1,LEN($B399)))),""))),""))&lt;64,_xlfn.IFNA(IF(IFERROR(IF(FIND("_",$B399)&gt;0,MID($B399,FIND("_",$B399)+1,LEN($B399)),IF(FIND("-",$B399)&gt;0,MID($B399,FIND("-",$B399)+1,LEN($B399)))),"")="",IFERROR(VLOOKUP($F399,WP!$B$2:$C$23,2,0),VLOOKUP($C399,Series!$A$3:$F$11,6,0)),IFERROR(VLOOKUP($F399,WP!$B$2:$C$23,2,0),VLOOKUP($C399,Series!$A$3:$F$11,6,0))&amp;" - "&amp;(IFERROR(IF(FIND("_",$B399)&gt;0,MID($B399,FIND("_",$B399)+1,LEN($B399)),IF(FIND("-",$B399)&gt;0,MID($B399,FIND("-",$B399)+1,LEN($B399)))),""))),""),LEFT((_xlfn.IFNA(IF(IFERROR(IF(FIND("_",$B399)&gt;0,MID($B399,FIND("_",$B399)+1,LEN($B399)),IF(FIND("-",$B399)&gt;0,MID($B399,FIND("-",$B399)+1,LEN($B399)))),"")="",IFERROR(VLOOKUP($F399,WP!$B$2:$C$23,2,0),VLOOKUP($C399,Series!$A$3:$F$11,6,0)),IFERROR(VLOOKUP($F399,WP!$B$2:$C$23,2,0),VLOOKUP($C399,Series!$A$3:$F$11,6,0))&amp;" - "&amp;(IFERROR(IF(FIND("_",$B399)&gt;0,MID($B399,FIND("_",$B399)+1,LEN($B399)),IF(FIND("-",$B399)&gt;0,MID($B399,FIND("-",$B399)+1,LEN($B399)))),""))),"")),64))</f>
        <v/>
      </c>
      <c r="H399" s="12"/>
      <c r="I399" s="12" t="str">
        <f>IF($D399&lt;&gt;"",COUNTIF($D$7:$D399,"="&amp;$D399),"")</f>
        <v/>
      </c>
      <c r="J399"/>
      <c r="K399" s="8"/>
      <c r="L399"/>
    </row>
    <row r="400" spans="1:12" x14ac:dyDescent="0.3">
      <c r="A400" s="1"/>
      <c r="B400" s="26"/>
      <c r="C400" s="12" t="str">
        <f>_xlfn.IFNA(IFERROR(IF(FIND("_",$B400)&gt;0,INDEX(WP!$A$2:$F$23,MATCH(LEFT($B400,FIND("_",$B400)-1),WP!$E$2:$E$23,0),1),IF(FIND("-",$B400)&gt;0,INDEX(WP!$A$2:$F$23,MATCH(LEFT($B400,FIND("_",$B400)-1),WP!$E$2:$E$23,0),1))),INDEX(WP!$A$2:$F$23,MATCH(Results!$B400,WP!$E$2:$E$23,0),1)),"")</f>
        <v/>
      </c>
      <c r="D400" s="12" t="str">
        <f>IFERROR(IFERROR(IF(RIGHT(INDEX(WP!$A$2:$F$23,MATCH(IF(FIND("_",$B400)&gt;0,LEFT($B400,FIND("_",$B400)-1)),WP!$E$2:$E$23,0),2),6)="Series",LEFT(INDEX(WP!$A$2:$F$23,MATCH(IF(FIND("_",$B400)&gt;0,LEFT($B400,FIND("_",$B400)-1)),WP!$E$2:$E$23,0),2),5),""),IF(RIGHT(INDEX(WP!$A$2:$F$23,MATCH($B400,WP!$E$2:$E$23,0),2),6)="Series",LEFT(INDEX(WP!$A$2:$F$23,MATCH($B400,WP!$E$2:$E$23,0),2),5),"")),"")</f>
        <v/>
      </c>
      <c r="E400" s="17" t="str">
        <f>IFERROR(VLOOKUP(VALUE($D400),Series!$B$3:$F$11,2,0),"")</f>
        <v/>
      </c>
      <c r="F400" s="12" t="str">
        <f>_xlfn.IFNA(IF(IF($D400&lt;&gt;"",COUNTIF($E:$E,"="&amp;$D400),"")="",IF(RIGHT(IFERROR(IF(FIND("_",$B400)&gt;0,INDEX(WP!$A$2:$F$23,MATCH(LEFT($B400,FIND("_",$B400)-1),WP!$E$2:$E$23,0),2),IF(FIND("-",$B400)&gt;0,INDEX(WP!$A$2:$F$23,MATCH(LEFT($B400,FIND("_",$B400)-1),WP!$E$2:$E$23,0),2))),INDEX(WP!$A$2:$F$23,MATCH(Results!$B400,WP!$E$2:$E$23,0),2)),6)="Series",LEFT(IFERROR(IF(FIND("_",$B400)&gt;0,INDEX(WP!$A$2:$F$23,MATCH(LEFT($B400,FIND("_",$B400)-1),WP!$E$2:$E$23,0),2),IF(FIND("-",$B400)&gt;0,INDEX(WP!$A$2:$F$23,MATCH(LEFT($B400,FIND("_",$B400)-1),WP!$E$2:$E$23,0),2))),INDEX(WP!$A$2:$F$23,MATCH(Results!$B400,WP!$E$2:$E$23,0),2)),5),(IFERROR(IF(FIND("_",$B400)&gt;0,INDEX(WP!$A$2:$F$23,MATCH(LEFT($B400,FIND("_",$B400)-1),WP!$E$2:$E$23,0),2),IF(FIND("-",$B400)&gt;0,INDEX(WP!$A$2:$F$23,MATCH(LEFT($B400,FIND("_",$B400)-1),WP!$E$2:$E$23,0),2))),INDEX(WP!$A$2:$F$23,MATCH(Results!$B400,WP!$E$2:$E$23,0),2)))),IF(RIGHT(IFERROR(IF(FIND("_",$B400)&gt;0,INDEX(WP!$A$2:$F$23,MATCH(LEFT($B400,FIND("_",$B400)-1),WP!$E$2:$E$23,0),2),IF(FIND("-",$B400)&gt;0,INDEX(WP!$A$2:$F$23,MATCH(LEFT($B400,FIND("_",$B400)-1),WP!$E$2:$E$23,0),2))),INDEX(WP!$A$2:$F$23,MATCH(Results!$B400,WP!$E$2:$E$23,0),2)),6)="Series",LEFT(IFERROR(IF(FIND("_",$B400)&gt;0,INDEX(WP!$A$2:$F$23,MATCH(LEFT($B400,FIND("_",$B400)-1),WP!$E$2:$E$23,0),2),IF(FIND("-",$B400)&gt;0,INDEX(WP!$A$2:$F$23,MATCH(LEFT($B400,FIND("_",$B400)-1),WP!$E$2:$E$23,0),2))),INDEX(WP!$A$2:$F$23,MATCH(Results!$B400,WP!$E$2:$E$23,0),2)),5),(IFERROR(IF(FIND("_",$B400)&gt;0,INDEX(WP!$A$2:$F$23,MATCH(LEFT($B400,FIND("_",$B400)-1),WP!$E$2:$E$23,0),2),IF(FIND("-",$B400)&gt;0,INDEX(WP!$A$2:$F$23,MATCH(LEFT($B400,FIND("_",$B400)-1),WP!$E$2:$E$23,0),2))),INDEX(WP!$A$2:$F$23,MATCH(Results!$B400,WP!$E$2:$E$23,0),2))))&amp;"-"&amp;$I400),"")</f>
        <v/>
      </c>
      <c r="G400" s="17" t="str">
        <f>IF(LEN(_xlfn.IFNA(IF(IFERROR(IF(FIND("_",$B400)&gt;0,MID($B400,FIND("_",$B400)+1,LEN($B400)),IF(FIND("-",$B400)&gt;0,MID($B400,FIND("-",$B400)+1,LEN($B400)))),"")="",IFERROR(VLOOKUP($F400,WP!$B$2:$C$23,2,0),VLOOKUP($C400,Series!$A$3:$F$11,6,0)),IFERROR(VLOOKUP($F400,WP!$B$2:$C$23,2,0),VLOOKUP($C400,Series!$A$3:$F$11,6,0))&amp;" - "&amp;(IFERROR(IF(FIND("_",$B400)&gt;0,MID($B400,FIND("_",$B400)+1,LEN($B400)),IF(FIND("-",$B400)&gt;0,MID($B400,FIND("-",$B400)+1,LEN($B400)))),""))),""))&lt;64,_xlfn.IFNA(IF(IFERROR(IF(FIND("_",$B400)&gt;0,MID($B400,FIND("_",$B400)+1,LEN($B400)),IF(FIND("-",$B400)&gt;0,MID($B400,FIND("-",$B400)+1,LEN($B400)))),"")="",IFERROR(VLOOKUP($F400,WP!$B$2:$C$23,2,0),VLOOKUP($C400,Series!$A$3:$F$11,6,0)),IFERROR(VLOOKUP($F400,WP!$B$2:$C$23,2,0),VLOOKUP($C400,Series!$A$3:$F$11,6,0))&amp;" - "&amp;(IFERROR(IF(FIND("_",$B400)&gt;0,MID($B400,FIND("_",$B400)+1,LEN($B400)),IF(FIND("-",$B400)&gt;0,MID($B400,FIND("-",$B400)+1,LEN($B400)))),""))),""),LEFT((_xlfn.IFNA(IF(IFERROR(IF(FIND("_",$B400)&gt;0,MID($B400,FIND("_",$B400)+1,LEN($B400)),IF(FIND("-",$B400)&gt;0,MID($B400,FIND("-",$B400)+1,LEN($B400)))),"")="",IFERROR(VLOOKUP($F400,WP!$B$2:$C$23,2,0),VLOOKUP($C400,Series!$A$3:$F$11,6,0)),IFERROR(VLOOKUP($F400,WP!$B$2:$C$23,2,0),VLOOKUP($C400,Series!$A$3:$F$11,6,0))&amp;" - "&amp;(IFERROR(IF(FIND("_",$B400)&gt;0,MID($B400,FIND("_",$B400)+1,LEN($B400)),IF(FIND("-",$B400)&gt;0,MID($B400,FIND("-",$B400)+1,LEN($B400)))),""))),"")),64))</f>
        <v/>
      </c>
      <c r="H400" s="12"/>
      <c r="I400" s="12" t="str">
        <f>IF($D400&lt;&gt;"",COUNTIF($D$7:$D400,"="&amp;$D400),"")</f>
        <v/>
      </c>
      <c r="J400"/>
      <c r="K400" s="8"/>
      <c r="L400"/>
    </row>
    <row r="401" spans="1:12" x14ac:dyDescent="0.3">
      <c r="A401" s="1"/>
      <c r="B401" s="26"/>
      <c r="C401" s="12" t="str">
        <f>_xlfn.IFNA(IFERROR(IF(FIND("_",$B401)&gt;0,INDEX(WP!$A$2:$F$23,MATCH(LEFT($B401,FIND("_",$B401)-1),WP!$E$2:$E$23,0),1),IF(FIND("-",$B401)&gt;0,INDEX(WP!$A$2:$F$23,MATCH(LEFT($B401,FIND("_",$B401)-1),WP!$E$2:$E$23,0),1))),INDEX(WP!$A$2:$F$23,MATCH(Results!$B401,WP!$E$2:$E$23,0),1)),"")</f>
        <v/>
      </c>
      <c r="D401" s="12" t="str">
        <f>IFERROR(IFERROR(IF(RIGHT(INDEX(WP!$A$2:$F$23,MATCH(IF(FIND("_",$B401)&gt;0,LEFT($B401,FIND("_",$B401)-1)),WP!$E$2:$E$23,0),2),6)="Series",LEFT(INDEX(WP!$A$2:$F$23,MATCH(IF(FIND("_",$B401)&gt;0,LEFT($B401,FIND("_",$B401)-1)),WP!$E$2:$E$23,0),2),5),""),IF(RIGHT(INDEX(WP!$A$2:$F$23,MATCH($B401,WP!$E$2:$E$23,0),2),6)="Series",LEFT(INDEX(WP!$A$2:$F$23,MATCH($B401,WP!$E$2:$E$23,0),2),5),"")),"")</f>
        <v/>
      </c>
      <c r="E401" s="17" t="str">
        <f>IFERROR(VLOOKUP(VALUE($D401),Series!$B$3:$F$11,2,0),"")</f>
        <v/>
      </c>
      <c r="F401" s="12" t="str">
        <f>_xlfn.IFNA(IF(IF($D401&lt;&gt;"",COUNTIF($E:$E,"="&amp;$D401),"")="",IF(RIGHT(IFERROR(IF(FIND("_",$B401)&gt;0,INDEX(WP!$A$2:$F$23,MATCH(LEFT($B401,FIND("_",$B401)-1),WP!$E$2:$E$23,0),2),IF(FIND("-",$B401)&gt;0,INDEX(WP!$A$2:$F$23,MATCH(LEFT($B401,FIND("_",$B401)-1),WP!$E$2:$E$23,0),2))),INDEX(WP!$A$2:$F$23,MATCH(Results!$B401,WP!$E$2:$E$23,0),2)),6)="Series",LEFT(IFERROR(IF(FIND("_",$B401)&gt;0,INDEX(WP!$A$2:$F$23,MATCH(LEFT($B401,FIND("_",$B401)-1),WP!$E$2:$E$23,0),2),IF(FIND("-",$B401)&gt;0,INDEX(WP!$A$2:$F$23,MATCH(LEFT($B401,FIND("_",$B401)-1),WP!$E$2:$E$23,0),2))),INDEX(WP!$A$2:$F$23,MATCH(Results!$B401,WP!$E$2:$E$23,0),2)),5),(IFERROR(IF(FIND("_",$B401)&gt;0,INDEX(WP!$A$2:$F$23,MATCH(LEFT($B401,FIND("_",$B401)-1),WP!$E$2:$E$23,0),2),IF(FIND("-",$B401)&gt;0,INDEX(WP!$A$2:$F$23,MATCH(LEFT($B401,FIND("_",$B401)-1),WP!$E$2:$E$23,0),2))),INDEX(WP!$A$2:$F$23,MATCH(Results!$B401,WP!$E$2:$E$23,0),2)))),IF(RIGHT(IFERROR(IF(FIND("_",$B401)&gt;0,INDEX(WP!$A$2:$F$23,MATCH(LEFT($B401,FIND("_",$B401)-1),WP!$E$2:$E$23,0),2),IF(FIND("-",$B401)&gt;0,INDEX(WP!$A$2:$F$23,MATCH(LEFT($B401,FIND("_",$B401)-1),WP!$E$2:$E$23,0),2))),INDEX(WP!$A$2:$F$23,MATCH(Results!$B401,WP!$E$2:$E$23,0),2)),6)="Series",LEFT(IFERROR(IF(FIND("_",$B401)&gt;0,INDEX(WP!$A$2:$F$23,MATCH(LEFT($B401,FIND("_",$B401)-1),WP!$E$2:$E$23,0),2),IF(FIND("-",$B401)&gt;0,INDEX(WP!$A$2:$F$23,MATCH(LEFT($B401,FIND("_",$B401)-1),WP!$E$2:$E$23,0),2))),INDEX(WP!$A$2:$F$23,MATCH(Results!$B401,WP!$E$2:$E$23,0),2)),5),(IFERROR(IF(FIND("_",$B401)&gt;0,INDEX(WP!$A$2:$F$23,MATCH(LEFT($B401,FIND("_",$B401)-1),WP!$E$2:$E$23,0),2),IF(FIND("-",$B401)&gt;0,INDEX(WP!$A$2:$F$23,MATCH(LEFT($B401,FIND("_",$B401)-1),WP!$E$2:$E$23,0),2))),INDEX(WP!$A$2:$F$23,MATCH(Results!$B401,WP!$E$2:$E$23,0),2))))&amp;"-"&amp;$I401),"")</f>
        <v/>
      </c>
      <c r="G401" s="17" t="str">
        <f>IF(LEN(_xlfn.IFNA(IF(IFERROR(IF(FIND("_",$B401)&gt;0,MID($B401,FIND("_",$B401)+1,LEN($B401)),IF(FIND("-",$B401)&gt;0,MID($B401,FIND("-",$B401)+1,LEN($B401)))),"")="",IFERROR(VLOOKUP($F401,WP!$B$2:$C$23,2,0),VLOOKUP($C401,Series!$A$3:$F$11,6,0)),IFERROR(VLOOKUP($F401,WP!$B$2:$C$23,2,0),VLOOKUP($C401,Series!$A$3:$F$11,6,0))&amp;" - "&amp;(IFERROR(IF(FIND("_",$B401)&gt;0,MID($B401,FIND("_",$B401)+1,LEN($B401)),IF(FIND("-",$B401)&gt;0,MID($B401,FIND("-",$B401)+1,LEN($B401)))),""))),""))&lt;64,_xlfn.IFNA(IF(IFERROR(IF(FIND("_",$B401)&gt;0,MID($B401,FIND("_",$B401)+1,LEN($B401)),IF(FIND("-",$B401)&gt;0,MID($B401,FIND("-",$B401)+1,LEN($B401)))),"")="",IFERROR(VLOOKUP($F401,WP!$B$2:$C$23,2,0),VLOOKUP($C401,Series!$A$3:$F$11,6,0)),IFERROR(VLOOKUP($F401,WP!$B$2:$C$23,2,0),VLOOKUP($C401,Series!$A$3:$F$11,6,0))&amp;" - "&amp;(IFERROR(IF(FIND("_",$B401)&gt;0,MID($B401,FIND("_",$B401)+1,LEN($B401)),IF(FIND("-",$B401)&gt;0,MID($B401,FIND("-",$B401)+1,LEN($B401)))),""))),""),LEFT((_xlfn.IFNA(IF(IFERROR(IF(FIND("_",$B401)&gt;0,MID($B401,FIND("_",$B401)+1,LEN($B401)),IF(FIND("-",$B401)&gt;0,MID($B401,FIND("-",$B401)+1,LEN($B401)))),"")="",IFERROR(VLOOKUP($F401,WP!$B$2:$C$23,2,0),VLOOKUP($C401,Series!$A$3:$F$11,6,0)),IFERROR(VLOOKUP($F401,WP!$B$2:$C$23,2,0),VLOOKUP($C401,Series!$A$3:$F$11,6,0))&amp;" - "&amp;(IFERROR(IF(FIND("_",$B401)&gt;0,MID($B401,FIND("_",$B401)+1,LEN($B401)),IF(FIND("-",$B401)&gt;0,MID($B401,FIND("-",$B401)+1,LEN($B401)))),""))),"")),64))</f>
        <v/>
      </c>
      <c r="H401" s="12"/>
      <c r="I401" s="12" t="str">
        <f>IF($D401&lt;&gt;"",COUNTIF($D$7:$D401,"="&amp;$D401),"")</f>
        <v/>
      </c>
      <c r="J401"/>
      <c r="K401" s="8"/>
      <c r="L401"/>
    </row>
    <row r="402" spans="1:12" x14ac:dyDescent="0.3">
      <c r="A402" s="1"/>
      <c r="B402" s="26"/>
      <c r="C402" s="12" t="str">
        <f>_xlfn.IFNA(IFERROR(IF(FIND("_",$B402)&gt;0,INDEX(WP!$A$2:$F$23,MATCH(LEFT($B402,FIND("_",$B402)-1),WP!$E$2:$E$23,0),1),IF(FIND("-",$B402)&gt;0,INDEX(WP!$A$2:$F$23,MATCH(LEFT($B402,FIND("_",$B402)-1),WP!$E$2:$E$23,0),1))),INDEX(WP!$A$2:$F$23,MATCH(Results!$B402,WP!$E$2:$E$23,0),1)),"")</f>
        <v/>
      </c>
      <c r="D402" s="12" t="str">
        <f>IFERROR(IFERROR(IF(RIGHT(INDEX(WP!$A$2:$F$23,MATCH(IF(FIND("_",$B402)&gt;0,LEFT($B402,FIND("_",$B402)-1)),WP!$E$2:$E$23,0),2),6)="Series",LEFT(INDEX(WP!$A$2:$F$23,MATCH(IF(FIND("_",$B402)&gt;0,LEFT($B402,FIND("_",$B402)-1)),WP!$E$2:$E$23,0),2),5),""),IF(RIGHT(INDEX(WP!$A$2:$F$23,MATCH($B402,WP!$E$2:$E$23,0),2),6)="Series",LEFT(INDEX(WP!$A$2:$F$23,MATCH($B402,WP!$E$2:$E$23,0),2),5),"")),"")</f>
        <v/>
      </c>
      <c r="E402" s="17" t="str">
        <f>IFERROR(VLOOKUP(VALUE($D402),Series!$B$3:$F$11,2,0),"")</f>
        <v/>
      </c>
      <c r="F402" s="12" t="str">
        <f>_xlfn.IFNA(IF(IF($D402&lt;&gt;"",COUNTIF($E:$E,"="&amp;$D402),"")="",IF(RIGHT(IFERROR(IF(FIND("_",$B402)&gt;0,INDEX(WP!$A$2:$F$23,MATCH(LEFT($B402,FIND("_",$B402)-1),WP!$E$2:$E$23,0),2),IF(FIND("-",$B402)&gt;0,INDEX(WP!$A$2:$F$23,MATCH(LEFT($B402,FIND("_",$B402)-1),WP!$E$2:$E$23,0),2))),INDEX(WP!$A$2:$F$23,MATCH(Results!$B402,WP!$E$2:$E$23,0),2)),6)="Series",LEFT(IFERROR(IF(FIND("_",$B402)&gt;0,INDEX(WP!$A$2:$F$23,MATCH(LEFT($B402,FIND("_",$B402)-1),WP!$E$2:$E$23,0),2),IF(FIND("-",$B402)&gt;0,INDEX(WP!$A$2:$F$23,MATCH(LEFT($B402,FIND("_",$B402)-1),WP!$E$2:$E$23,0),2))),INDEX(WP!$A$2:$F$23,MATCH(Results!$B402,WP!$E$2:$E$23,0),2)),5),(IFERROR(IF(FIND("_",$B402)&gt;0,INDEX(WP!$A$2:$F$23,MATCH(LEFT($B402,FIND("_",$B402)-1),WP!$E$2:$E$23,0),2),IF(FIND("-",$B402)&gt;0,INDEX(WP!$A$2:$F$23,MATCH(LEFT($B402,FIND("_",$B402)-1),WP!$E$2:$E$23,0),2))),INDEX(WP!$A$2:$F$23,MATCH(Results!$B402,WP!$E$2:$E$23,0),2)))),IF(RIGHT(IFERROR(IF(FIND("_",$B402)&gt;0,INDEX(WP!$A$2:$F$23,MATCH(LEFT($B402,FIND("_",$B402)-1),WP!$E$2:$E$23,0),2),IF(FIND("-",$B402)&gt;0,INDEX(WP!$A$2:$F$23,MATCH(LEFT($B402,FIND("_",$B402)-1),WP!$E$2:$E$23,0),2))),INDEX(WP!$A$2:$F$23,MATCH(Results!$B402,WP!$E$2:$E$23,0),2)),6)="Series",LEFT(IFERROR(IF(FIND("_",$B402)&gt;0,INDEX(WP!$A$2:$F$23,MATCH(LEFT($B402,FIND("_",$B402)-1),WP!$E$2:$E$23,0),2),IF(FIND("-",$B402)&gt;0,INDEX(WP!$A$2:$F$23,MATCH(LEFT($B402,FIND("_",$B402)-1),WP!$E$2:$E$23,0),2))),INDEX(WP!$A$2:$F$23,MATCH(Results!$B402,WP!$E$2:$E$23,0),2)),5),(IFERROR(IF(FIND("_",$B402)&gt;0,INDEX(WP!$A$2:$F$23,MATCH(LEFT($B402,FIND("_",$B402)-1),WP!$E$2:$E$23,0),2),IF(FIND("-",$B402)&gt;0,INDEX(WP!$A$2:$F$23,MATCH(LEFT($B402,FIND("_",$B402)-1),WP!$E$2:$E$23,0),2))),INDEX(WP!$A$2:$F$23,MATCH(Results!$B402,WP!$E$2:$E$23,0),2))))&amp;"-"&amp;$I402),"")</f>
        <v/>
      </c>
      <c r="G402" s="17" t="str">
        <f>IF(LEN(_xlfn.IFNA(IF(IFERROR(IF(FIND("_",$B402)&gt;0,MID($B402,FIND("_",$B402)+1,LEN($B402)),IF(FIND("-",$B402)&gt;0,MID($B402,FIND("-",$B402)+1,LEN($B402)))),"")="",IFERROR(VLOOKUP($F402,WP!$B$2:$C$23,2,0),VLOOKUP($C402,Series!$A$3:$F$11,6,0)),IFERROR(VLOOKUP($F402,WP!$B$2:$C$23,2,0),VLOOKUP($C402,Series!$A$3:$F$11,6,0))&amp;" - "&amp;(IFERROR(IF(FIND("_",$B402)&gt;0,MID($B402,FIND("_",$B402)+1,LEN($B402)),IF(FIND("-",$B402)&gt;0,MID($B402,FIND("-",$B402)+1,LEN($B402)))),""))),""))&lt;64,_xlfn.IFNA(IF(IFERROR(IF(FIND("_",$B402)&gt;0,MID($B402,FIND("_",$B402)+1,LEN($B402)),IF(FIND("-",$B402)&gt;0,MID($B402,FIND("-",$B402)+1,LEN($B402)))),"")="",IFERROR(VLOOKUP($F402,WP!$B$2:$C$23,2,0),VLOOKUP($C402,Series!$A$3:$F$11,6,0)),IFERROR(VLOOKUP($F402,WP!$B$2:$C$23,2,0),VLOOKUP($C402,Series!$A$3:$F$11,6,0))&amp;" - "&amp;(IFERROR(IF(FIND("_",$B402)&gt;0,MID($B402,FIND("_",$B402)+1,LEN($B402)),IF(FIND("-",$B402)&gt;0,MID($B402,FIND("-",$B402)+1,LEN($B402)))),""))),""),LEFT((_xlfn.IFNA(IF(IFERROR(IF(FIND("_",$B402)&gt;0,MID($B402,FIND("_",$B402)+1,LEN($B402)),IF(FIND("-",$B402)&gt;0,MID($B402,FIND("-",$B402)+1,LEN($B402)))),"")="",IFERROR(VLOOKUP($F402,WP!$B$2:$C$23,2,0),VLOOKUP($C402,Series!$A$3:$F$11,6,0)),IFERROR(VLOOKUP($F402,WP!$B$2:$C$23,2,0),VLOOKUP($C402,Series!$A$3:$F$11,6,0))&amp;" - "&amp;(IFERROR(IF(FIND("_",$B402)&gt;0,MID($B402,FIND("_",$B402)+1,LEN($B402)),IF(FIND("-",$B402)&gt;0,MID($B402,FIND("-",$B402)+1,LEN($B402)))),""))),"")),64))</f>
        <v/>
      </c>
      <c r="H402" s="12"/>
      <c r="I402" s="12" t="str">
        <f>IF($D402&lt;&gt;"",COUNTIF($D$7:$D402,"="&amp;$D402),"")</f>
        <v/>
      </c>
      <c r="J402"/>
      <c r="K402" s="8"/>
      <c r="L402"/>
    </row>
    <row r="403" spans="1:12" x14ac:dyDescent="0.3">
      <c r="A403" s="1"/>
      <c r="B403" s="26"/>
      <c r="C403" s="12" t="str">
        <f>_xlfn.IFNA(IFERROR(IF(FIND("_",$B403)&gt;0,INDEX(WP!$A$2:$F$23,MATCH(LEFT($B403,FIND("_",$B403)-1),WP!$E$2:$E$23,0),1),IF(FIND("-",$B403)&gt;0,INDEX(WP!$A$2:$F$23,MATCH(LEFT($B403,FIND("_",$B403)-1),WP!$E$2:$E$23,0),1))),INDEX(WP!$A$2:$F$23,MATCH(Results!$B403,WP!$E$2:$E$23,0),1)),"")</f>
        <v/>
      </c>
      <c r="D403" s="12" t="str">
        <f>IFERROR(IFERROR(IF(RIGHT(INDEX(WP!$A$2:$F$23,MATCH(IF(FIND("_",$B403)&gt;0,LEFT($B403,FIND("_",$B403)-1)),WP!$E$2:$E$23,0),2),6)="Series",LEFT(INDEX(WP!$A$2:$F$23,MATCH(IF(FIND("_",$B403)&gt;0,LEFT($B403,FIND("_",$B403)-1)),WP!$E$2:$E$23,0),2),5),""),IF(RIGHT(INDEX(WP!$A$2:$F$23,MATCH($B403,WP!$E$2:$E$23,0),2),6)="Series",LEFT(INDEX(WP!$A$2:$F$23,MATCH($B403,WP!$E$2:$E$23,0),2),5),"")),"")</f>
        <v/>
      </c>
      <c r="E403" s="17" t="str">
        <f>IFERROR(VLOOKUP(VALUE($D403),Series!$B$3:$F$11,2,0),"")</f>
        <v/>
      </c>
      <c r="F403" s="12" t="str">
        <f>_xlfn.IFNA(IF(IF($D403&lt;&gt;"",COUNTIF($E:$E,"="&amp;$D403),"")="",IF(RIGHT(IFERROR(IF(FIND("_",$B403)&gt;0,INDEX(WP!$A$2:$F$23,MATCH(LEFT($B403,FIND("_",$B403)-1),WP!$E$2:$E$23,0),2),IF(FIND("-",$B403)&gt;0,INDEX(WP!$A$2:$F$23,MATCH(LEFT($B403,FIND("_",$B403)-1),WP!$E$2:$E$23,0),2))),INDEX(WP!$A$2:$F$23,MATCH(Results!$B403,WP!$E$2:$E$23,0),2)),6)="Series",LEFT(IFERROR(IF(FIND("_",$B403)&gt;0,INDEX(WP!$A$2:$F$23,MATCH(LEFT($B403,FIND("_",$B403)-1),WP!$E$2:$E$23,0),2),IF(FIND("-",$B403)&gt;0,INDEX(WP!$A$2:$F$23,MATCH(LEFT($B403,FIND("_",$B403)-1),WP!$E$2:$E$23,0),2))),INDEX(WP!$A$2:$F$23,MATCH(Results!$B403,WP!$E$2:$E$23,0),2)),5),(IFERROR(IF(FIND("_",$B403)&gt;0,INDEX(WP!$A$2:$F$23,MATCH(LEFT($B403,FIND("_",$B403)-1),WP!$E$2:$E$23,0),2),IF(FIND("-",$B403)&gt;0,INDEX(WP!$A$2:$F$23,MATCH(LEFT($B403,FIND("_",$B403)-1),WP!$E$2:$E$23,0),2))),INDEX(WP!$A$2:$F$23,MATCH(Results!$B403,WP!$E$2:$E$23,0),2)))),IF(RIGHT(IFERROR(IF(FIND("_",$B403)&gt;0,INDEX(WP!$A$2:$F$23,MATCH(LEFT($B403,FIND("_",$B403)-1),WP!$E$2:$E$23,0),2),IF(FIND("-",$B403)&gt;0,INDEX(WP!$A$2:$F$23,MATCH(LEFT($B403,FIND("_",$B403)-1),WP!$E$2:$E$23,0),2))),INDEX(WP!$A$2:$F$23,MATCH(Results!$B403,WP!$E$2:$E$23,0),2)),6)="Series",LEFT(IFERROR(IF(FIND("_",$B403)&gt;0,INDEX(WP!$A$2:$F$23,MATCH(LEFT($B403,FIND("_",$B403)-1),WP!$E$2:$E$23,0),2),IF(FIND("-",$B403)&gt;0,INDEX(WP!$A$2:$F$23,MATCH(LEFT($B403,FIND("_",$B403)-1),WP!$E$2:$E$23,0),2))),INDEX(WP!$A$2:$F$23,MATCH(Results!$B403,WP!$E$2:$E$23,0),2)),5),(IFERROR(IF(FIND("_",$B403)&gt;0,INDEX(WP!$A$2:$F$23,MATCH(LEFT($B403,FIND("_",$B403)-1),WP!$E$2:$E$23,0),2),IF(FIND("-",$B403)&gt;0,INDEX(WP!$A$2:$F$23,MATCH(LEFT($B403,FIND("_",$B403)-1),WP!$E$2:$E$23,0),2))),INDEX(WP!$A$2:$F$23,MATCH(Results!$B403,WP!$E$2:$E$23,0),2))))&amp;"-"&amp;$I403),"")</f>
        <v/>
      </c>
      <c r="G403" s="17" t="str">
        <f>IF(LEN(_xlfn.IFNA(IF(IFERROR(IF(FIND("_",$B403)&gt;0,MID($B403,FIND("_",$B403)+1,LEN($B403)),IF(FIND("-",$B403)&gt;0,MID($B403,FIND("-",$B403)+1,LEN($B403)))),"")="",IFERROR(VLOOKUP($F403,WP!$B$2:$C$23,2,0),VLOOKUP($C403,Series!$A$3:$F$11,6,0)),IFERROR(VLOOKUP($F403,WP!$B$2:$C$23,2,0),VLOOKUP($C403,Series!$A$3:$F$11,6,0))&amp;" - "&amp;(IFERROR(IF(FIND("_",$B403)&gt;0,MID($B403,FIND("_",$B403)+1,LEN($B403)),IF(FIND("-",$B403)&gt;0,MID($B403,FIND("-",$B403)+1,LEN($B403)))),""))),""))&lt;64,_xlfn.IFNA(IF(IFERROR(IF(FIND("_",$B403)&gt;0,MID($B403,FIND("_",$B403)+1,LEN($B403)),IF(FIND("-",$B403)&gt;0,MID($B403,FIND("-",$B403)+1,LEN($B403)))),"")="",IFERROR(VLOOKUP($F403,WP!$B$2:$C$23,2,0),VLOOKUP($C403,Series!$A$3:$F$11,6,0)),IFERROR(VLOOKUP($F403,WP!$B$2:$C$23,2,0),VLOOKUP($C403,Series!$A$3:$F$11,6,0))&amp;" - "&amp;(IFERROR(IF(FIND("_",$B403)&gt;0,MID($B403,FIND("_",$B403)+1,LEN($B403)),IF(FIND("-",$B403)&gt;0,MID($B403,FIND("-",$B403)+1,LEN($B403)))),""))),""),LEFT((_xlfn.IFNA(IF(IFERROR(IF(FIND("_",$B403)&gt;0,MID($B403,FIND("_",$B403)+1,LEN($B403)),IF(FIND("-",$B403)&gt;0,MID($B403,FIND("-",$B403)+1,LEN($B403)))),"")="",IFERROR(VLOOKUP($F403,WP!$B$2:$C$23,2,0),VLOOKUP($C403,Series!$A$3:$F$11,6,0)),IFERROR(VLOOKUP($F403,WP!$B$2:$C$23,2,0),VLOOKUP($C403,Series!$A$3:$F$11,6,0))&amp;" - "&amp;(IFERROR(IF(FIND("_",$B403)&gt;0,MID($B403,FIND("_",$B403)+1,LEN($B403)),IF(FIND("-",$B403)&gt;0,MID($B403,FIND("-",$B403)+1,LEN($B403)))),""))),"")),64))</f>
        <v/>
      </c>
      <c r="H403" s="12"/>
      <c r="I403" s="12" t="str">
        <f>IF($D403&lt;&gt;"",COUNTIF($D$7:$D403,"="&amp;$D403),"")</f>
        <v/>
      </c>
      <c r="J403"/>
      <c r="K403" s="8"/>
      <c r="L403"/>
    </row>
    <row r="404" spans="1:12" x14ac:dyDescent="0.3">
      <c r="A404" s="1"/>
      <c r="B404" s="26"/>
      <c r="C404" s="12" t="str">
        <f>_xlfn.IFNA(IFERROR(IF(FIND("_",$B404)&gt;0,INDEX(WP!$A$2:$F$23,MATCH(LEFT($B404,FIND("_",$B404)-1),WP!$E$2:$E$23,0),1),IF(FIND("-",$B404)&gt;0,INDEX(WP!$A$2:$F$23,MATCH(LEFT($B404,FIND("_",$B404)-1),WP!$E$2:$E$23,0),1))),INDEX(WP!$A$2:$F$23,MATCH(Results!$B404,WP!$E$2:$E$23,0),1)),"")</f>
        <v/>
      </c>
      <c r="D404" s="12" t="str">
        <f>IFERROR(IFERROR(IF(RIGHT(INDEX(WP!$A$2:$F$23,MATCH(IF(FIND("_",$B404)&gt;0,LEFT($B404,FIND("_",$B404)-1)),WP!$E$2:$E$23,0),2),6)="Series",LEFT(INDEX(WP!$A$2:$F$23,MATCH(IF(FIND("_",$B404)&gt;0,LEFT($B404,FIND("_",$B404)-1)),WP!$E$2:$E$23,0),2),5),""),IF(RIGHT(INDEX(WP!$A$2:$F$23,MATCH($B404,WP!$E$2:$E$23,0),2),6)="Series",LEFT(INDEX(WP!$A$2:$F$23,MATCH($B404,WP!$E$2:$E$23,0),2),5),"")),"")</f>
        <v/>
      </c>
      <c r="E404" s="17" t="str">
        <f>IFERROR(VLOOKUP(VALUE($D404),Series!$B$3:$F$11,2,0),"")</f>
        <v/>
      </c>
      <c r="F404" s="12" t="str">
        <f>_xlfn.IFNA(IF(IF($D404&lt;&gt;"",COUNTIF($E:$E,"="&amp;$D404),"")="",IF(RIGHT(IFERROR(IF(FIND("_",$B404)&gt;0,INDEX(WP!$A$2:$F$23,MATCH(LEFT($B404,FIND("_",$B404)-1),WP!$E$2:$E$23,0),2),IF(FIND("-",$B404)&gt;0,INDEX(WP!$A$2:$F$23,MATCH(LEFT($B404,FIND("_",$B404)-1),WP!$E$2:$E$23,0),2))),INDEX(WP!$A$2:$F$23,MATCH(Results!$B404,WP!$E$2:$E$23,0),2)),6)="Series",LEFT(IFERROR(IF(FIND("_",$B404)&gt;0,INDEX(WP!$A$2:$F$23,MATCH(LEFT($B404,FIND("_",$B404)-1),WP!$E$2:$E$23,0),2),IF(FIND("-",$B404)&gt;0,INDEX(WP!$A$2:$F$23,MATCH(LEFT($B404,FIND("_",$B404)-1),WP!$E$2:$E$23,0),2))),INDEX(WP!$A$2:$F$23,MATCH(Results!$B404,WP!$E$2:$E$23,0),2)),5),(IFERROR(IF(FIND("_",$B404)&gt;0,INDEX(WP!$A$2:$F$23,MATCH(LEFT($B404,FIND("_",$B404)-1),WP!$E$2:$E$23,0),2),IF(FIND("-",$B404)&gt;0,INDEX(WP!$A$2:$F$23,MATCH(LEFT($B404,FIND("_",$B404)-1),WP!$E$2:$E$23,0),2))),INDEX(WP!$A$2:$F$23,MATCH(Results!$B404,WP!$E$2:$E$23,0),2)))),IF(RIGHT(IFERROR(IF(FIND("_",$B404)&gt;0,INDEX(WP!$A$2:$F$23,MATCH(LEFT($B404,FIND("_",$B404)-1),WP!$E$2:$E$23,0),2),IF(FIND("-",$B404)&gt;0,INDEX(WP!$A$2:$F$23,MATCH(LEFT($B404,FIND("_",$B404)-1),WP!$E$2:$E$23,0),2))),INDEX(WP!$A$2:$F$23,MATCH(Results!$B404,WP!$E$2:$E$23,0),2)),6)="Series",LEFT(IFERROR(IF(FIND("_",$B404)&gt;0,INDEX(WP!$A$2:$F$23,MATCH(LEFT($B404,FIND("_",$B404)-1),WP!$E$2:$E$23,0),2),IF(FIND("-",$B404)&gt;0,INDEX(WP!$A$2:$F$23,MATCH(LEFT($B404,FIND("_",$B404)-1),WP!$E$2:$E$23,0),2))),INDEX(WP!$A$2:$F$23,MATCH(Results!$B404,WP!$E$2:$E$23,0),2)),5),(IFERROR(IF(FIND("_",$B404)&gt;0,INDEX(WP!$A$2:$F$23,MATCH(LEFT($B404,FIND("_",$B404)-1),WP!$E$2:$E$23,0),2),IF(FIND("-",$B404)&gt;0,INDEX(WP!$A$2:$F$23,MATCH(LEFT($B404,FIND("_",$B404)-1),WP!$E$2:$E$23,0),2))),INDEX(WP!$A$2:$F$23,MATCH(Results!$B404,WP!$E$2:$E$23,0),2))))&amp;"-"&amp;$I404),"")</f>
        <v/>
      </c>
      <c r="G404" s="17" t="str">
        <f>IF(LEN(_xlfn.IFNA(IF(IFERROR(IF(FIND("_",$B404)&gt;0,MID($B404,FIND("_",$B404)+1,LEN($B404)),IF(FIND("-",$B404)&gt;0,MID($B404,FIND("-",$B404)+1,LEN($B404)))),"")="",IFERROR(VLOOKUP($F404,WP!$B$2:$C$23,2,0),VLOOKUP($C404,Series!$A$3:$F$11,6,0)),IFERROR(VLOOKUP($F404,WP!$B$2:$C$23,2,0),VLOOKUP($C404,Series!$A$3:$F$11,6,0))&amp;" - "&amp;(IFERROR(IF(FIND("_",$B404)&gt;0,MID($B404,FIND("_",$B404)+1,LEN($B404)),IF(FIND("-",$B404)&gt;0,MID($B404,FIND("-",$B404)+1,LEN($B404)))),""))),""))&lt;64,_xlfn.IFNA(IF(IFERROR(IF(FIND("_",$B404)&gt;0,MID($B404,FIND("_",$B404)+1,LEN($B404)),IF(FIND("-",$B404)&gt;0,MID($B404,FIND("-",$B404)+1,LEN($B404)))),"")="",IFERROR(VLOOKUP($F404,WP!$B$2:$C$23,2,0),VLOOKUP($C404,Series!$A$3:$F$11,6,0)),IFERROR(VLOOKUP($F404,WP!$B$2:$C$23,2,0),VLOOKUP($C404,Series!$A$3:$F$11,6,0))&amp;" - "&amp;(IFERROR(IF(FIND("_",$B404)&gt;0,MID($B404,FIND("_",$B404)+1,LEN($B404)),IF(FIND("-",$B404)&gt;0,MID($B404,FIND("-",$B404)+1,LEN($B404)))),""))),""),LEFT((_xlfn.IFNA(IF(IFERROR(IF(FIND("_",$B404)&gt;0,MID($B404,FIND("_",$B404)+1,LEN($B404)),IF(FIND("-",$B404)&gt;0,MID($B404,FIND("-",$B404)+1,LEN($B404)))),"")="",IFERROR(VLOOKUP($F404,WP!$B$2:$C$23,2,0),VLOOKUP($C404,Series!$A$3:$F$11,6,0)),IFERROR(VLOOKUP($F404,WP!$B$2:$C$23,2,0),VLOOKUP($C404,Series!$A$3:$F$11,6,0))&amp;" - "&amp;(IFERROR(IF(FIND("_",$B404)&gt;0,MID($B404,FIND("_",$B404)+1,LEN($B404)),IF(FIND("-",$B404)&gt;0,MID($B404,FIND("-",$B404)+1,LEN($B404)))),""))),"")),64))</f>
        <v/>
      </c>
      <c r="H404" s="12"/>
      <c r="I404" s="12" t="str">
        <f>IF($D404&lt;&gt;"",COUNTIF($D$7:$D404,"="&amp;$D404),"")</f>
        <v/>
      </c>
      <c r="J404"/>
      <c r="K404" s="8"/>
      <c r="L404"/>
    </row>
    <row r="405" spans="1:12" x14ac:dyDescent="0.3">
      <c r="A405" s="1"/>
      <c r="B405" s="26"/>
      <c r="C405" s="12" t="str">
        <f>_xlfn.IFNA(IFERROR(IF(FIND("_",$B405)&gt;0,INDEX(WP!$A$2:$F$23,MATCH(LEFT($B405,FIND("_",$B405)-1),WP!$E$2:$E$23,0),1),IF(FIND("-",$B405)&gt;0,INDEX(WP!$A$2:$F$23,MATCH(LEFT($B405,FIND("_",$B405)-1),WP!$E$2:$E$23,0),1))),INDEX(WP!$A$2:$F$23,MATCH(Results!$B405,WP!$E$2:$E$23,0),1)),"")</f>
        <v/>
      </c>
      <c r="D405" s="12" t="str">
        <f>IFERROR(IFERROR(IF(RIGHT(INDEX(WP!$A$2:$F$23,MATCH(IF(FIND("_",$B405)&gt;0,LEFT($B405,FIND("_",$B405)-1)),WP!$E$2:$E$23,0),2),6)="Series",LEFT(INDEX(WP!$A$2:$F$23,MATCH(IF(FIND("_",$B405)&gt;0,LEFT($B405,FIND("_",$B405)-1)),WP!$E$2:$E$23,0),2),5),""),IF(RIGHT(INDEX(WP!$A$2:$F$23,MATCH($B405,WP!$E$2:$E$23,0),2),6)="Series",LEFT(INDEX(WP!$A$2:$F$23,MATCH($B405,WP!$E$2:$E$23,0),2),5),"")),"")</f>
        <v/>
      </c>
      <c r="E405" s="17" t="str">
        <f>IFERROR(VLOOKUP(VALUE($D405),Series!$B$3:$F$11,2,0),"")</f>
        <v/>
      </c>
      <c r="F405" s="12" t="str">
        <f>_xlfn.IFNA(IF(IF($D405&lt;&gt;"",COUNTIF($E:$E,"="&amp;$D405),"")="",IF(RIGHT(IFERROR(IF(FIND("_",$B405)&gt;0,INDEX(WP!$A$2:$F$23,MATCH(LEFT($B405,FIND("_",$B405)-1),WP!$E$2:$E$23,0),2),IF(FIND("-",$B405)&gt;0,INDEX(WP!$A$2:$F$23,MATCH(LEFT($B405,FIND("_",$B405)-1),WP!$E$2:$E$23,0),2))),INDEX(WP!$A$2:$F$23,MATCH(Results!$B405,WP!$E$2:$E$23,0),2)),6)="Series",LEFT(IFERROR(IF(FIND("_",$B405)&gt;0,INDEX(WP!$A$2:$F$23,MATCH(LEFT($B405,FIND("_",$B405)-1),WP!$E$2:$E$23,0),2),IF(FIND("-",$B405)&gt;0,INDEX(WP!$A$2:$F$23,MATCH(LEFT($B405,FIND("_",$B405)-1),WP!$E$2:$E$23,0),2))),INDEX(WP!$A$2:$F$23,MATCH(Results!$B405,WP!$E$2:$E$23,0),2)),5),(IFERROR(IF(FIND("_",$B405)&gt;0,INDEX(WP!$A$2:$F$23,MATCH(LEFT($B405,FIND("_",$B405)-1),WP!$E$2:$E$23,0),2),IF(FIND("-",$B405)&gt;0,INDEX(WP!$A$2:$F$23,MATCH(LEFT($B405,FIND("_",$B405)-1),WP!$E$2:$E$23,0),2))),INDEX(WP!$A$2:$F$23,MATCH(Results!$B405,WP!$E$2:$E$23,0),2)))),IF(RIGHT(IFERROR(IF(FIND("_",$B405)&gt;0,INDEX(WP!$A$2:$F$23,MATCH(LEFT($B405,FIND("_",$B405)-1),WP!$E$2:$E$23,0),2),IF(FIND("-",$B405)&gt;0,INDEX(WP!$A$2:$F$23,MATCH(LEFT($B405,FIND("_",$B405)-1),WP!$E$2:$E$23,0),2))),INDEX(WP!$A$2:$F$23,MATCH(Results!$B405,WP!$E$2:$E$23,0),2)),6)="Series",LEFT(IFERROR(IF(FIND("_",$B405)&gt;0,INDEX(WP!$A$2:$F$23,MATCH(LEFT($B405,FIND("_",$B405)-1),WP!$E$2:$E$23,0),2),IF(FIND("-",$B405)&gt;0,INDEX(WP!$A$2:$F$23,MATCH(LEFT($B405,FIND("_",$B405)-1),WP!$E$2:$E$23,0),2))),INDEX(WP!$A$2:$F$23,MATCH(Results!$B405,WP!$E$2:$E$23,0),2)),5),(IFERROR(IF(FIND("_",$B405)&gt;0,INDEX(WP!$A$2:$F$23,MATCH(LEFT($B405,FIND("_",$B405)-1),WP!$E$2:$E$23,0),2),IF(FIND("-",$B405)&gt;0,INDEX(WP!$A$2:$F$23,MATCH(LEFT($B405,FIND("_",$B405)-1),WP!$E$2:$E$23,0),2))),INDEX(WP!$A$2:$F$23,MATCH(Results!$B405,WP!$E$2:$E$23,0),2))))&amp;"-"&amp;$I405),"")</f>
        <v/>
      </c>
      <c r="G405" s="17" t="str">
        <f>IF(LEN(_xlfn.IFNA(IF(IFERROR(IF(FIND("_",$B405)&gt;0,MID($B405,FIND("_",$B405)+1,LEN($B405)),IF(FIND("-",$B405)&gt;0,MID($B405,FIND("-",$B405)+1,LEN($B405)))),"")="",IFERROR(VLOOKUP($F405,WP!$B$2:$C$23,2,0),VLOOKUP($C405,Series!$A$3:$F$11,6,0)),IFERROR(VLOOKUP($F405,WP!$B$2:$C$23,2,0),VLOOKUP($C405,Series!$A$3:$F$11,6,0))&amp;" - "&amp;(IFERROR(IF(FIND("_",$B405)&gt;0,MID($B405,FIND("_",$B405)+1,LEN($B405)),IF(FIND("-",$B405)&gt;0,MID($B405,FIND("-",$B405)+1,LEN($B405)))),""))),""))&lt;64,_xlfn.IFNA(IF(IFERROR(IF(FIND("_",$B405)&gt;0,MID($B405,FIND("_",$B405)+1,LEN($B405)),IF(FIND("-",$B405)&gt;0,MID($B405,FIND("-",$B405)+1,LEN($B405)))),"")="",IFERROR(VLOOKUP($F405,WP!$B$2:$C$23,2,0),VLOOKUP($C405,Series!$A$3:$F$11,6,0)),IFERROR(VLOOKUP($F405,WP!$B$2:$C$23,2,0),VLOOKUP($C405,Series!$A$3:$F$11,6,0))&amp;" - "&amp;(IFERROR(IF(FIND("_",$B405)&gt;0,MID($B405,FIND("_",$B405)+1,LEN($B405)),IF(FIND("-",$B405)&gt;0,MID($B405,FIND("-",$B405)+1,LEN($B405)))),""))),""),LEFT((_xlfn.IFNA(IF(IFERROR(IF(FIND("_",$B405)&gt;0,MID($B405,FIND("_",$B405)+1,LEN($B405)),IF(FIND("-",$B405)&gt;0,MID($B405,FIND("-",$B405)+1,LEN($B405)))),"")="",IFERROR(VLOOKUP($F405,WP!$B$2:$C$23,2,0),VLOOKUP($C405,Series!$A$3:$F$11,6,0)),IFERROR(VLOOKUP($F405,WP!$B$2:$C$23,2,0),VLOOKUP($C405,Series!$A$3:$F$11,6,0))&amp;" - "&amp;(IFERROR(IF(FIND("_",$B405)&gt;0,MID($B405,FIND("_",$B405)+1,LEN($B405)),IF(FIND("-",$B405)&gt;0,MID($B405,FIND("-",$B405)+1,LEN($B405)))),""))),"")),64))</f>
        <v/>
      </c>
      <c r="H405" s="12"/>
      <c r="I405" s="12" t="str">
        <f>IF($D405&lt;&gt;"",COUNTIF($D$7:$D405,"="&amp;$D405),"")</f>
        <v/>
      </c>
      <c r="J405"/>
      <c r="K405" s="8"/>
      <c r="L405"/>
    </row>
    <row r="406" spans="1:12" x14ac:dyDescent="0.3">
      <c r="A406" s="1"/>
      <c r="B406" s="26"/>
      <c r="C406" s="12" t="str">
        <f>_xlfn.IFNA(IFERROR(IF(FIND("_",$B406)&gt;0,INDEX(WP!$A$2:$F$23,MATCH(LEFT($B406,FIND("_",$B406)-1),WP!$E$2:$E$23,0),1),IF(FIND("-",$B406)&gt;0,INDEX(WP!$A$2:$F$23,MATCH(LEFT($B406,FIND("_",$B406)-1),WP!$E$2:$E$23,0),1))),INDEX(WP!$A$2:$F$23,MATCH(Results!$B406,WP!$E$2:$E$23,0),1)),"")</f>
        <v/>
      </c>
      <c r="D406" s="12" t="str">
        <f>IFERROR(IFERROR(IF(RIGHT(INDEX(WP!$A$2:$F$23,MATCH(IF(FIND("_",$B406)&gt;0,LEFT($B406,FIND("_",$B406)-1)),WP!$E$2:$E$23,0),2),6)="Series",LEFT(INDEX(WP!$A$2:$F$23,MATCH(IF(FIND("_",$B406)&gt;0,LEFT($B406,FIND("_",$B406)-1)),WP!$E$2:$E$23,0),2),5),""),IF(RIGHT(INDEX(WP!$A$2:$F$23,MATCH($B406,WP!$E$2:$E$23,0),2),6)="Series",LEFT(INDEX(WP!$A$2:$F$23,MATCH($B406,WP!$E$2:$E$23,0),2),5),"")),"")</f>
        <v/>
      </c>
      <c r="E406" s="17" t="str">
        <f>IFERROR(VLOOKUP(VALUE($D406),Series!$B$3:$F$11,2,0),"")</f>
        <v/>
      </c>
      <c r="F406" s="12" t="str">
        <f>_xlfn.IFNA(IF(IF($D406&lt;&gt;"",COUNTIF($E:$E,"="&amp;$D406),"")="",IF(RIGHT(IFERROR(IF(FIND("_",$B406)&gt;0,INDEX(WP!$A$2:$F$23,MATCH(LEFT($B406,FIND("_",$B406)-1),WP!$E$2:$E$23,0),2),IF(FIND("-",$B406)&gt;0,INDEX(WP!$A$2:$F$23,MATCH(LEFT($B406,FIND("_",$B406)-1),WP!$E$2:$E$23,0),2))),INDEX(WP!$A$2:$F$23,MATCH(Results!$B406,WP!$E$2:$E$23,0),2)),6)="Series",LEFT(IFERROR(IF(FIND("_",$B406)&gt;0,INDEX(WP!$A$2:$F$23,MATCH(LEFT($B406,FIND("_",$B406)-1),WP!$E$2:$E$23,0),2),IF(FIND("-",$B406)&gt;0,INDEX(WP!$A$2:$F$23,MATCH(LEFT($B406,FIND("_",$B406)-1),WP!$E$2:$E$23,0),2))),INDEX(WP!$A$2:$F$23,MATCH(Results!$B406,WP!$E$2:$E$23,0),2)),5),(IFERROR(IF(FIND("_",$B406)&gt;0,INDEX(WP!$A$2:$F$23,MATCH(LEFT($B406,FIND("_",$B406)-1),WP!$E$2:$E$23,0),2),IF(FIND("-",$B406)&gt;0,INDEX(WP!$A$2:$F$23,MATCH(LEFT($B406,FIND("_",$B406)-1),WP!$E$2:$E$23,0),2))),INDEX(WP!$A$2:$F$23,MATCH(Results!$B406,WP!$E$2:$E$23,0),2)))),IF(RIGHT(IFERROR(IF(FIND("_",$B406)&gt;0,INDEX(WP!$A$2:$F$23,MATCH(LEFT($B406,FIND("_",$B406)-1),WP!$E$2:$E$23,0),2),IF(FIND("-",$B406)&gt;0,INDEX(WP!$A$2:$F$23,MATCH(LEFT($B406,FIND("_",$B406)-1),WP!$E$2:$E$23,0),2))),INDEX(WP!$A$2:$F$23,MATCH(Results!$B406,WP!$E$2:$E$23,0),2)),6)="Series",LEFT(IFERROR(IF(FIND("_",$B406)&gt;0,INDEX(WP!$A$2:$F$23,MATCH(LEFT($B406,FIND("_",$B406)-1),WP!$E$2:$E$23,0),2),IF(FIND("-",$B406)&gt;0,INDEX(WP!$A$2:$F$23,MATCH(LEFT($B406,FIND("_",$B406)-1),WP!$E$2:$E$23,0),2))),INDEX(WP!$A$2:$F$23,MATCH(Results!$B406,WP!$E$2:$E$23,0),2)),5),(IFERROR(IF(FIND("_",$B406)&gt;0,INDEX(WP!$A$2:$F$23,MATCH(LEFT($B406,FIND("_",$B406)-1),WP!$E$2:$E$23,0),2),IF(FIND("-",$B406)&gt;0,INDEX(WP!$A$2:$F$23,MATCH(LEFT($B406,FIND("_",$B406)-1),WP!$E$2:$E$23,0),2))),INDEX(WP!$A$2:$F$23,MATCH(Results!$B406,WP!$E$2:$E$23,0),2))))&amp;"-"&amp;$I406),"")</f>
        <v/>
      </c>
      <c r="G406" s="17" t="str">
        <f>IF(LEN(_xlfn.IFNA(IF(IFERROR(IF(FIND("_",$B406)&gt;0,MID($B406,FIND("_",$B406)+1,LEN($B406)),IF(FIND("-",$B406)&gt;0,MID($B406,FIND("-",$B406)+1,LEN($B406)))),"")="",IFERROR(VLOOKUP($F406,WP!$B$2:$C$23,2,0),VLOOKUP($C406,Series!$A$3:$F$11,6,0)),IFERROR(VLOOKUP($F406,WP!$B$2:$C$23,2,0),VLOOKUP($C406,Series!$A$3:$F$11,6,0))&amp;" - "&amp;(IFERROR(IF(FIND("_",$B406)&gt;0,MID($B406,FIND("_",$B406)+1,LEN($B406)),IF(FIND("-",$B406)&gt;0,MID($B406,FIND("-",$B406)+1,LEN($B406)))),""))),""))&lt;64,_xlfn.IFNA(IF(IFERROR(IF(FIND("_",$B406)&gt;0,MID($B406,FIND("_",$B406)+1,LEN($B406)),IF(FIND("-",$B406)&gt;0,MID($B406,FIND("-",$B406)+1,LEN($B406)))),"")="",IFERROR(VLOOKUP($F406,WP!$B$2:$C$23,2,0),VLOOKUP($C406,Series!$A$3:$F$11,6,0)),IFERROR(VLOOKUP($F406,WP!$B$2:$C$23,2,0),VLOOKUP($C406,Series!$A$3:$F$11,6,0))&amp;" - "&amp;(IFERROR(IF(FIND("_",$B406)&gt;0,MID($B406,FIND("_",$B406)+1,LEN($B406)),IF(FIND("-",$B406)&gt;0,MID($B406,FIND("-",$B406)+1,LEN($B406)))),""))),""),LEFT((_xlfn.IFNA(IF(IFERROR(IF(FIND("_",$B406)&gt;0,MID($B406,FIND("_",$B406)+1,LEN($B406)),IF(FIND("-",$B406)&gt;0,MID($B406,FIND("-",$B406)+1,LEN($B406)))),"")="",IFERROR(VLOOKUP($F406,WP!$B$2:$C$23,2,0),VLOOKUP($C406,Series!$A$3:$F$11,6,0)),IFERROR(VLOOKUP($F406,WP!$B$2:$C$23,2,0),VLOOKUP($C406,Series!$A$3:$F$11,6,0))&amp;" - "&amp;(IFERROR(IF(FIND("_",$B406)&gt;0,MID($B406,FIND("_",$B406)+1,LEN($B406)),IF(FIND("-",$B406)&gt;0,MID($B406,FIND("-",$B406)+1,LEN($B406)))),""))),"")),64))</f>
        <v/>
      </c>
      <c r="H406" s="12"/>
      <c r="I406" s="12" t="str">
        <f>IF($D406&lt;&gt;"",COUNTIF($D$7:$D406,"="&amp;$D406),"")</f>
        <v/>
      </c>
      <c r="J406"/>
      <c r="K406" s="8"/>
      <c r="L406"/>
    </row>
    <row r="407" spans="1:12" x14ac:dyDescent="0.3">
      <c r="A407" s="1"/>
      <c r="B407" s="26"/>
      <c r="C407" s="12" t="str">
        <f>_xlfn.IFNA(IFERROR(IF(FIND("_",$B407)&gt;0,INDEX(WP!$A$2:$F$23,MATCH(LEFT($B407,FIND("_",$B407)-1),WP!$E$2:$E$23,0),1),IF(FIND("-",$B407)&gt;0,INDEX(WP!$A$2:$F$23,MATCH(LEFT($B407,FIND("_",$B407)-1),WP!$E$2:$E$23,0),1))),INDEX(WP!$A$2:$F$23,MATCH(Results!$B407,WP!$E$2:$E$23,0),1)),"")</f>
        <v/>
      </c>
      <c r="D407" s="12" t="str">
        <f>IFERROR(IFERROR(IF(RIGHT(INDEX(WP!$A$2:$F$23,MATCH(IF(FIND("_",$B407)&gt;0,LEFT($B407,FIND("_",$B407)-1)),WP!$E$2:$E$23,0),2),6)="Series",LEFT(INDEX(WP!$A$2:$F$23,MATCH(IF(FIND("_",$B407)&gt;0,LEFT($B407,FIND("_",$B407)-1)),WP!$E$2:$E$23,0),2),5),""),IF(RIGHT(INDEX(WP!$A$2:$F$23,MATCH($B407,WP!$E$2:$E$23,0),2),6)="Series",LEFT(INDEX(WP!$A$2:$F$23,MATCH($B407,WP!$E$2:$E$23,0),2),5),"")),"")</f>
        <v/>
      </c>
      <c r="E407" s="17" t="str">
        <f>IFERROR(VLOOKUP(VALUE($D407),Series!$B$3:$F$11,2,0),"")</f>
        <v/>
      </c>
      <c r="F407" s="12" t="str">
        <f>_xlfn.IFNA(IF(IF($D407&lt;&gt;"",COUNTIF($E:$E,"="&amp;$D407),"")="",IF(RIGHT(IFERROR(IF(FIND("_",$B407)&gt;0,INDEX(WP!$A$2:$F$23,MATCH(LEFT($B407,FIND("_",$B407)-1),WP!$E$2:$E$23,0),2),IF(FIND("-",$B407)&gt;0,INDEX(WP!$A$2:$F$23,MATCH(LEFT($B407,FIND("_",$B407)-1),WP!$E$2:$E$23,0),2))),INDEX(WP!$A$2:$F$23,MATCH(Results!$B407,WP!$E$2:$E$23,0),2)),6)="Series",LEFT(IFERROR(IF(FIND("_",$B407)&gt;0,INDEX(WP!$A$2:$F$23,MATCH(LEFT($B407,FIND("_",$B407)-1),WP!$E$2:$E$23,0),2),IF(FIND("-",$B407)&gt;0,INDEX(WP!$A$2:$F$23,MATCH(LEFT($B407,FIND("_",$B407)-1),WP!$E$2:$E$23,0),2))),INDEX(WP!$A$2:$F$23,MATCH(Results!$B407,WP!$E$2:$E$23,0),2)),5),(IFERROR(IF(FIND("_",$B407)&gt;0,INDEX(WP!$A$2:$F$23,MATCH(LEFT($B407,FIND("_",$B407)-1),WP!$E$2:$E$23,0),2),IF(FIND("-",$B407)&gt;0,INDEX(WP!$A$2:$F$23,MATCH(LEFT($B407,FIND("_",$B407)-1),WP!$E$2:$E$23,0),2))),INDEX(WP!$A$2:$F$23,MATCH(Results!$B407,WP!$E$2:$E$23,0),2)))),IF(RIGHT(IFERROR(IF(FIND("_",$B407)&gt;0,INDEX(WP!$A$2:$F$23,MATCH(LEFT($B407,FIND("_",$B407)-1),WP!$E$2:$E$23,0),2),IF(FIND("-",$B407)&gt;0,INDEX(WP!$A$2:$F$23,MATCH(LEFT($B407,FIND("_",$B407)-1),WP!$E$2:$E$23,0),2))),INDEX(WP!$A$2:$F$23,MATCH(Results!$B407,WP!$E$2:$E$23,0),2)),6)="Series",LEFT(IFERROR(IF(FIND("_",$B407)&gt;0,INDEX(WP!$A$2:$F$23,MATCH(LEFT($B407,FIND("_",$B407)-1),WP!$E$2:$E$23,0),2),IF(FIND("-",$B407)&gt;0,INDEX(WP!$A$2:$F$23,MATCH(LEFT($B407,FIND("_",$B407)-1),WP!$E$2:$E$23,0),2))),INDEX(WP!$A$2:$F$23,MATCH(Results!$B407,WP!$E$2:$E$23,0),2)),5),(IFERROR(IF(FIND("_",$B407)&gt;0,INDEX(WP!$A$2:$F$23,MATCH(LEFT($B407,FIND("_",$B407)-1),WP!$E$2:$E$23,0),2),IF(FIND("-",$B407)&gt;0,INDEX(WP!$A$2:$F$23,MATCH(LEFT($B407,FIND("_",$B407)-1),WP!$E$2:$E$23,0),2))),INDEX(WP!$A$2:$F$23,MATCH(Results!$B407,WP!$E$2:$E$23,0),2))))&amp;"-"&amp;$I407),"")</f>
        <v/>
      </c>
      <c r="G407" s="17" t="str">
        <f>IF(LEN(_xlfn.IFNA(IF(IFERROR(IF(FIND("_",$B407)&gt;0,MID($B407,FIND("_",$B407)+1,LEN($B407)),IF(FIND("-",$B407)&gt;0,MID($B407,FIND("-",$B407)+1,LEN($B407)))),"")="",IFERROR(VLOOKUP($F407,WP!$B$2:$C$23,2,0),VLOOKUP($C407,Series!$A$3:$F$11,6,0)),IFERROR(VLOOKUP($F407,WP!$B$2:$C$23,2,0),VLOOKUP($C407,Series!$A$3:$F$11,6,0))&amp;" - "&amp;(IFERROR(IF(FIND("_",$B407)&gt;0,MID($B407,FIND("_",$B407)+1,LEN($B407)),IF(FIND("-",$B407)&gt;0,MID($B407,FIND("-",$B407)+1,LEN($B407)))),""))),""))&lt;64,_xlfn.IFNA(IF(IFERROR(IF(FIND("_",$B407)&gt;0,MID($B407,FIND("_",$B407)+1,LEN($B407)),IF(FIND("-",$B407)&gt;0,MID($B407,FIND("-",$B407)+1,LEN($B407)))),"")="",IFERROR(VLOOKUP($F407,WP!$B$2:$C$23,2,0),VLOOKUP($C407,Series!$A$3:$F$11,6,0)),IFERROR(VLOOKUP($F407,WP!$B$2:$C$23,2,0),VLOOKUP($C407,Series!$A$3:$F$11,6,0))&amp;" - "&amp;(IFERROR(IF(FIND("_",$B407)&gt;0,MID($B407,FIND("_",$B407)+1,LEN($B407)),IF(FIND("-",$B407)&gt;0,MID($B407,FIND("-",$B407)+1,LEN($B407)))),""))),""),LEFT((_xlfn.IFNA(IF(IFERROR(IF(FIND("_",$B407)&gt;0,MID($B407,FIND("_",$B407)+1,LEN($B407)),IF(FIND("-",$B407)&gt;0,MID($B407,FIND("-",$B407)+1,LEN($B407)))),"")="",IFERROR(VLOOKUP($F407,WP!$B$2:$C$23,2,0),VLOOKUP($C407,Series!$A$3:$F$11,6,0)),IFERROR(VLOOKUP($F407,WP!$B$2:$C$23,2,0),VLOOKUP($C407,Series!$A$3:$F$11,6,0))&amp;" - "&amp;(IFERROR(IF(FIND("_",$B407)&gt;0,MID($B407,FIND("_",$B407)+1,LEN($B407)),IF(FIND("-",$B407)&gt;0,MID($B407,FIND("-",$B407)+1,LEN($B407)))),""))),"")),64))</f>
        <v/>
      </c>
      <c r="H407" s="12"/>
      <c r="I407" s="12" t="str">
        <f>IF($D407&lt;&gt;"",COUNTIF($D$7:$D407,"="&amp;$D407),"")</f>
        <v/>
      </c>
      <c r="J407"/>
      <c r="K407" s="8"/>
      <c r="L407"/>
    </row>
    <row r="408" spans="1:12" x14ac:dyDescent="0.3">
      <c r="A408" s="1"/>
      <c r="B408" s="26"/>
      <c r="C408" s="12" t="str">
        <f>_xlfn.IFNA(IFERROR(IF(FIND("_",$B408)&gt;0,INDEX(WP!$A$2:$F$23,MATCH(LEFT($B408,FIND("_",$B408)-1),WP!$E$2:$E$23,0),1),IF(FIND("-",$B408)&gt;0,INDEX(WP!$A$2:$F$23,MATCH(LEFT($B408,FIND("_",$B408)-1),WP!$E$2:$E$23,0),1))),INDEX(WP!$A$2:$F$23,MATCH(Results!$B408,WP!$E$2:$E$23,0),1)),"")</f>
        <v/>
      </c>
      <c r="D408" s="12" t="str">
        <f>IFERROR(IFERROR(IF(RIGHT(INDEX(WP!$A$2:$F$23,MATCH(IF(FIND("_",$B408)&gt;0,LEFT($B408,FIND("_",$B408)-1)),WP!$E$2:$E$23,0),2),6)="Series",LEFT(INDEX(WP!$A$2:$F$23,MATCH(IF(FIND("_",$B408)&gt;0,LEFT($B408,FIND("_",$B408)-1)),WP!$E$2:$E$23,0),2),5),""),IF(RIGHT(INDEX(WP!$A$2:$F$23,MATCH($B408,WP!$E$2:$E$23,0),2),6)="Series",LEFT(INDEX(WP!$A$2:$F$23,MATCH($B408,WP!$E$2:$E$23,0),2),5),"")),"")</f>
        <v/>
      </c>
      <c r="E408" s="17" t="str">
        <f>IFERROR(VLOOKUP(VALUE($D408),Series!$B$3:$F$11,2,0),"")</f>
        <v/>
      </c>
      <c r="F408" s="12" t="str">
        <f>_xlfn.IFNA(IF(IF($D408&lt;&gt;"",COUNTIF($E:$E,"="&amp;$D408),"")="",IF(RIGHT(IFERROR(IF(FIND("_",$B408)&gt;0,INDEX(WP!$A$2:$F$23,MATCH(LEFT($B408,FIND("_",$B408)-1),WP!$E$2:$E$23,0),2),IF(FIND("-",$B408)&gt;0,INDEX(WP!$A$2:$F$23,MATCH(LEFT($B408,FIND("_",$B408)-1),WP!$E$2:$E$23,0),2))),INDEX(WP!$A$2:$F$23,MATCH(Results!$B408,WP!$E$2:$E$23,0),2)),6)="Series",LEFT(IFERROR(IF(FIND("_",$B408)&gt;0,INDEX(WP!$A$2:$F$23,MATCH(LEFT($B408,FIND("_",$B408)-1),WP!$E$2:$E$23,0),2),IF(FIND("-",$B408)&gt;0,INDEX(WP!$A$2:$F$23,MATCH(LEFT($B408,FIND("_",$B408)-1),WP!$E$2:$E$23,0),2))),INDEX(WP!$A$2:$F$23,MATCH(Results!$B408,WP!$E$2:$E$23,0),2)),5),(IFERROR(IF(FIND("_",$B408)&gt;0,INDEX(WP!$A$2:$F$23,MATCH(LEFT($B408,FIND("_",$B408)-1),WP!$E$2:$E$23,0),2),IF(FIND("-",$B408)&gt;0,INDEX(WP!$A$2:$F$23,MATCH(LEFT($B408,FIND("_",$B408)-1),WP!$E$2:$E$23,0),2))),INDEX(WP!$A$2:$F$23,MATCH(Results!$B408,WP!$E$2:$E$23,0),2)))),IF(RIGHT(IFERROR(IF(FIND("_",$B408)&gt;0,INDEX(WP!$A$2:$F$23,MATCH(LEFT($B408,FIND("_",$B408)-1),WP!$E$2:$E$23,0),2),IF(FIND("-",$B408)&gt;0,INDEX(WP!$A$2:$F$23,MATCH(LEFT($B408,FIND("_",$B408)-1),WP!$E$2:$E$23,0),2))),INDEX(WP!$A$2:$F$23,MATCH(Results!$B408,WP!$E$2:$E$23,0),2)),6)="Series",LEFT(IFERROR(IF(FIND("_",$B408)&gt;0,INDEX(WP!$A$2:$F$23,MATCH(LEFT($B408,FIND("_",$B408)-1),WP!$E$2:$E$23,0),2),IF(FIND("-",$B408)&gt;0,INDEX(WP!$A$2:$F$23,MATCH(LEFT($B408,FIND("_",$B408)-1),WP!$E$2:$E$23,0),2))),INDEX(WP!$A$2:$F$23,MATCH(Results!$B408,WP!$E$2:$E$23,0),2)),5),(IFERROR(IF(FIND("_",$B408)&gt;0,INDEX(WP!$A$2:$F$23,MATCH(LEFT($B408,FIND("_",$B408)-1),WP!$E$2:$E$23,0),2),IF(FIND("-",$B408)&gt;0,INDEX(WP!$A$2:$F$23,MATCH(LEFT($B408,FIND("_",$B408)-1),WP!$E$2:$E$23,0),2))),INDEX(WP!$A$2:$F$23,MATCH(Results!$B408,WP!$E$2:$E$23,0),2))))&amp;"-"&amp;$I408),"")</f>
        <v/>
      </c>
      <c r="G408" s="17" t="str">
        <f>IF(LEN(_xlfn.IFNA(IF(IFERROR(IF(FIND("_",$B408)&gt;0,MID($B408,FIND("_",$B408)+1,LEN($B408)),IF(FIND("-",$B408)&gt;0,MID($B408,FIND("-",$B408)+1,LEN($B408)))),"")="",IFERROR(VLOOKUP($F408,WP!$B$2:$C$23,2,0),VLOOKUP($C408,Series!$A$3:$F$11,6,0)),IFERROR(VLOOKUP($F408,WP!$B$2:$C$23,2,0),VLOOKUP($C408,Series!$A$3:$F$11,6,0))&amp;" - "&amp;(IFERROR(IF(FIND("_",$B408)&gt;0,MID($B408,FIND("_",$B408)+1,LEN($B408)),IF(FIND("-",$B408)&gt;0,MID($B408,FIND("-",$B408)+1,LEN($B408)))),""))),""))&lt;64,_xlfn.IFNA(IF(IFERROR(IF(FIND("_",$B408)&gt;0,MID($B408,FIND("_",$B408)+1,LEN($B408)),IF(FIND("-",$B408)&gt;0,MID($B408,FIND("-",$B408)+1,LEN($B408)))),"")="",IFERROR(VLOOKUP($F408,WP!$B$2:$C$23,2,0),VLOOKUP($C408,Series!$A$3:$F$11,6,0)),IFERROR(VLOOKUP($F408,WP!$B$2:$C$23,2,0),VLOOKUP($C408,Series!$A$3:$F$11,6,0))&amp;" - "&amp;(IFERROR(IF(FIND("_",$B408)&gt;0,MID($B408,FIND("_",$B408)+1,LEN($B408)),IF(FIND("-",$B408)&gt;0,MID($B408,FIND("-",$B408)+1,LEN($B408)))),""))),""),LEFT((_xlfn.IFNA(IF(IFERROR(IF(FIND("_",$B408)&gt;0,MID($B408,FIND("_",$B408)+1,LEN($B408)),IF(FIND("-",$B408)&gt;0,MID($B408,FIND("-",$B408)+1,LEN($B408)))),"")="",IFERROR(VLOOKUP($F408,WP!$B$2:$C$23,2,0),VLOOKUP($C408,Series!$A$3:$F$11,6,0)),IFERROR(VLOOKUP($F408,WP!$B$2:$C$23,2,0),VLOOKUP($C408,Series!$A$3:$F$11,6,0))&amp;" - "&amp;(IFERROR(IF(FIND("_",$B408)&gt;0,MID($B408,FIND("_",$B408)+1,LEN($B408)),IF(FIND("-",$B408)&gt;0,MID($B408,FIND("-",$B408)+1,LEN($B408)))),""))),"")),64))</f>
        <v/>
      </c>
      <c r="H408" s="12"/>
      <c r="I408" s="12" t="str">
        <f>IF($D408&lt;&gt;"",COUNTIF($D$7:$D408,"="&amp;$D408),"")</f>
        <v/>
      </c>
      <c r="J408"/>
      <c r="K408" s="8"/>
      <c r="L408"/>
    </row>
    <row r="409" spans="1:12" x14ac:dyDescent="0.3">
      <c r="A409" s="1"/>
      <c r="B409" s="26"/>
      <c r="C409" s="12" t="str">
        <f>_xlfn.IFNA(IFERROR(IF(FIND("_",$B409)&gt;0,INDEX(WP!$A$2:$F$23,MATCH(LEFT($B409,FIND("_",$B409)-1),WP!$E$2:$E$23,0),1),IF(FIND("-",$B409)&gt;0,INDEX(WP!$A$2:$F$23,MATCH(LEFT($B409,FIND("_",$B409)-1),WP!$E$2:$E$23,0),1))),INDEX(WP!$A$2:$F$23,MATCH(Results!$B409,WP!$E$2:$E$23,0),1)),"")</f>
        <v/>
      </c>
      <c r="D409" s="12" t="str">
        <f>IFERROR(IFERROR(IF(RIGHT(INDEX(WP!$A$2:$F$23,MATCH(IF(FIND("_",$B409)&gt;0,LEFT($B409,FIND("_",$B409)-1)),WP!$E$2:$E$23,0),2),6)="Series",LEFT(INDEX(WP!$A$2:$F$23,MATCH(IF(FIND("_",$B409)&gt;0,LEFT($B409,FIND("_",$B409)-1)),WP!$E$2:$E$23,0),2),5),""),IF(RIGHT(INDEX(WP!$A$2:$F$23,MATCH($B409,WP!$E$2:$E$23,0),2),6)="Series",LEFT(INDEX(WP!$A$2:$F$23,MATCH($B409,WP!$E$2:$E$23,0),2),5),"")),"")</f>
        <v/>
      </c>
      <c r="E409" s="17" t="str">
        <f>IFERROR(VLOOKUP(VALUE($D409),Series!$B$3:$F$11,2,0),"")</f>
        <v/>
      </c>
      <c r="F409" s="12" t="str">
        <f>_xlfn.IFNA(IF(IF($D409&lt;&gt;"",COUNTIF($E:$E,"="&amp;$D409),"")="",IF(RIGHT(IFERROR(IF(FIND("_",$B409)&gt;0,INDEX(WP!$A$2:$F$23,MATCH(LEFT($B409,FIND("_",$B409)-1),WP!$E$2:$E$23,0),2),IF(FIND("-",$B409)&gt;0,INDEX(WP!$A$2:$F$23,MATCH(LEFT($B409,FIND("_",$B409)-1),WP!$E$2:$E$23,0),2))),INDEX(WP!$A$2:$F$23,MATCH(Results!$B409,WP!$E$2:$E$23,0),2)),6)="Series",LEFT(IFERROR(IF(FIND("_",$B409)&gt;0,INDEX(WP!$A$2:$F$23,MATCH(LEFT($B409,FIND("_",$B409)-1),WP!$E$2:$E$23,0),2),IF(FIND("-",$B409)&gt;0,INDEX(WP!$A$2:$F$23,MATCH(LEFT($B409,FIND("_",$B409)-1),WP!$E$2:$E$23,0),2))),INDEX(WP!$A$2:$F$23,MATCH(Results!$B409,WP!$E$2:$E$23,0),2)),5),(IFERROR(IF(FIND("_",$B409)&gt;0,INDEX(WP!$A$2:$F$23,MATCH(LEFT($B409,FIND("_",$B409)-1),WP!$E$2:$E$23,0),2),IF(FIND("-",$B409)&gt;0,INDEX(WP!$A$2:$F$23,MATCH(LEFT($B409,FIND("_",$B409)-1),WP!$E$2:$E$23,0),2))),INDEX(WP!$A$2:$F$23,MATCH(Results!$B409,WP!$E$2:$E$23,0),2)))),IF(RIGHT(IFERROR(IF(FIND("_",$B409)&gt;0,INDEX(WP!$A$2:$F$23,MATCH(LEFT($B409,FIND("_",$B409)-1),WP!$E$2:$E$23,0),2),IF(FIND("-",$B409)&gt;0,INDEX(WP!$A$2:$F$23,MATCH(LEFT($B409,FIND("_",$B409)-1),WP!$E$2:$E$23,0),2))),INDEX(WP!$A$2:$F$23,MATCH(Results!$B409,WP!$E$2:$E$23,0),2)),6)="Series",LEFT(IFERROR(IF(FIND("_",$B409)&gt;0,INDEX(WP!$A$2:$F$23,MATCH(LEFT($B409,FIND("_",$B409)-1),WP!$E$2:$E$23,0),2),IF(FIND("-",$B409)&gt;0,INDEX(WP!$A$2:$F$23,MATCH(LEFT($B409,FIND("_",$B409)-1),WP!$E$2:$E$23,0),2))),INDEX(WP!$A$2:$F$23,MATCH(Results!$B409,WP!$E$2:$E$23,0),2)),5),(IFERROR(IF(FIND("_",$B409)&gt;0,INDEX(WP!$A$2:$F$23,MATCH(LEFT($B409,FIND("_",$B409)-1),WP!$E$2:$E$23,0),2),IF(FIND("-",$B409)&gt;0,INDEX(WP!$A$2:$F$23,MATCH(LEFT($B409,FIND("_",$B409)-1),WP!$E$2:$E$23,0),2))),INDEX(WP!$A$2:$F$23,MATCH(Results!$B409,WP!$E$2:$E$23,0),2))))&amp;"-"&amp;$I409),"")</f>
        <v/>
      </c>
      <c r="G409" s="17" t="str">
        <f>IF(LEN(_xlfn.IFNA(IF(IFERROR(IF(FIND("_",$B409)&gt;0,MID($B409,FIND("_",$B409)+1,LEN($B409)),IF(FIND("-",$B409)&gt;0,MID($B409,FIND("-",$B409)+1,LEN($B409)))),"")="",IFERROR(VLOOKUP($F409,WP!$B$2:$C$23,2,0),VLOOKUP($C409,Series!$A$3:$F$11,6,0)),IFERROR(VLOOKUP($F409,WP!$B$2:$C$23,2,0),VLOOKUP($C409,Series!$A$3:$F$11,6,0))&amp;" - "&amp;(IFERROR(IF(FIND("_",$B409)&gt;0,MID($B409,FIND("_",$B409)+1,LEN($B409)),IF(FIND("-",$B409)&gt;0,MID($B409,FIND("-",$B409)+1,LEN($B409)))),""))),""))&lt;64,_xlfn.IFNA(IF(IFERROR(IF(FIND("_",$B409)&gt;0,MID($B409,FIND("_",$B409)+1,LEN($B409)),IF(FIND("-",$B409)&gt;0,MID($B409,FIND("-",$B409)+1,LEN($B409)))),"")="",IFERROR(VLOOKUP($F409,WP!$B$2:$C$23,2,0),VLOOKUP($C409,Series!$A$3:$F$11,6,0)),IFERROR(VLOOKUP($F409,WP!$B$2:$C$23,2,0),VLOOKUP($C409,Series!$A$3:$F$11,6,0))&amp;" - "&amp;(IFERROR(IF(FIND("_",$B409)&gt;0,MID($B409,FIND("_",$B409)+1,LEN($B409)),IF(FIND("-",$B409)&gt;0,MID($B409,FIND("-",$B409)+1,LEN($B409)))),""))),""),LEFT((_xlfn.IFNA(IF(IFERROR(IF(FIND("_",$B409)&gt;0,MID($B409,FIND("_",$B409)+1,LEN($B409)),IF(FIND("-",$B409)&gt;0,MID($B409,FIND("-",$B409)+1,LEN($B409)))),"")="",IFERROR(VLOOKUP($F409,WP!$B$2:$C$23,2,0),VLOOKUP($C409,Series!$A$3:$F$11,6,0)),IFERROR(VLOOKUP($F409,WP!$B$2:$C$23,2,0),VLOOKUP($C409,Series!$A$3:$F$11,6,0))&amp;" - "&amp;(IFERROR(IF(FIND("_",$B409)&gt;0,MID($B409,FIND("_",$B409)+1,LEN($B409)),IF(FIND("-",$B409)&gt;0,MID($B409,FIND("-",$B409)+1,LEN($B409)))),""))),"")),64))</f>
        <v/>
      </c>
      <c r="H409" s="12"/>
      <c r="I409" s="12" t="str">
        <f>IF($D409&lt;&gt;"",COUNTIF($D$7:$D409,"="&amp;$D409),"")</f>
        <v/>
      </c>
      <c r="J409"/>
      <c r="K409" s="8"/>
      <c r="L409"/>
    </row>
    <row r="410" spans="1:12" x14ac:dyDescent="0.3">
      <c r="A410" s="1"/>
      <c r="B410" s="26"/>
      <c r="C410" s="12" t="str">
        <f>_xlfn.IFNA(IFERROR(IF(FIND("_",$B410)&gt;0,INDEX(WP!$A$2:$F$23,MATCH(LEFT($B410,FIND("_",$B410)-1),WP!$E$2:$E$23,0),1),IF(FIND("-",$B410)&gt;0,INDEX(WP!$A$2:$F$23,MATCH(LEFT($B410,FIND("_",$B410)-1),WP!$E$2:$E$23,0),1))),INDEX(WP!$A$2:$F$23,MATCH(Results!$B410,WP!$E$2:$E$23,0),1)),"")</f>
        <v/>
      </c>
      <c r="D410" s="12" t="str">
        <f>IFERROR(IFERROR(IF(RIGHT(INDEX(WP!$A$2:$F$23,MATCH(IF(FIND("_",$B410)&gt;0,LEFT($B410,FIND("_",$B410)-1)),WP!$E$2:$E$23,0),2),6)="Series",LEFT(INDEX(WP!$A$2:$F$23,MATCH(IF(FIND("_",$B410)&gt;0,LEFT($B410,FIND("_",$B410)-1)),WP!$E$2:$E$23,0),2),5),""),IF(RIGHT(INDEX(WP!$A$2:$F$23,MATCH($B410,WP!$E$2:$E$23,0),2),6)="Series",LEFT(INDEX(WP!$A$2:$F$23,MATCH($B410,WP!$E$2:$E$23,0),2),5),"")),"")</f>
        <v/>
      </c>
      <c r="E410" s="17" t="str">
        <f>IFERROR(VLOOKUP(VALUE($D410),Series!$B$3:$F$11,2,0),"")</f>
        <v/>
      </c>
      <c r="F410" s="12" t="str">
        <f>_xlfn.IFNA(IF(IF($D410&lt;&gt;"",COUNTIF($E:$E,"="&amp;$D410),"")="",IF(RIGHT(IFERROR(IF(FIND("_",$B410)&gt;0,INDEX(WP!$A$2:$F$23,MATCH(LEFT($B410,FIND("_",$B410)-1),WP!$E$2:$E$23,0),2),IF(FIND("-",$B410)&gt;0,INDEX(WP!$A$2:$F$23,MATCH(LEFT($B410,FIND("_",$B410)-1),WP!$E$2:$E$23,0),2))),INDEX(WP!$A$2:$F$23,MATCH(Results!$B410,WP!$E$2:$E$23,0),2)),6)="Series",LEFT(IFERROR(IF(FIND("_",$B410)&gt;0,INDEX(WP!$A$2:$F$23,MATCH(LEFT($B410,FIND("_",$B410)-1),WP!$E$2:$E$23,0),2),IF(FIND("-",$B410)&gt;0,INDEX(WP!$A$2:$F$23,MATCH(LEFT($B410,FIND("_",$B410)-1),WP!$E$2:$E$23,0),2))),INDEX(WP!$A$2:$F$23,MATCH(Results!$B410,WP!$E$2:$E$23,0),2)),5),(IFERROR(IF(FIND("_",$B410)&gt;0,INDEX(WP!$A$2:$F$23,MATCH(LEFT($B410,FIND("_",$B410)-1),WP!$E$2:$E$23,0),2),IF(FIND("-",$B410)&gt;0,INDEX(WP!$A$2:$F$23,MATCH(LEFT($B410,FIND("_",$B410)-1),WP!$E$2:$E$23,0),2))),INDEX(WP!$A$2:$F$23,MATCH(Results!$B410,WP!$E$2:$E$23,0),2)))),IF(RIGHT(IFERROR(IF(FIND("_",$B410)&gt;0,INDEX(WP!$A$2:$F$23,MATCH(LEFT($B410,FIND("_",$B410)-1),WP!$E$2:$E$23,0),2),IF(FIND("-",$B410)&gt;0,INDEX(WP!$A$2:$F$23,MATCH(LEFT($B410,FIND("_",$B410)-1),WP!$E$2:$E$23,0),2))),INDEX(WP!$A$2:$F$23,MATCH(Results!$B410,WP!$E$2:$E$23,0),2)),6)="Series",LEFT(IFERROR(IF(FIND("_",$B410)&gt;0,INDEX(WP!$A$2:$F$23,MATCH(LEFT($B410,FIND("_",$B410)-1),WP!$E$2:$E$23,0),2),IF(FIND("-",$B410)&gt;0,INDEX(WP!$A$2:$F$23,MATCH(LEFT($B410,FIND("_",$B410)-1),WP!$E$2:$E$23,0),2))),INDEX(WP!$A$2:$F$23,MATCH(Results!$B410,WP!$E$2:$E$23,0),2)),5),(IFERROR(IF(FIND("_",$B410)&gt;0,INDEX(WP!$A$2:$F$23,MATCH(LEFT($B410,FIND("_",$B410)-1),WP!$E$2:$E$23,0),2),IF(FIND("-",$B410)&gt;0,INDEX(WP!$A$2:$F$23,MATCH(LEFT($B410,FIND("_",$B410)-1),WP!$E$2:$E$23,0),2))),INDEX(WP!$A$2:$F$23,MATCH(Results!$B410,WP!$E$2:$E$23,0),2))))&amp;"-"&amp;$I410),"")</f>
        <v/>
      </c>
      <c r="G410" s="17" t="str">
        <f>IF(LEN(_xlfn.IFNA(IF(IFERROR(IF(FIND("_",$B410)&gt;0,MID($B410,FIND("_",$B410)+1,LEN($B410)),IF(FIND("-",$B410)&gt;0,MID($B410,FIND("-",$B410)+1,LEN($B410)))),"")="",IFERROR(VLOOKUP($F410,WP!$B$2:$C$23,2,0),VLOOKUP($C410,Series!$A$3:$F$11,6,0)),IFERROR(VLOOKUP($F410,WP!$B$2:$C$23,2,0),VLOOKUP($C410,Series!$A$3:$F$11,6,0))&amp;" - "&amp;(IFERROR(IF(FIND("_",$B410)&gt;0,MID($B410,FIND("_",$B410)+1,LEN($B410)),IF(FIND("-",$B410)&gt;0,MID($B410,FIND("-",$B410)+1,LEN($B410)))),""))),""))&lt;64,_xlfn.IFNA(IF(IFERROR(IF(FIND("_",$B410)&gt;0,MID($B410,FIND("_",$B410)+1,LEN($B410)),IF(FIND("-",$B410)&gt;0,MID($B410,FIND("-",$B410)+1,LEN($B410)))),"")="",IFERROR(VLOOKUP($F410,WP!$B$2:$C$23,2,0),VLOOKUP($C410,Series!$A$3:$F$11,6,0)),IFERROR(VLOOKUP($F410,WP!$B$2:$C$23,2,0),VLOOKUP($C410,Series!$A$3:$F$11,6,0))&amp;" - "&amp;(IFERROR(IF(FIND("_",$B410)&gt;0,MID($B410,FIND("_",$B410)+1,LEN($B410)),IF(FIND("-",$B410)&gt;0,MID($B410,FIND("-",$B410)+1,LEN($B410)))),""))),""),LEFT((_xlfn.IFNA(IF(IFERROR(IF(FIND("_",$B410)&gt;0,MID($B410,FIND("_",$B410)+1,LEN($B410)),IF(FIND("-",$B410)&gt;0,MID($B410,FIND("-",$B410)+1,LEN($B410)))),"")="",IFERROR(VLOOKUP($F410,WP!$B$2:$C$23,2,0),VLOOKUP($C410,Series!$A$3:$F$11,6,0)),IFERROR(VLOOKUP($F410,WP!$B$2:$C$23,2,0),VLOOKUP($C410,Series!$A$3:$F$11,6,0))&amp;" - "&amp;(IFERROR(IF(FIND("_",$B410)&gt;0,MID($B410,FIND("_",$B410)+1,LEN($B410)),IF(FIND("-",$B410)&gt;0,MID($B410,FIND("-",$B410)+1,LEN($B410)))),""))),"")),64))</f>
        <v/>
      </c>
      <c r="H410" s="12"/>
      <c r="I410" s="12" t="str">
        <f>IF($D410&lt;&gt;"",COUNTIF($D$7:$D410,"="&amp;$D410),"")</f>
        <v/>
      </c>
      <c r="J410"/>
      <c r="K410" s="8"/>
      <c r="L410"/>
    </row>
    <row r="411" spans="1:12" x14ac:dyDescent="0.3">
      <c r="A411" s="1"/>
      <c r="B411" s="26"/>
      <c r="C411" s="12" t="str">
        <f>_xlfn.IFNA(IFERROR(IF(FIND("_",$B411)&gt;0,INDEX(WP!$A$2:$F$23,MATCH(LEFT($B411,FIND("_",$B411)-1),WP!$E$2:$E$23,0),1),IF(FIND("-",$B411)&gt;0,INDEX(WP!$A$2:$F$23,MATCH(LEFT($B411,FIND("_",$B411)-1),WP!$E$2:$E$23,0),1))),INDEX(WP!$A$2:$F$23,MATCH(Results!$B411,WP!$E$2:$E$23,0),1)),"")</f>
        <v/>
      </c>
      <c r="D411" s="12" t="str">
        <f>IFERROR(IFERROR(IF(RIGHT(INDEX(WP!$A$2:$F$23,MATCH(IF(FIND("_",$B411)&gt;0,LEFT($B411,FIND("_",$B411)-1)),WP!$E$2:$E$23,0),2),6)="Series",LEFT(INDEX(WP!$A$2:$F$23,MATCH(IF(FIND("_",$B411)&gt;0,LEFT($B411,FIND("_",$B411)-1)),WP!$E$2:$E$23,0),2),5),""),IF(RIGHT(INDEX(WP!$A$2:$F$23,MATCH($B411,WP!$E$2:$E$23,0),2),6)="Series",LEFT(INDEX(WP!$A$2:$F$23,MATCH($B411,WP!$E$2:$E$23,0),2),5),"")),"")</f>
        <v/>
      </c>
      <c r="E411" s="17" t="str">
        <f>IFERROR(VLOOKUP(VALUE($D411),Series!$B$3:$F$11,2,0),"")</f>
        <v/>
      </c>
      <c r="F411" s="12" t="str">
        <f>_xlfn.IFNA(IF(IF($D411&lt;&gt;"",COUNTIF($E:$E,"="&amp;$D411),"")="",IF(RIGHT(IFERROR(IF(FIND("_",$B411)&gt;0,INDEX(WP!$A$2:$F$23,MATCH(LEFT($B411,FIND("_",$B411)-1),WP!$E$2:$E$23,0),2),IF(FIND("-",$B411)&gt;0,INDEX(WP!$A$2:$F$23,MATCH(LEFT($B411,FIND("_",$B411)-1),WP!$E$2:$E$23,0),2))),INDEX(WP!$A$2:$F$23,MATCH(Results!$B411,WP!$E$2:$E$23,0),2)),6)="Series",LEFT(IFERROR(IF(FIND("_",$B411)&gt;0,INDEX(WP!$A$2:$F$23,MATCH(LEFT($B411,FIND("_",$B411)-1),WP!$E$2:$E$23,0),2),IF(FIND("-",$B411)&gt;0,INDEX(WP!$A$2:$F$23,MATCH(LEFT($B411,FIND("_",$B411)-1),WP!$E$2:$E$23,0),2))),INDEX(WP!$A$2:$F$23,MATCH(Results!$B411,WP!$E$2:$E$23,0),2)),5),(IFERROR(IF(FIND("_",$B411)&gt;0,INDEX(WP!$A$2:$F$23,MATCH(LEFT($B411,FIND("_",$B411)-1),WP!$E$2:$E$23,0),2),IF(FIND("-",$B411)&gt;0,INDEX(WP!$A$2:$F$23,MATCH(LEFT($B411,FIND("_",$B411)-1),WP!$E$2:$E$23,0),2))),INDEX(WP!$A$2:$F$23,MATCH(Results!$B411,WP!$E$2:$E$23,0),2)))),IF(RIGHT(IFERROR(IF(FIND("_",$B411)&gt;0,INDEX(WP!$A$2:$F$23,MATCH(LEFT($B411,FIND("_",$B411)-1),WP!$E$2:$E$23,0),2),IF(FIND("-",$B411)&gt;0,INDEX(WP!$A$2:$F$23,MATCH(LEFT($B411,FIND("_",$B411)-1),WP!$E$2:$E$23,0),2))),INDEX(WP!$A$2:$F$23,MATCH(Results!$B411,WP!$E$2:$E$23,0),2)),6)="Series",LEFT(IFERROR(IF(FIND("_",$B411)&gt;0,INDEX(WP!$A$2:$F$23,MATCH(LEFT($B411,FIND("_",$B411)-1),WP!$E$2:$E$23,0),2),IF(FIND("-",$B411)&gt;0,INDEX(WP!$A$2:$F$23,MATCH(LEFT($B411,FIND("_",$B411)-1),WP!$E$2:$E$23,0),2))),INDEX(WP!$A$2:$F$23,MATCH(Results!$B411,WP!$E$2:$E$23,0),2)),5),(IFERROR(IF(FIND("_",$B411)&gt;0,INDEX(WP!$A$2:$F$23,MATCH(LEFT($B411,FIND("_",$B411)-1),WP!$E$2:$E$23,0),2),IF(FIND("-",$B411)&gt;0,INDEX(WP!$A$2:$F$23,MATCH(LEFT($B411,FIND("_",$B411)-1),WP!$E$2:$E$23,0),2))),INDEX(WP!$A$2:$F$23,MATCH(Results!$B411,WP!$E$2:$E$23,0),2))))&amp;"-"&amp;$I411),"")</f>
        <v/>
      </c>
      <c r="G411" s="17" t="str">
        <f>IF(LEN(_xlfn.IFNA(IF(IFERROR(IF(FIND("_",$B411)&gt;0,MID($B411,FIND("_",$B411)+1,LEN($B411)),IF(FIND("-",$B411)&gt;0,MID($B411,FIND("-",$B411)+1,LEN($B411)))),"")="",IFERROR(VLOOKUP($F411,WP!$B$2:$C$23,2,0),VLOOKUP($C411,Series!$A$3:$F$11,6,0)),IFERROR(VLOOKUP($F411,WP!$B$2:$C$23,2,0),VLOOKUP($C411,Series!$A$3:$F$11,6,0))&amp;" - "&amp;(IFERROR(IF(FIND("_",$B411)&gt;0,MID($B411,FIND("_",$B411)+1,LEN($B411)),IF(FIND("-",$B411)&gt;0,MID($B411,FIND("-",$B411)+1,LEN($B411)))),""))),""))&lt;64,_xlfn.IFNA(IF(IFERROR(IF(FIND("_",$B411)&gt;0,MID($B411,FIND("_",$B411)+1,LEN($B411)),IF(FIND("-",$B411)&gt;0,MID($B411,FIND("-",$B411)+1,LEN($B411)))),"")="",IFERROR(VLOOKUP($F411,WP!$B$2:$C$23,2,0),VLOOKUP($C411,Series!$A$3:$F$11,6,0)),IFERROR(VLOOKUP($F411,WP!$B$2:$C$23,2,0),VLOOKUP($C411,Series!$A$3:$F$11,6,0))&amp;" - "&amp;(IFERROR(IF(FIND("_",$B411)&gt;0,MID($B411,FIND("_",$B411)+1,LEN($B411)),IF(FIND("-",$B411)&gt;0,MID($B411,FIND("-",$B411)+1,LEN($B411)))),""))),""),LEFT((_xlfn.IFNA(IF(IFERROR(IF(FIND("_",$B411)&gt;0,MID($B411,FIND("_",$B411)+1,LEN($B411)),IF(FIND("-",$B411)&gt;0,MID($B411,FIND("-",$B411)+1,LEN($B411)))),"")="",IFERROR(VLOOKUP($F411,WP!$B$2:$C$23,2,0),VLOOKUP($C411,Series!$A$3:$F$11,6,0)),IFERROR(VLOOKUP($F411,WP!$B$2:$C$23,2,0),VLOOKUP($C411,Series!$A$3:$F$11,6,0))&amp;" - "&amp;(IFERROR(IF(FIND("_",$B411)&gt;0,MID($B411,FIND("_",$B411)+1,LEN($B411)),IF(FIND("-",$B411)&gt;0,MID($B411,FIND("-",$B411)+1,LEN($B411)))),""))),"")),64))</f>
        <v/>
      </c>
      <c r="H411" s="12"/>
      <c r="I411" s="12" t="str">
        <f>IF($D411&lt;&gt;"",COUNTIF($D$7:$D411,"="&amp;$D411),"")</f>
        <v/>
      </c>
      <c r="J411"/>
      <c r="K411" s="8"/>
      <c r="L411"/>
    </row>
    <row r="412" spans="1:12" x14ac:dyDescent="0.3">
      <c r="A412" s="1"/>
      <c r="B412" s="26"/>
      <c r="C412" s="12" t="str">
        <f>_xlfn.IFNA(IFERROR(IF(FIND("_",$B412)&gt;0,INDEX(WP!$A$2:$F$23,MATCH(LEFT($B412,FIND("_",$B412)-1),WP!$E$2:$E$23,0),1),IF(FIND("-",$B412)&gt;0,INDEX(WP!$A$2:$F$23,MATCH(LEFT($B412,FIND("_",$B412)-1),WP!$E$2:$E$23,0),1))),INDEX(WP!$A$2:$F$23,MATCH(Results!$B412,WP!$E$2:$E$23,0),1)),"")</f>
        <v/>
      </c>
      <c r="D412" s="12" t="str">
        <f>IFERROR(IFERROR(IF(RIGHT(INDEX(WP!$A$2:$F$23,MATCH(IF(FIND("_",$B412)&gt;0,LEFT($B412,FIND("_",$B412)-1)),WP!$E$2:$E$23,0),2),6)="Series",LEFT(INDEX(WP!$A$2:$F$23,MATCH(IF(FIND("_",$B412)&gt;0,LEFT($B412,FIND("_",$B412)-1)),WP!$E$2:$E$23,0),2),5),""),IF(RIGHT(INDEX(WP!$A$2:$F$23,MATCH($B412,WP!$E$2:$E$23,0),2),6)="Series",LEFT(INDEX(WP!$A$2:$F$23,MATCH($B412,WP!$E$2:$E$23,0),2),5),"")),"")</f>
        <v/>
      </c>
      <c r="E412" s="17" t="str">
        <f>IFERROR(VLOOKUP(VALUE($D412),Series!$B$3:$F$11,2,0),"")</f>
        <v/>
      </c>
      <c r="F412" s="12" t="str">
        <f>_xlfn.IFNA(IF(IF($D412&lt;&gt;"",COUNTIF($E:$E,"="&amp;$D412),"")="",IF(RIGHT(IFERROR(IF(FIND("_",$B412)&gt;0,INDEX(WP!$A$2:$F$23,MATCH(LEFT($B412,FIND("_",$B412)-1),WP!$E$2:$E$23,0),2),IF(FIND("-",$B412)&gt;0,INDEX(WP!$A$2:$F$23,MATCH(LEFT($B412,FIND("_",$B412)-1),WP!$E$2:$E$23,0),2))),INDEX(WP!$A$2:$F$23,MATCH(Results!$B412,WP!$E$2:$E$23,0),2)),6)="Series",LEFT(IFERROR(IF(FIND("_",$B412)&gt;0,INDEX(WP!$A$2:$F$23,MATCH(LEFT($B412,FIND("_",$B412)-1),WP!$E$2:$E$23,0),2),IF(FIND("-",$B412)&gt;0,INDEX(WP!$A$2:$F$23,MATCH(LEFT($B412,FIND("_",$B412)-1),WP!$E$2:$E$23,0),2))),INDEX(WP!$A$2:$F$23,MATCH(Results!$B412,WP!$E$2:$E$23,0),2)),5),(IFERROR(IF(FIND("_",$B412)&gt;0,INDEX(WP!$A$2:$F$23,MATCH(LEFT($B412,FIND("_",$B412)-1),WP!$E$2:$E$23,0),2),IF(FIND("-",$B412)&gt;0,INDEX(WP!$A$2:$F$23,MATCH(LEFT($B412,FIND("_",$B412)-1),WP!$E$2:$E$23,0),2))),INDEX(WP!$A$2:$F$23,MATCH(Results!$B412,WP!$E$2:$E$23,0),2)))),IF(RIGHT(IFERROR(IF(FIND("_",$B412)&gt;0,INDEX(WP!$A$2:$F$23,MATCH(LEFT($B412,FIND("_",$B412)-1),WP!$E$2:$E$23,0),2),IF(FIND("-",$B412)&gt;0,INDEX(WP!$A$2:$F$23,MATCH(LEFT($B412,FIND("_",$B412)-1),WP!$E$2:$E$23,0),2))),INDEX(WP!$A$2:$F$23,MATCH(Results!$B412,WP!$E$2:$E$23,0),2)),6)="Series",LEFT(IFERROR(IF(FIND("_",$B412)&gt;0,INDEX(WP!$A$2:$F$23,MATCH(LEFT($B412,FIND("_",$B412)-1),WP!$E$2:$E$23,0),2),IF(FIND("-",$B412)&gt;0,INDEX(WP!$A$2:$F$23,MATCH(LEFT($B412,FIND("_",$B412)-1),WP!$E$2:$E$23,0),2))),INDEX(WP!$A$2:$F$23,MATCH(Results!$B412,WP!$E$2:$E$23,0),2)),5),(IFERROR(IF(FIND("_",$B412)&gt;0,INDEX(WP!$A$2:$F$23,MATCH(LEFT($B412,FIND("_",$B412)-1),WP!$E$2:$E$23,0),2),IF(FIND("-",$B412)&gt;0,INDEX(WP!$A$2:$F$23,MATCH(LEFT($B412,FIND("_",$B412)-1),WP!$E$2:$E$23,0),2))),INDEX(WP!$A$2:$F$23,MATCH(Results!$B412,WP!$E$2:$E$23,0),2))))&amp;"-"&amp;$I412),"")</f>
        <v/>
      </c>
      <c r="G412" s="17" t="str">
        <f>IF(LEN(_xlfn.IFNA(IF(IFERROR(IF(FIND("_",$B412)&gt;0,MID($B412,FIND("_",$B412)+1,LEN($B412)),IF(FIND("-",$B412)&gt;0,MID($B412,FIND("-",$B412)+1,LEN($B412)))),"")="",IFERROR(VLOOKUP($F412,WP!$B$2:$C$23,2,0),VLOOKUP($C412,Series!$A$3:$F$11,6,0)),IFERROR(VLOOKUP($F412,WP!$B$2:$C$23,2,0),VLOOKUP($C412,Series!$A$3:$F$11,6,0))&amp;" - "&amp;(IFERROR(IF(FIND("_",$B412)&gt;0,MID($B412,FIND("_",$B412)+1,LEN($B412)),IF(FIND("-",$B412)&gt;0,MID($B412,FIND("-",$B412)+1,LEN($B412)))),""))),""))&lt;64,_xlfn.IFNA(IF(IFERROR(IF(FIND("_",$B412)&gt;0,MID($B412,FIND("_",$B412)+1,LEN($B412)),IF(FIND("-",$B412)&gt;0,MID($B412,FIND("-",$B412)+1,LEN($B412)))),"")="",IFERROR(VLOOKUP($F412,WP!$B$2:$C$23,2,0),VLOOKUP($C412,Series!$A$3:$F$11,6,0)),IFERROR(VLOOKUP($F412,WP!$B$2:$C$23,2,0),VLOOKUP($C412,Series!$A$3:$F$11,6,0))&amp;" - "&amp;(IFERROR(IF(FIND("_",$B412)&gt;0,MID($B412,FIND("_",$B412)+1,LEN($B412)),IF(FIND("-",$B412)&gt;0,MID($B412,FIND("-",$B412)+1,LEN($B412)))),""))),""),LEFT((_xlfn.IFNA(IF(IFERROR(IF(FIND("_",$B412)&gt;0,MID($B412,FIND("_",$B412)+1,LEN($B412)),IF(FIND("-",$B412)&gt;0,MID($B412,FIND("-",$B412)+1,LEN($B412)))),"")="",IFERROR(VLOOKUP($F412,WP!$B$2:$C$23,2,0),VLOOKUP($C412,Series!$A$3:$F$11,6,0)),IFERROR(VLOOKUP($F412,WP!$B$2:$C$23,2,0),VLOOKUP($C412,Series!$A$3:$F$11,6,0))&amp;" - "&amp;(IFERROR(IF(FIND("_",$B412)&gt;0,MID($B412,FIND("_",$B412)+1,LEN($B412)),IF(FIND("-",$B412)&gt;0,MID($B412,FIND("-",$B412)+1,LEN($B412)))),""))),"")),64))</f>
        <v/>
      </c>
      <c r="H412" s="12"/>
      <c r="I412" s="12" t="str">
        <f>IF($D412&lt;&gt;"",COUNTIF($D$7:$D412,"="&amp;$D412),"")</f>
        <v/>
      </c>
      <c r="J412"/>
      <c r="K412" s="8"/>
      <c r="L412"/>
    </row>
    <row r="413" spans="1:12" x14ac:dyDescent="0.3">
      <c r="A413" s="1"/>
      <c r="B413" s="26"/>
      <c r="C413" s="12" t="str">
        <f>_xlfn.IFNA(IFERROR(IF(FIND("_",$B413)&gt;0,INDEX(WP!$A$2:$F$23,MATCH(LEFT($B413,FIND("_",$B413)-1),WP!$E$2:$E$23,0),1),IF(FIND("-",$B413)&gt;0,INDEX(WP!$A$2:$F$23,MATCH(LEFT($B413,FIND("_",$B413)-1),WP!$E$2:$E$23,0),1))),INDEX(WP!$A$2:$F$23,MATCH(Results!$B413,WP!$E$2:$E$23,0),1)),"")</f>
        <v/>
      </c>
      <c r="D413" s="12" t="str">
        <f>IFERROR(IFERROR(IF(RIGHT(INDEX(WP!$A$2:$F$23,MATCH(IF(FIND("_",$B413)&gt;0,LEFT($B413,FIND("_",$B413)-1)),WP!$E$2:$E$23,0),2),6)="Series",LEFT(INDEX(WP!$A$2:$F$23,MATCH(IF(FIND("_",$B413)&gt;0,LEFT($B413,FIND("_",$B413)-1)),WP!$E$2:$E$23,0),2),5),""),IF(RIGHT(INDEX(WP!$A$2:$F$23,MATCH($B413,WP!$E$2:$E$23,0),2),6)="Series",LEFT(INDEX(WP!$A$2:$F$23,MATCH($B413,WP!$E$2:$E$23,0),2),5),"")),"")</f>
        <v/>
      </c>
      <c r="E413" s="17" t="str">
        <f>IFERROR(VLOOKUP(VALUE($D413),Series!$B$3:$F$11,2,0),"")</f>
        <v/>
      </c>
      <c r="F413" s="12" t="str">
        <f>_xlfn.IFNA(IF(IF($D413&lt;&gt;"",COUNTIF($E:$E,"="&amp;$D413),"")="",IF(RIGHT(IFERROR(IF(FIND("_",$B413)&gt;0,INDEX(WP!$A$2:$F$23,MATCH(LEFT($B413,FIND("_",$B413)-1),WP!$E$2:$E$23,0),2),IF(FIND("-",$B413)&gt;0,INDEX(WP!$A$2:$F$23,MATCH(LEFT($B413,FIND("_",$B413)-1),WP!$E$2:$E$23,0),2))),INDEX(WP!$A$2:$F$23,MATCH(Results!$B413,WP!$E$2:$E$23,0),2)),6)="Series",LEFT(IFERROR(IF(FIND("_",$B413)&gt;0,INDEX(WP!$A$2:$F$23,MATCH(LEFT($B413,FIND("_",$B413)-1),WP!$E$2:$E$23,0),2),IF(FIND("-",$B413)&gt;0,INDEX(WP!$A$2:$F$23,MATCH(LEFT($B413,FIND("_",$B413)-1),WP!$E$2:$E$23,0),2))),INDEX(WP!$A$2:$F$23,MATCH(Results!$B413,WP!$E$2:$E$23,0),2)),5),(IFERROR(IF(FIND("_",$B413)&gt;0,INDEX(WP!$A$2:$F$23,MATCH(LEFT($B413,FIND("_",$B413)-1),WP!$E$2:$E$23,0),2),IF(FIND("-",$B413)&gt;0,INDEX(WP!$A$2:$F$23,MATCH(LEFT($B413,FIND("_",$B413)-1),WP!$E$2:$E$23,0),2))),INDEX(WP!$A$2:$F$23,MATCH(Results!$B413,WP!$E$2:$E$23,0),2)))),IF(RIGHT(IFERROR(IF(FIND("_",$B413)&gt;0,INDEX(WP!$A$2:$F$23,MATCH(LEFT($B413,FIND("_",$B413)-1),WP!$E$2:$E$23,0),2),IF(FIND("-",$B413)&gt;0,INDEX(WP!$A$2:$F$23,MATCH(LEFT($B413,FIND("_",$B413)-1),WP!$E$2:$E$23,0),2))),INDEX(WP!$A$2:$F$23,MATCH(Results!$B413,WP!$E$2:$E$23,0),2)),6)="Series",LEFT(IFERROR(IF(FIND("_",$B413)&gt;0,INDEX(WP!$A$2:$F$23,MATCH(LEFT($B413,FIND("_",$B413)-1),WP!$E$2:$E$23,0),2),IF(FIND("-",$B413)&gt;0,INDEX(WP!$A$2:$F$23,MATCH(LEFT($B413,FIND("_",$B413)-1),WP!$E$2:$E$23,0),2))),INDEX(WP!$A$2:$F$23,MATCH(Results!$B413,WP!$E$2:$E$23,0),2)),5),(IFERROR(IF(FIND("_",$B413)&gt;0,INDEX(WP!$A$2:$F$23,MATCH(LEFT($B413,FIND("_",$B413)-1),WP!$E$2:$E$23,0),2),IF(FIND("-",$B413)&gt;0,INDEX(WP!$A$2:$F$23,MATCH(LEFT($B413,FIND("_",$B413)-1),WP!$E$2:$E$23,0),2))),INDEX(WP!$A$2:$F$23,MATCH(Results!$B413,WP!$E$2:$E$23,0),2))))&amp;"-"&amp;$I413),"")</f>
        <v/>
      </c>
      <c r="G413" s="17" t="str">
        <f>IF(LEN(_xlfn.IFNA(IF(IFERROR(IF(FIND("_",$B413)&gt;0,MID($B413,FIND("_",$B413)+1,LEN($B413)),IF(FIND("-",$B413)&gt;0,MID($B413,FIND("-",$B413)+1,LEN($B413)))),"")="",IFERROR(VLOOKUP($F413,WP!$B$2:$C$23,2,0),VLOOKUP($C413,Series!$A$3:$F$11,6,0)),IFERROR(VLOOKUP($F413,WP!$B$2:$C$23,2,0),VLOOKUP($C413,Series!$A$3:$F$11,6,0))&amp;" - "&amp;(IFERROR(IF(FIND("_",$B413)&gt;0,MID($B413,FIND("_",$B413)+1,LEN($B413)),IF(FIND("-",$B413)&gt;0,MID($B413,FIND("-",$B413)+1,LEN($B413)))),""))),""))&lt;64,_xlfn.IFNA(IF(IFERROR(IF(FIND("_",$B413)&gt;0,MID($B413,FIND("_",$B413)+1,LEN($B413)),IF(FIND("-",$B413)&gt;0,MID($B413,FIND("-",$B413)+1,LEN($B413)))),"")="",IFERROR(VLOOKUP($F413,WP!$B$2:$C$23,2,0),VLOOKUP($C413,Series!$A$3:$F$11,6,0)),IFERROR(VLOOKUP($F413,WP!$B$2:$C$23,2,0),VLOOKUP($C413,Series!$A$3:$F$11,6,0))&amp;" - "&amp;(IFERROR(IF(FIND("_",$B413)&gt;0,MID($B413,FIND("_",$B413)+1,LEN($B413)),IF(FIND("-",$B413)&gt;0,MID($B413,FIND("-",$B413)+1,LEN($B413)))),""))),""),LEFT((_xlfn.IFNA(IF(IFERROR(IF(FIND("_",$B413)&gt;0,MID($B413,FIND("_",$B413)+1,LEN($B413)),IF(FIND("-",$B413)&gt;0,MID($B413,FIND("-",$B413)+1,LEN($B413)))),"")="",IFERROR(VLOOKUP($F413,WP!$B$2:$C$23,2,0),VLOOKUP($C413,Series!$A$3:$F$11,6,0)),IFERROR(VLOOKUP($F413,WP!$B$2:$C$23,2,0),VLOOKUP($C413,Series!$A$3:$F$11,6,0))&amp;" - "&amp;(IFERROR(IF(FIND("_",$B413)&gt;0,MID($B413,FIND("_",$B413)+1,LEN($B413)),IF(FIND("-",$B413)&gt;0,MID($B413,FIND("-",$B413)+1,LEN($B413)))),""))),"")),64))</f>
        <v/>
      </c>
      <c r="H413" s="12"/>
      <c r="I413" s="12" t="str">
        <f>IF($D413&lt;&gt;"",COUNTIF($D$7:$D413,"="&amp;$D413),"")</f>
        <v/>
      </c>
      <c r="J413"/>
      <c r="K413" s="8"/>
      <c r="L413"/>
    </row>
    <row r="414" spans="1:12" x14ac:dyDescent="0.3">
      <c r="A414" s="1"/>
      <c r="B414" s="26"/>
      <c r="C414" s="12" t="str">
        <f>_xlfn.IFNA(IFERROR(IF(FIND("_",$B414)&gt;0,INDEX(WP!$A$2:$F$23,MATCH(LEFT($B414,FIND("_",$B414)-1),WP!$E$2:$E$23,0),1),IF(FIND("-",$B414)&gt;0,INDEX(WP!$A$2:$F$23,MATCH(LEFT($B414,FIND("_",$B414)-1),WP!$E$2:$E$23,0),1))),INDEX(WP!$A$2:$F$23,MATCH(Results!$B414,WP!$E$2:$E$23,0),1)),"")</f>
        <v/>
      </c>
      <c r="D414" s="12" t="str">
        <f>IFERROR(IFERROR(IF(RIGHT(INDEX(WP!$A$2:$F$23,MATCH(IF(FIND("_",$B414)&gt;0,LEFT($B414,FIND("_",$B414)-1)),WP!$E$2:$E$23,0),2),6)="Series",LEFT(INDEX(WP!$A$2:$F$23,MATCH(IF(FIND("_",$B414)&gt;0,LEFT($B414,FIND("_",$B414)-1)),WP!$E$2:$E$23,0),2),5),""),IF(RIGHT(INDEX(WP!$A$2:$F$23,MATCH($B414,WP!$E$2:$E$23,0),2),6)="Series",LEFT(INDEX(WP!$A$2:$F$23,MATCH($B414,WP!$E$2:$E$23,0),2),5),"")),"")</f>
        <v/>
      </c>
      <c r="E414" s="17" t="str">
        <f>IFERROR(VLOOKUP(VALUE($D414),Series!$B$3:$F$11,2,0),"")</f>
        <v/>
      </c>
      <c r="F414" s="12" t="str">
        <f>_xlfn.IFNA(IF(IF($D414&lt;&gt;"",COUNTIF($E:$E,"="&amp;$D414),"")="",IF(RIGHT(IFERROR(IF(FIND("_",$B414)&gt;0,INDEX(WP!$A$2:$F$23,MATCH(LEFT($B414,FIND("_",$B414)-1),WP!$E$2:$E$23,0),2),IF(FIND("-",$B414)&gt;0,INDEX(WP!$A$2:$F$23,MATCH(LEFT($B414,FIND("_",$B414)-1),WP!$E$2:$E$23,0),2))),INDEX(WP!$A$2:$F$23,MATCH(Results!$B414,WP!$E$2:$E$23,0),2)),6)="Series",LEFT(IFERROR(IF(FIND("_",$B414)&gt;0,INDEX(WP!$A$2:$F$23,MATCH(LEFT($B414,FIND("_",$B414)-1),WP!$E$2:$E$23,0),2),IF(FIND("-",$B414)&gt;0,INDEX(WP!$A$2:$F$23,MATCH(LEFT($B414,FIND("_",$B414)-1),WP!$E$2:$E$23,0),2))),INDEX(WP!$A$2:$F$23,MATCH(Results!$B414,WP!$E$2:$E$23,0),2)),5),(IFERROR(IF(FIND("_",$B414)&gt;0,INDEX(WP!$A$2:$F$23,MATCH(LEFT($B414,FIND("_",$B414)-1),WP!$E$2:$E$23,0),2),IF(FIND("-",$B414)&gt;0,INDEX(WP!$A$2:$F$23,MATCH(LEFT($B414,FIND("_",$B414)-1),WP!$E$2:$E$23,0),2))),INDEX(WP!$A$2:$F$23,MATCH(Results!$B414,WP!$E$2:$E$23,0),2)))),IF(RIGHT(IFERROR(IF(FIND("_",$B414)&gt;0,INDEX(WP!$A$2:$F$23,MATCH(LEFT($B414,FIND("_",$B414)-1),WP!$E$2:$E$23,0),2),IF(FIND("-",$B414)&gt;0,INDEX(WP!$A$2:$F$23,MATCH(LEFT($B414,FIND("_",$B414)-1),WP!$E$2:$E$23,0),2))),INDEX(WP!$A$2:$F$23,MATCH(Results!$B414,WP!$E$2:$E$23,0),2)),6)="Series",LEFT(IFERROR(IF(FIND("_",$B414)&gt;0,INDEX(WP!$A$2:$F$23,MATCH(LEFT($B414,FIND("_",$B414)-1),WP!$E$2:$E$23,0),2),IF(FIND("-",$B414)&gt;0,INDEX(WP!$A$2:$F$23,MATCH(LEFT($B414,FIND("_",$B414)-1),WP!$E$2:$E$23,0),2))),INDEX(WP!$A$2:$F$23,MATCH(Results!$B414,WP!$E$2:$E$23,0),2)),5),(IFERROR(IF(FIND("_",$B414)&gt;0,INDEX(WP!$A$2:$F$23,MATCH(LEFT($B414,FIND("_",$B414)-1),WP!$E$2:$E$23,0),2),IF(FIND("-",$B414)&gt;0,INDEX(WP!$A$2:$F$23,MATCH(LEFT($B414,FIND("_",$B414)-1),WP!$E$2:$E$23,0),2))),INDEX(WP!$A$2:$F$23,MATCH(Results!$B414,WP!$E$2:$E$23,0),2))))&amp;"-"&amp;$I414),"")</f>
        <v/>
      </c>
      <c r="G414" s="17" t="str">
        <f>IF(LEN(_xlfn.IFNA(IF(IFERROR(IF(FIND("_",$B414)&gt;0,MID($B414,FIND("_",$B414)+1,LEN($B414)),IF(FIND("-",$B414)&gt;0,MID($B414,FIND("-",$B414)+1,LEN($B414)))),"")="",IFERROR(VLOOKUP($F414,WP!$B$2:$C$23,2,0),VLOOKUP($C414,Series!$A$3:$F$11,6,0)),IFERROR(VLOOKUP($F414,WP!$B$2:$C$23,2,0),VLOOKUP($C414,Series!$A$3:$F$11,6,0))&amp;" - "&amp;(IFERROR(IF(FIND("_",$B414)&gt;0,MID($B414,FIND("_",$B414)+1,LEN($B414)),IF(FIND("-",$B414)&gt;0,MID($B414,FIND("-",$B414)+1,LEN($B414)))),""))),""))&lt;64,_xlfn.IFNA(IF(IFERROR(IF(FIND("_",$B414)&gt;0,MID($B414,FIND("_",$B414)+1,LEN($B414)),IF(FIND("-",$B414)&gt;0,MID($B414,FIND("-",$B414)+1,LEN($B414)))),"")="",IFERROR(VLOOKUP($F414,WP!$B$2:$C$23,2,0),VLOOKUP($C414,Series!$A$3:$F$11,6,0)),IFERROR(VLOOKUP($F414,WP!$B$2:$C$23,2,0),VLOOKUP($C414,Series!$A$3:$F$11,6,0))&amp;" - "&amp;(IFERROR(IF(FIND("_",$B414)&gt;0,MID($B414,FIND("_",$B414)+1,LEN($B414)),IF(FIND("-",$B414)&gt;0,MID($B414,FIND("-",$B414)+1,LEN($B414)))),""))),""),LEFT((_xlfn.IFNA(IF(IFERROR(IF(FIND("_",$B414)&gt;0,MID($B414,FIND("_",$B414)+1,LEN($B414)),IF(FIND("-",$B414)&gt;0,MID($B414,FIND("-",$B414)+1,LEN($B414)))),"")="",IFERROR(VLOOKUP($F414,WP!$B$2:$C$23,2,0),VLOOKUP($C414,Series!$A$3:$F$11,6,0)),IFERROR(VLOOKUP($F414,WP!$B$2:$C$23,2,0),VLOOKUP($C414,Series!$A$3:$F$11,6,0))&amp;" - "&amp;(IFERROR(IF(FIND("_",$B414)&gt;0,MID($B414,FIND("_",$B414)+1,LEN($B414)),IF(FIND("-",$B414)&gt;0,MID($B414,FIND("-",$B414)+1,LEN($B414)))),""))),"")),64))</f>
        <v/>
      </c>
      <c r="H414" s="12"/>
      <c r="I414" s="12" t="str">
        <f>IF($D414&lt;&gt;"",COUNTIF($D$7:$D414,"="&amp;$D414),"")</f>
        <v/>
      </c>
      <c r="J414"/>
      <c r="K414" s="8"/>
      <c r="L414"/>
    </row>
    <row r="415" spans="1:12" x14ac:dyDescent="0.3">
      <c r="A415" s="1"/>
      <c r="B415" s="26"/>
      <c r="C415" s="12" t="str">
        <f>_xlfn.IFNA(IFERROR(IF(FIND("_",$B415)&gt;0,INDEX(WP!$A$2:$F$23,MATCH(LEFT($B415,FIND("_",$B415)-1),WP!$E$2:$E$23,0),1),IF(FIND("-",$B415)&gt;0,INDEX(WP!$A$2:$F$23,MATCH(LEFT($B415,FIND("_",$B415)-1),WP!$E$2:$E$23,0),1))),INDEX(WP!$A$2:$F$23,MATCH(Results!$B415,WP!$E$2:$E$23,0),1)),"")</f>
        <v/>
      </c>
      <c r="D415" s="12" t="str">
        <f>IFERROR(IFERROR(IF(RIGHT(INDEX(WP!$A$2:$F$23,MATCH(IF(FIND("_",$B415)&gt;0,LEFT($B415,FIND("_",$B415)-1)),WP!$E$2:$E$23,0),2),6)="Series",LEFT(INDEX(WP!$A$2:$F$23,MATCH(IF(FIND("_",$B415)&gt;0,LEFT($B415,FIND("_",$B415)-1)),WP!$E$2:$E$23,0),2),5),""),IF(RIGHT(INDEX(WP!$A$2:$F$23,MATCH($B415,WP!$E$2:$E$23,0),2),6)="Series",LEFT(INDEX(WP!$A$2:$F$23,MATCH($B415,WP!$E$2:$E$23,0),2),5),"")),"")</f>
        <v/>
      </c>
      <c r="E415" s="17" t="str">
        <f>IFERROR(VLOOKUP(VALUE($D415),Series!$B$3:$F$11,2,0),"")</f>
        <v/>
      </c>
      <c r="F415" s="12" t="str">
        <f>_xlfn.IFNA(IF(IF($D415&lt;&gt;"",COUNTIF($E:$E,"="&amp;$D415),"")="",IF(RIGHT(IFERROR(IF(FIND("_",$B415)&gt;0,INDEX(WP!$A$2:$F$23,MATCH(LEFT($B415,FIND("_",$B415)-1),WP!$E$2:$E$23,0),2),IF(FIND("-",$B415)&gt;0,INDEX(WP!$A$2:$F$23,MATCH(LEFT($B415,FIND("_",$B415)-1),WP!$E$2:$E$23,0),2))),INDEX(WP!$A$2:$F$23,MATCH(Results!$B415,WP!$E$2:$E$23,0),2)),6)="Series",LEFT(IFERROR(IF(FIND("_",$B415)&gt;0,INDEX(WP!$A$2:$F$23,MATCH(LEFT($B415,FIND("_",$B415)-1),WP!$E$2:$E$23,0),2),IF(FIND("-",$B415)&gt;0,INDEX(WP!$A$2:$F$23,MATCH(LEFT($B415,FIND("_",$B415)-1),WP!$E$2:$E$23,0),2))),INDEX(WP!$A$2:$F$23,MATCH(Results!$B415,WP!$E$2:$E$23,0),2)),5),(IFERROR(IF(FIND("_",$B415)&gt;0,INDEX(WP!$A$2:$F$23,MATCH(LEFT($B415,FIND("_",$B415)-1),WP!$E$2:$E$23,0),2),IF(FIND("-",$B415)&gt;0,INDEX(WP!$A$2:$F$23,MATCH(LEFT($B415,FIND("_",$B415)-1),WP!$E$2:$E$23,0),2))),INDEX(WP!$A$2:$F$23,MATCH(Results!$B415,WP!$E$2:$E$23,0),2)))),IF(RIGHT(IFERROR(IF(FIND("_",$B415)&gt;0,INDEX(WP!$A$2:$F$23,MATCH(LEFT($B415,FIND("_",$B415)-1),WP!$E$2:$E$23,0),2),IF(FIND("-",$B415)&gt;0,INDEX(WP!$A$2:$F$23,MATCH(LEFT($B415,FIND("_",$B415)-1),WP!$E$2:$E$23,0),2))),INDEX(WP!$A$2:$F$23,MATCH(Results!$B415,WP!$E$2:$E$23,0),2)),6)="Series",LEFT(IFERROR(IF(FIND("_",$B415)&gt;0,INDEX(WP!$A$2:$F$23,MATCH(LEFT($B415,FIND("_",$B415)-1),WP!$E$2:$E$23,0),2),IF(FIND("-",$B415)&gt;0,INDEX(WP!$A$2:$F$23,MATCH(LEFT($B415,FIND("_",$B415)-1),WP!$E$2:$E$23,0),2))),INDEX(WP!$A$2:$F$23,MATCH(Results!$B415,WP!$E$2:$E$23,0),2)),5),(IFERROR(IF(FIND("_",$B415)&gt;0,INDEX(WP!$A$2:$F$23,MATCH(LEFT($B415,FIND("_",$B415)-1),WP!$E$2:$E$23,0),2),IF(FIND("-",$B415)&gt;0,INDEX(WP!$A$2:$F$23,MATCH(LEFT($B415,FIND("_",$B415)-1),WP!$E$2:$E$23,0),2))),INDEX(WP!$A$2:$F$23,MATCH(Results!$B415,WP!$E$2:$E$23,0),2))))&amp;"-"&amp;$I415),"")</f>
        <v/>
      </c>
      <c r="G415" s="17" t="str">
        <f>IF(LEN(_xlfn.IFNA(IF(IFERROR(IF(FIND("_",$B415)&gt;0,MID($B415,FIND("_",$B415)+1,LEN($B415)),IF(FIND("-",$B415)&gt;0,MID($B415,FIND("-",$B415)+1,LEN($B415)))),"")="",IFERROR(VLOOKUP($F415,WP!$B$2:$C$23,2,0),VLOOKUP($C415,Series!$A$3:$F$11,6,0)),IFERROR(VLOOKUP($F415,WP!$B$2:$C$23,2,0),VLOOKUP($C415,Series!$A$3:$F$11,6,0))&amp;" - "&amp;(IFERROR(IF(FIND("_",$B415)&gt;0,MID($B415,FIND("_",$B415)+1,LEN($B415)),IF(FIND("-",$B415)&gt;0,MID($B415,FIND("-",$B415)+1,LEN($B415)))),""))),""))&lt;64,_xlfn.IFNA(IF(IFERROR(IF(FIND("_",$B415)&gt;0,MID($B415,FIND("_",$B415)+1,LEN($B415)),IF(FIND("-",$B415)&gt;0,MID($B415,FIND("-",$B415)+1,LEN($B415)))),"")="",IFERROR(VLOOKUP($F415,WP!$B$2:$C$23,2,0),VLOOKUP($C415,Series!$A$3:$F$11,6,0)),IFERROR(VLOOKUP($F415,WP!$B$2:$C$23,2,0),VLOOKUP($C415,Series!$A$3:$F$11,6,0))&amp;" - "&amp;(IFERROR(IF(FIND("_",$B415)&gt;0,MID($B415,FIND("_",$B415)+1,LEN($B415)),IF(FIND("-",$B415)&gt;0,MID($B415,FIND("-",$B415)+1,LEN($B415)))),""))),""),LEFT((_xlfn.IFNA(IF(IFERROR(IF(FIND("_",$B415)&gt;0,MID($B415,FIND("_",$B415)+1,LEN($B415)),IF(FIND("-",$B415)&gt;0,MID($B415,FIND("-",$B415)+1,LEN($B415)))),"")="",IFERROR(VLOOKUP($F415,WP!$B$2:$C$23,2,0),VLOOKUP($C415,Series!$A$3:$F$11,6,0)),IFERROR(VLOOKUP($F415,WP!$B$2:$C$23,2,0),VLOOKUP($C415,Series!$A$3:$F$11,6,0))&amp;" - "&amp;(IFERROR(IF(FIND("_",$B415)&gt;0,MID($B415,FIND("_",$B415)+1,LEN($B415)),IF(FIND("-",$B415)&gt;0,MID($B415,FIND("-",$B415)+1,LEN($B415)))),""))),"")),64))</f>
        <v/>
      </c>
      <c r="H415" s="12"/>
      <c r="I415" s="12" t="str">
        <f>IF($D415&lt;&gt;"",COUNTIF($D$7:$D415,"="&amp;$D415),"")</f>
        <v/>
      </c>
      <c r="J415"/>
      <c r="K415" s="8"/>
      <c r="L415"/>
    </row>
    <row r="416" spans="1:12" x14ac:dyDescent="0.3">
      <c r="A416" s="1"/>
      <c r="B416" s="26"/>
      <c r="C416" s="12" t="str">
        <f>_xlfn.IFNA(IFERROR(IF(FIND("_",$B416)&gt;0,INDEX(WP!$A$2:$F$23,MATCH(LEFT($B416,FIND("_",$B416)-1),WP!$E$2:$E$23,0),1),IF(FIND("-",$B416)&gt;0,INDEX(WP!$A$2:$F$23,MATCH(LEFT($B416,FIND("_",$B416)-1),WP!$E$2:$E$23,0),1))),INDEX(WP!$A$2:$F$23,MATCH(Results!$B416,WP!$E$2:$E$23,0),1)),"")</f>
        <v/>
      </c>
      <c r="D416" s="12" t="str">
        <f>IFERROR(IFERROR(IF(RIGHT(INDEX(WP!$A$2:$F$23,MATCH(IF(FIND("_",$B416)&gt;0,LEFT($B416,FIND("_",$B416)-1)),WP!$E$2:$E$23,0),2),6)="Series",LEFT(INDEX(WP!$A$2:$F$23,MATCH(IF(FIND("_",$B416)&gt;0,LEFT($B416,FIND("_",$B416)-1)),WP!$E$2:$E$23,0),2),5),""),IF(RIGHT(INDEX(WP!$A$2:$F$23,MATCH($B416,WP!$E$2:$E$23,0),2),6)="Series",LEFT(INDEX(WP!$A$2:$F$23,MATCH($B416,WP!$E$2:$E$23,0),2),5),"")),"")</f>
        <v/>
      </c>
      <c r="E416" s="17" t="str">
        <f>IFERROR(VLOOKUP(VALUE($D416),Series!$B$3:$F$11,2,0),"")</f>
        <v/>
      </c>
      <c r="F416" s="12" t="str">
        <f>_xlfn.IFNA(IF(IF($D416&lt;&gt;"",COUNTIF($E:$E,"="&amp;$D416),"")="",IF(RIGHT(IFERROR(IF(FIND("_",$B416)&gt;0,INDEX(WP!$A$2:$F$23,MATCH(LEFT($B416,FIND("_",$B416)-1),WP!$E$2:$E$23,0),2),IF(FIND("-",$B416)&gt;0,INDEX(WP!$A$2:$F$23,MATCH(LEFT($B416,FIND("_",$B416)-1),WP!$E$2:$E$23,0),2))),INDEX(WP!$A$2:$F$23,MATCH(Results!$B416,WP!$E$2:$E$23,0),2)),6)="Series",LEFT(IFERROR(IF(FIND("_",$B416)&gt;0,INDEX(WP!$A$2:$F$23,MATCH(LEFT($B416,FIND("_",$B416)-1),WP!$E$2:$E$23,0),2),IF(FIND("-",$B416)&gt;0,INDEX(WP!$A$2:$F$23,MATCH(LEFT($B416,FIND("_",$B416)-1),WP!$E$2:$E$23,0),2))),INDEX(WP!$A$2:$F$23,MATCH(Results!$B416,WP!$E$2:$E$23,0),2)),5),(IFERROR(IF(FIND("_",$B416)&gt;0,INDEX(WP!$A$2:$F$23,MATCH(LEFT($B416,FIND("_",$B416)-1),WP!$E$2:$E$23,0),2),IF(FIND("-",$B416)&gt;0,INDEX(WP!$A$2:$F$23,MATCH(LEFT($B416,FIND("_",$B416)-1),WP!$E$2:$E$23,0),2))),INDEX(WP!$A$2:$F$23,MATCH(Results!$B416,WP!$E$2:$E$23,0),2)))),IF(RIGHT(IFERROR(IF(FIND("_",$B416)&gt;0,INDEX(WP!$A$2:$F$23,MATCH(LEFT($B416,FIND("_",$B416)-1),WP!$E$2:$E$23,0),2),IF(FIND("-",$B416)&gt;0,INDEX(WP!$A$2:$F$23,MATCH(LEFT($B416,FIND("_",$B416)-1),WP!$E$2:$E$23,0),2))),INDEX(WP!$A$2:$F$23,MATCH(Results!$B416,WP!$E$2:$E$23,0),2)),6)="Series",LEFT(IFERROR(IF(FIND("_",$B416)&gt;0,INDEX(WP!$A$2:$F$23,MATCH(LEFT($B416,FIND("_",$B416)-1),WP!$E$2:$E$23,0),2),IF(FIND("-",$B416)&gt;0,INDEX(WP!$A$2:$F$23,MATCH(LEFT($B416,FIND("_",$B416)-1),WP!$E$2:$E$23,0),2))),INDEX(WP!$A$2:$F$23,MATCH(Results!$B416,WP!$E$2:$E$23,0),2)),5),(IFERROR(IF(FIND("_",$B416)&gt;0,INDEX(WP!$A$2:$F$23,MATCH(LEFT($B416,FIND("_",$B416)-1),WP!$E$2:$E$23,0),2),IF(FIND("-",$B416)&gt;0,INDEX(WP!$A$2:$F$23,MATCH(LEFT($B416,FIND("_",$B416)-1),WP!$E$2:$E$23,0),2))),INDEX(WP!$A$2:$F$23,MATCH(Results!$B416,WP!$E$2:$E$23,0),2))))&amp;"-"&amp;$I416),"")</f>
        <v/>
      </c>
      <c r="G416" s="17" t="str">
        <f>IF(LEN(_xlfn.IFNA(IF(IFERROR(IF(FIND("_",$B416)&gt;0,MID($B416,FIND("_",$B416)+1,LEN($B416)),IF(FIND("-",$B416)&gt;0,MID($B416,FIND("-",$B416)+1,LEN($B416)))),"")="",IFERROR(VLOOKUP($F416,WP!$B$2:$C$23,2,0),VLOOKUP($C416,Series!$A$3:$F$11,6,0)),IFERROR(VLOOKUP($F416,WP!$B$2:$C$23,2,0),VLOOKUP($C416,Series!$A$3:$F$11,6,0))&amp;" - "&amp;(IFERROR(IF(FIND("_",$B416)&gt;0,MID($B416,FIND("_",$B416)+1,LEN($B416)),IF(FIND("-",$B416)&gt;0,MID($B416,FIND("-",$B416)+1,LEN($B416)))),""))),""))&lt;64,_xlfn.IFNA(IF(IFERROR(IF(FIND("_",$B416)&gt;0,MID($B416,FIND("_",$B416)+1,LEN($B416)),IF(FIND("-",$B416)&gt;0,MID($B416,FIND("-",$B416)+1,LEN($B416)))),"")="",IFERROR(VLOOKUP($F416,WP!$B$2:$C$23,2,0),VLOOKUP($C416,Series!$A$3:$F$11,6,0)),IFERROR(VLOOKUP($F416,WP!$B$2:$C$23,2,0),VLOOKUP($C416,Series!$A$3:$F$11,6,0))&amp;" - "&amp;(IFERROR(IF(FIND("_",$B416)&gt;0,MID($B416,FIND("_",$B416)+1,LEN($B416)),IF(FIND("-",$B416)&gt;0,MID($B416,FIND("-",$B416)+1,LEN($B416)))),""))),""),LEFT((_xlfn.IFNA(IF(IFERROR(IF(FIND("_",$B416)&gt;0,MID($B416,FIND("_",$B416)+1,LEN($B416)),IF(FIND("-",$B416)&gt;0,MID($B416,FIND("-",$B416)+1,LEN($B416)))),"")="",IFERROR(VLOOKUP($F416,WP!$B$2:$C$23,2,0),VLOOKUP($C416,Series!$A$3:$F$11,6,0)),IFERROR(VLOOKUP($F416,WP!$B$2:$C$23,2,0),VLOOKUP($C416,Series!$A$3:$F$11,6,0))&amp;" - "&amp;(IFERROR(IF(FIND("_",$B416)&gt;0,MID($B416,FIND("_",$B416)+1,LEN($B416)),IF(FIND("-",$B416)&gt;0,MID($B416,FIND("-",$B416)+1,LEN($B416)))),""))),"")),64))</f>
        <v/>
      </c>
      <c r="H416" s="12"/>
      <c r="I416" s="12" t="str">
        <f>IF($D416&lt;&gt;"",COUNTIF($D$7:$D416,"="&amp;$D416),"")</f>
        <v/>
      </c>
      <c r="J416"/>
      <c r="K416" s="8"/>
      <c r="L416"/>
    </row>
    <row r="417" spans="1:12" x14ac:dyDescent="0.3">
      <c r="A417" s="1"/>
      <c r="B417" s="26"/>
      <c r="C417" s="12" t="str">
        <f>_xlfn.IFNA(IFERROR(IF(FIND("_",$B417)&gt;0,INDEX(WP!$A$2:$F$23,MATCH(LEFT($B417,FIND("_",$B417)-1),WP!$E$2:$E$23,0),1),IF(FIND("-",$B417)&gt;0,INDEX(WP!$A$2:$F$23,MATCH(LEFT($B417,FIND("_",$B417)-1),WP!$E$2:$E$23,0),1))),INDEX(WP!$A$2:$F$23,MATCH(Results!$B417,WP!$E$2:$E$23,0),1)),"")</f>
        <v/>
      </c>
      <c r="D417" s="12" t="str">
        <f>IFERROR(IFERROR(IF(RIGHT(INDEX(WP!$A$2:$F$23,MATCH(IF(FIND("_",$B417)&gt;0,LEFT($B417,FIND("_",$B417)-1)),WP!$E$2:$E$23,0),2),6)="Series",LEFT(INDEX(WP!$A$2:$F$23,MATCH(IF(FIND("_",$B417)&gt;0,LEFT($B417,FIND("_",$B417)-1)),WP!$E$2:$E$23,0),2),5),""),IF(RIGHT(INDEX(WP!$A$2:$F$23,MATCH($B417,WP!$E$2:$E$23,0),2),6)="Series",LEFT(INDEX(WP!$A$2:$F$23,MATCH($B417,WP!$E$2:$E$23,0),2),5),"")),"")</f>
        <v/>
      </c>
      <c r="E417" s="17" t="str">
        <f>IFERROR(VLOOKUP(VALUE($D417),Series!$B$3:$F$11,2,0),"")</f>
        <v/>
      </c>
      <c r="F417" s="12" t="str">
        <f>_xlfn.IFNA(IF(IF($D417&lt;&gt;"",COUNTIF($E:$E,"="&amp;$D417),"")="",IF(RIGHT(IFERROR(IF(FIND("_",$B417)&gt;0,INDEX(WP!$A$2:$F$23,MATCH(LEFT($B417,FIND("_",$B417)-1),WP!$E$2:$E$23,0),2),IF(FIND("-",$B417)&gt;0,INDEX(WP!$A$2:$F$23,MATCH(LEFT($B417,FIND("_",$B417)-1),WP!$E$2:$E$23,0),2))),INDEX(WP!$A$2:$F$23,MATCH(Results!$B417,WP!$E$2:$E$23,0),2)),6)="Series",LEFT(IFERROR(IF(FIND("_",$B417)&gt;0,INDEX(WP!$A$2:$F$23,MATCH(LEFT($B417,FIND("_",$B417)-1),WP!$E$2:$E$23,0),2),IF(FIND("-",$B417)&gt;0,INDEX(WP!$A$2:$F$23,MATCH(LEFT($B417,FIND("_",$B417)-1),WP!$E$2:$E$23,0),2))),INDEX(WP!$A$2:$F$23,MATCH(Results!$B417,WP!$E$2:$E$23,0),2)),5),(IFERROR(IF(FIND("_",$B417)&gt;0,INDEX(WP!$A$2:$F$23,MATCH(LEFT($B417,FIND("_",$B417)-1),WP!$E$2:$E$23,0),2),IF(FIND("-",$B417)&gt;0,INDEX(WP!$A$2:$F$23,MATCH(LEFT($B417,FIND("_",$B417)-1),WP!$E$2:$E$23,0),2))),INDEX(WP!$A$2:$F$23,MATCH(Results!$B417,WP!$E$2:$E$23,0),2)))),IF(RIGHT(IFERROR(IF(FIND("_",$B417)&gt;0,INDEX(WP!$A$2:$F$23,MATCH(LEFT($B417,FIND("_",$B417)-1),WP!$E$2:$E$23,0),2),IF(FIND("-",$B417)&gt;0,INDEX(WP!$A$2:$F$23,MATCH(LEFT($B417,FIND("_",$B417)-1),WP!$E$2:$E$23,0),2))),INDEX(WP!$A$2:$F$23,MATCH(Results!$B417,WP!$E$2:$E$23,0),2)),6)="Series",LEFT(IFERROR(IF(FIND("_",$B417)&gt;0,INDEX(WP!$A$2:$F$23,MATCH(LEFT($B417,FIND("_",$B417)-1),WP!$E$2:$E$23,0),2),IF(FIND("-",$B417)&gt;0,INDEX(WP!$A$2:$F$23,MATCH(LEFT($B417,FIND("_",$B417)-1),WP!$E$2:$E$23,0),2))),INDEX(WP!$A$2:$F$23,MATCH(Results!$B417,WP!$E$2:$E$23,0),2)),5),(IFERROR(IF(FIND("_",$B417)&gt;0,INDEX(WP!$A$2:$F$23,MATCH(LEFT($B417,FIND("_",$B417)-1),WP!$E$2:$E$23,0),2),IF(FIND("-",$B417)&gt;0,INDEX(WP!$A$2:$F$23,MATCH(LEFT($B417,FIND("_",$B417)-1),WP!$E$2:$E$23,0),2))),INDEX(WP!$A$2:$F$23,MATCH(Results!$B417,WP!$E$2:$E$23,0),2))))&amp;"-"&amp;$I417),"")</f>
        <v/>
      </c>
      <c r="G417" s="17" t="str">
        <f>IF(LEN(_xlfn.IFNA(IF(IFERROR(IF(FIND("_",$B417)&gt;0,MID($B417,FIND("_",$B417)+1,LEN($B417)),IF(FIND("-",$B417)&gt;0,MID($B417,FIND("-",$B417)+1,LEN($B417)))),"")="",IFERROR(VLOOKUP($F417,WP!$B$2:$C$23,2,0),VLOOKUP($C417,Series!$A$3:$F$11,6,0)),IFERROR(VLOOKUP($F417,WP!$B$2:$C$23,2,0),VLOOKUP($C417,Series!$A$3:$F$11,6,0))&amp;" - "&amp;(IFERROR(IF(FIND("_",$B417)&gt;0,MID($B417,FIND("_",$B417)+1,LEN($B417)),IF(FIND("-",$B417)&gt;0,MID($B417,FIND("-",$B417)+1,LEN($B417)))),""))),""))&lt;64,_xlfn.IFNA(IF(IFERROR(IF(FIND("_",$B417)&gt;0,MID($B417,FIND("_",$B417)+1,LEN($B417)),IF(FIND("-",$B417)&gt;0,MID($B417,FIND("-",$B417)+1,LEN($B417)))),"")="",IFERROR(VLOOKUP($F417,WP!$B$2:$C$23,2,0),VLOOKUP($C417,Series!$A$3:$F$11,6,0)),IFERROR(VLOOKUP($F417,WP!$B$2:$C$23,2,0),VLOOKUP($C417,Series!$A$3:$F$11,6,0))&amp;" - "&amp;(IFERROR(IF(FIND("_",$B417)&gt;0,MID($B417,FIND("_",$B417)+1,LEN($B417)),IF(FIND("-",$B417)&gt;0,MID($B417,FIND("-",$B417)+1,LEN($B417)))),""))),""),LEFT((_xlfn.IFNA(IF(IFERROR(IF(FIND("_",$B417)&gt;0,MID($B417,FIND("_",$B417)+1,LEN($B417)),IF(FIND("-",$B417)&gt;0,MID($B417,FIND("-",$B417)+1,LEN($B417)))),"")="",IFERROR(VLOOKUP($F417,WP!$B$2:$C$23,2,0),VLOOKUP($C417,Series!$A$3:$F$11,6,0)),IFERROR(VLOOKUP($F417,WP!$B$2:$C$23,2,0),VLOOKUP($C417,Series!$A$3:$F$11,6,0))&amp;" - "&amp;(IFERROR(IF(FIND("_",$B417)&gt;0,MID($B417,FIND("_",$B417)+1,LEN($B417)),IF(FIND("-",$B417)&gt;0,MID($B417,FIND("-",$B417)+1,LEN($B417)))),""))),"")),64))</f>
        <v/>
      </c>
      <c r="H417" s="12"/>
      <c r="I417" s="12" t="str">
        <f>IF($D417&lt;&gt;"",COUNTIF($D$7:$D417,"="&amp;$D417),"")</f>
        <v/>
      </c>
      <c r="J417"/>
      <c r="K417" s="8"/>
      <c r="L417"/>
    </row>
    <row r="418" spans="1:12" x14ac:dyDescent="0.3">
      <c r="A418" s="1"/>
      <c r="B418" s="26"/>
      <c r="C418" s="12" t="str">
        <f>_xlfn.IFNA(IFERROR(IF(FIND("_",$B418)&gt;0,INDEX(WP!$A$2:$F$23,MATCH(LEFT($B418,FIND("_",$B418)-1),WP!$E$2:$E$23,0),1),IF(FIND("-",$B418)&gt;0,INDEX(WP!$A$2:$F$23,MATCH(LEFT($B418,FIND("_",$B418)-1),WP!$E$2:$E$23,0),1))),INDEX(WP!$A$2:$F$23,MATCH(Results!$B418,WP!$E$2:$E$23,0),1)),"")</f>
        <v/>
      </c>
      <c r="D418" s="12" t="str">
        <f>IFERROR(IFERROR(IF(RIGHT(INDEX(WP!$A$2:$F$23,MATCH(IF(FIND("_",$B418)&gt;0,LEFT($B418,FIND("_",$B418)-1)),WP!$E$2:$E$23,0),2),6)="Series",LEFT(INDEX(WP!$A$2:$F$23,MATCH(IF(FIND("_",$B418)&gt;0,LEFT($B418,FIND("_",$B418)-1)),WP!$E$2:$E$23,0),2),5),""),IF(RIGHT(INDEX(WP!$A$2:$F$23,MATCH($B418,WP!$E$2:$E$23,0),2),6)="Series",LEFT(INDEX(WP!$A$2:$F$23,MATCH($B418,WP!$E$2:$E$23,0),2),5),"")),"")</f>
        <v/>
      </c>
      <c r="E418" s="17" t="str">
        <f>IFERROR(VLOOKUP(VALUE($D418),Series!$B$3:$F$11,2,0),"")</f>
        <v/>
      </c>
      <c r="F418" s="12" t="str">
        <f>_xlfn.IFNA(IF(IF($D418&lt;&gt;"",COUNTIF($E:$E,"="&amp;$D418),"")="",IF(RIGHT(IFERROR(IF(FIND("_",$B418)&gt;0,INDEX(WP!$A$2:$F$23,MATCH(LEFT($B418,FIND("_",$B418)-1),WP!$E$2:$E$23,0),2),IF(FIND("-",$B418)&gt;0,INDEX(WP!$A$2:$F$23,MATCH(LEFT($B418,FIND("_",$B418)-1),WP!$E$2:$E$23,0),2))),INDEX(WP!$A$2:$F$23,MATCH(Results!$B418,WP!$E$2:$E$23,0),2)),6)="Series",LEFT(IFERROR(IF(FIND("_",$B418)&gt;0,INDEX(WP!$A$2:$F$23,MATCH(LEFT($B418,FIND("_",$B418)-1),WP!$E$2:$E$23,0),2),IF(FIND("-",$B418)&gt;0,INDEX(WP!$A$2:$F$23,MATCH(LEFT($B418,FIND("_",$B418)-1),WP!$E$2:$E$23,0),2))),INDEX(WP!$A$2:$F$23,MATCH(Results!$B418,WP!$E$2:$E$23,0),2)),5),(IFERROR(IF(FIND("_",$B418)&gt;0,INDEX(WP!$A$2:$F$23,MATCH(LEFT($B418,FIND("_",$B418)-1),WP!$E$2:$E$23,0),2),IF(FIND("-",$B418)&gt;0,INDEX(WP!$A$2:$F$23,MATCH(LEFT($B418,FIND("_",$B418)-1),WP!$E$2:$E$23,0),2))),INDEX(WP!$A$2:$F$23,MATCH(Results!$B418,WP!$E$2:$E$23,0),2)))),IF(RIGHT(IFERROR(IF(FIND("_",$B418)&gt;0,INDEX(WP!$A$2:$F$23,MATCH(LEFT($B418,FIND("_",$B418)-1),WP!$E$2:$E$23,0),2),IF(FIND("-",$B418)&gt;0,INDEX(WP!$A$2:$F$23,MATCH(LEFT($B418,FIND("_",$B418)-1),WP!$E$2:$E$23,0),2))),INDEX(WP!$A$2:$F$23,MATCH(Results!$B418,WP!$E$2:$E$23,0),2)),6)="Series",LEFT(IFERROR(IF(FIND("_",$B418)&gt;0,INDEX(WP!$A$2:$F$23,MATCH(LEFT($B418,FIND("_",$B418)-1),WP!$E$2:$E$23,0),2),IF(FIND("-",$B418)&gt;0,INDEX(WP!$A$2:$F$23,MATCH(LEFT($B418,FIND("_",$B418)-1),WP!$E$2:$E$23,0),2))),INDEX(WP!$A$2:$F$23,MATCH(Results!$B418,WP!$E$2:$E$23,0),2)),5),(IFERROR(IF(FIND("_",$B418)&gt;0,INDEX(WP!$A$2:$F$23,MATCH(LEFT($B418,FIND("_",$B418)-1),WP!$E$2:$E$23,0),2),IF(FIND("-",$B418)&gt;0,INDEX(WP!$A$2:$F$23,MATCH(LEFT($B418,FIND("_",$B418)-1),WP!$E$2:$E$23,0),2))),INDEX(WP!$A$2:$F$23,MATCH(Results!$B418,WP!$E$2:$E$23,0),2))))&amp;"-"&amp;$I418),"")</f>
        <v/>
      </c>
      <c r="G418" s="17" t="str">
        <f>IF(LEN(_xlfn.IFNA(IF(IFERROR(IF(FIND("_",$B418)&gt;0,MID($B418,FIND("_",$B418)+1,LEN($B418)),IF(FIND("-",$B418)&gt;0,MID($B418,FIND("-",$B418)+1,LEN($B418)))),"")="",IFERROR(VLOOKUP($F418,WP!$B$2:$C$23,2,0),VLOOKUP($C418,Series!$A$3:$F$11,6,0)),IFERROR(VLOOKUP($F418,WP!$B$2:$C$23,2,0),VLOOKUP($C418,Series!$A$3:$F$11,6,0))&amp;" - "&amp;(IFERROR(IF(FIND("_",$B418)&gt;0,MID($B418,FIND("_",$B418)+1,LEN($B418)),IF(FIND("-",$B418)&gt;0,MID($B418,FIND("-",$B418)+1,LEN($B418)))),""))),""))&lt;64,_xlfn.IFNA(IF(IFERROR(IF(FIND("_",$B418)&gt;0,MID($B418,FIND("_",$B418)+1,LEN($B418)),IF(FIND("-",$B418)&gt;0,MID($B418,FIND("-",$B418)+1,LEN($B418)))),"")="",IFERROR(VLOOKUP($F418,WP!$B$2:$C$23,2,0),VLOOKUP($C418,Series!$A$3:$F$11,6,0)),IFERROR(VLOOKUP($F418,WP!$B$2:$C$23,2,0),VLOOKUP($C418,Series!$A$3:$F$11,6,0))&amp;" - "&amp;(IFERROR(IF(FIND("_",$B418)&gt;0,MID($B418,FIND("_",$B418)+1,LEN($B418)),IF(FIND("-",$B418)&gt;0,MID($B418,FIND("-",$B418)+1,LEN($B418)))),""))),""),LEFT((_xlfn.IFNA(IF(IFERROR(IF(FIND("_",$B418)&gt;0,MID($B418,FIND("_",$B418)+1,LEN($B418)),IF(FIND("-",$B418)&gt;0,MID($B418,FIND("-",$B418)+1,LEN($B418)))),"")="",IFERROR(VLOOKUP($F418,WP!$B$2:$C$23,2,0),VLOOKUP($C418,Series!$A$3:$F$11,6,0)),IFERROR(VLOOKUP($F418,WP!$B$2:$C$23,2,0),VLOOKUP($C418,Series!$A$3:$F$11,6,0))&amp;" - "&amp;(IFERROR(IF(FIND("_",$B418)&gt;0,MID($B418,FIND("_",$B418)+1,LEN($B418)),IF(FIND("-",$B418)&gt;0,MID($B418,FIND("-",$B418)+1,LEN($B418)))),""))),"")),64))</f>
        <v/>
      </c>
      <c r="H418" s="12"/>
      <c r="I418" s="12" t="str">
        <f>IF($D418&lt;&gt;"",COUNTIF($D$7:$D418,"="&amp;$D418),"")</f>
        <v/>
      </c>
      <c r="J418"/>
      <c r="K418" s="8"/>
      <c r="L418"/>
    </row>
    <row r="419" spans="1:12" x14ac:dyDescent="0.3">
      <c r="A419" s="1"/>
      <c r="B419" s="26"/>
      <c r="C419" s="12" t="str">
        <f>_xlfn.IFNA(IFERROR(IF(FIND("_",$B419)&gt;0,INDEX(WP!$A$2:$F$23,MATCH(LEFT($B419,FIND("_",$B419)-1),WP!$E$2:$E$23,0),1),IF(FIND("-",$B419)&gt;0,INDEX(WP!$A$2:$F$23,MATCH(LEFT($B419,FIND("_",$B419)-1),WP!$E$2:$E$23,0),1))),INDEX(WP!$A$2:$F$23,MATCH(Results!$B419,WP!$E$2:$E$23,0),1)),"")</f>
        <v/>
      </c>
      <c r="D419" s="12" t="str">
        <f>IFERROR(IFERROR(IF(RIGHT(INDEX(WP!$A$2:$F$23,MATCH(IF(FIND("_",$B419)&gt;0,LEFT($B419,FIND("_",$B419)-1)),WP!$E$2:$E$23,0),2),6)="Series",LEFT(INDEX(WP!$A$2:$F$23,MATCH(IF(FIND("_",$B419)&gt;0,LEFT($B419,FIND("_",$B419)-1)),WP!$E$2:$E$23,0),2),5),""),IF(RIGHT(INDEX(WP!$A$2:$F$23,MATCH($B419,WP!$E$2:$E$23,0),2),6)="Series",LEFT(INDEX(WP!$A$2:$F$23,MATCH($B419,WP!$E$2:$E$23,0),2),5),"")),"")</f>
        <v/>
      </c>
      <c r="E419" s="17" t="str">
        <f>IFERROR(VLOOKUP(VALUE($D419),Series!$B$3:$F$11,2,0),"")</f>
        <v/>
      </c>
      <c r="F419" s="12" t="str">
        <f>_xlfn.IFNA(IF(IF($D419&lt;&gt;"",COUNTIF($E:$E,"="&amp;$D419),"")="",IF(RIGHT(IFERROR(IF(FIND("_",$B419)&gt;0,INDEX(WP!$A$2:$F$23,MATCH(LEFT($B419,FIND("_",$B419)-1),WP!$E$2:$E$23,0),2),IF(FIND("-",$B419)&gt;0,INDEX(WP!$A$2:$F$23,MATCH(LEFT($B419,FIND("_",$B419)-1),WP!$E$2:$E$23,0),2))),INDEX(WP!$A$2:$F$23,MATCH(Results!$B419,WP!$E$2:$E$23,0),2)),6)="Series",LEFT(IFERROR(IF(FIND("_",$B419)&gt;0,INDEX(WP!$A$2:$F$23,MATCH(LEFT($B419,FIND("_",$B419)-1),WP!$E$2:$E$23,0),2),IF(FIND("-",$B419)&gt;0,INDEX(WP!$A$2:$F$23,MATCH(LEFT($B419,FIND("_",$B419)-1),WP!$E$2:$E$23,0),2))),INDEX(WP!$A$2:$F$23,MATCH(Results!$B419,WP!$E$2:$E$23,0),2)),5),(IFERROR(IF(FIND("_",$B419)&gt;0,INDEX(WP!$A$2:$F$23,MATCH(LEFT($B419,FIND("_",$B419)-1),WP!$E$2:$E$23,0),2),IF(FIND("-",$B419)&gt;0,INDEX(WP!$A$2:$F$23,MATCH(LEFT($B419,FIND("_",$B419)-1),WP!$E$2:$E$23,0),2))),INDEX(WP!$A$2:$F$23,MATCH(Results!$B419,WP!$E$2:$E$23,0),2)))),IF(RIGHT(IFERROR(IF(FIND("_",$B419)&gt;0,INDEX(WP!$A$2:$F$23,MATCH(LEFT($B419,FIND("_",$B419)-1),WP!$E$2:$E$23,0),2),IF(FIND("-",$B419)&gt;0,INDEX(WP!$A$2:$F$23,MATCH(LEFT($B419,FIND("_",$B419)-1),WP!$E$2:$E$23,0),2))),INDEX(WP!$A$2:$F$23,MATCH(Results!$B419,WP!$E$2:$E$23,0),2)),6)="Series",LEFT(IFERROR(IF(FIND("_",$B419)&gt;0,INDEX(WP!$A$2:$F$23,MATCH(LEFT($B419,FIND("_",$B419)-1),WP!$E$2:$E$23,0),2),IF(FIND("-",$B419)&gt;0,INDEX(WP!$A$2:$F$23,MATCH(LEFT($B419,FIND("_",$B419)-1),WP!$E$2:$E$23,0),2))),INDEX(WP!$A$2:$F$23,MATCH(Results!$B419,WP!$E$2:$E$23,0),2)),5),(IFERROR(IF(FIND("_",$B419)&gt;0,INDEX(WP!$A$2:$F$23,MATCH(LEFT($B419,FIND("_",$B419)-1),WP!$E$2:$E$23,0),2),IF(FIND("-",$B419)&gt;0,INDEX(WP!$A$2:$F$23,MATCH(LEFT($B419,FIND("_",$B419)-1),WP!$E$2:$E$23,0),2))),INDEX(WP!$A$2:$F$23,MATCH(Results!$B419,WP!$E$2:$E$23,0),2))))&amp;"-"&amp;$I419),"")</f>
        <v/>
      </c>
      <c r="G419" s="17" t="str">
        <f>IF(LEN(_xlfn.IFNA(IF(IFERROR(IF(FIND("_",$B419)&gt;0,MID($B419,FIND("_",$B419)+1,LEN($B419)),IF(FIND("-",$B419)&gt;0,MID($B419,FIND("-",$B419)+1,LEN($B419)))),"")="",IFERROR(VLOOKUP($F419,WP!$B$2:$C$23,2,0),VLOOKUP($C419,Series!$A$3:$F$11,6,0)),IFERROR(VLOOKUP($F419,WP!$B$2:$C$23,2,0),VLOOKUP($C419,Series!$A$3:$F$11,6,0))&amp;" - "&amp;(IFERROR(IF(FIND("_",$B419)&gt;0,MID($B419,FIND("_",$B419)+1,LEN($B419)),IF(FIND("-",$B419)&gt;0,MID($B419,FIND("-",$B419)+1,LEN($B419)))),""))),""))&lt;64,_xlfn.IFNA(IF(IFERROR(IF(FIND("_",$B419)&gt;0,MID($B419,FIND("_",$B419)+1,LEN($B419)),IF(FIND("-",$B419)&gt;0,MID($B419,FIND("-",$B419)+1,LEN($B419)))),"")="",IFERROR(VLOOKUP($F419,WP!$B$2:$C$23,2,0),VLOOKUP($C419,Series!$A$3:$F$11,6,0)),IFERROR(VLOOKUP($F419,WP!$B$2:$C$23,2,0),VLOOKUP($C419,Series!$A$3:$F$11,6,0))&amp;" - "&amp;(IFERROR(IF(FIND("_",$B419)&gt;0,MID($B419,FIND("_",$B419)+1,LEN($B419)),IF(FIND("-",$B419)&gt;0,MID($B419,FIND("-",$B419)+1,LEN($B419)))),""))),""),LEFT((_xlfn.IFNA(IF(IFERROR(IF(FIND("_",$B419)&gt;0,MID($B419,FIND("_",$B419)+1,LEN($B419)),IF(FIND("-",$B419)&gt;0,MID($B419,FIND("-",$B419)+1,LEN($B419)))),"")="",IFERROR(VLOOKUP($F419,WP!$B$2:$C$23,2,0),VLOOKUP($C419,Series!$A$3:$F$11,6,0)),IFERROR(VLOOKUP($F419,WP!$B$2:$C$23,2,0),VLOOKUP($C419,Series!$A$3:$F$11,6,0))&amp;" - "&amp;(IFERROR(IF(FIND("_",$B419)&gt;0,MID($B419,FIND("_",$B419)+1,LEN($B419)),IF(FIND("-",$B419)&gt;0,MID($B419,FIND("-",$B419)+1,LEN($B419)))),""))),"")),64))</f>
        <v/>
      </c>
      <c r="H419" s="12"/>
      <c r="I419" s="12" t="str">
        <f>IF($D419&lt;&gt;"",COUNTIF($D$7:$D419,"="&amp;$D419),"")</f>
        <v/>
      </c>
      <c r="J419"/>
      <c r="K419" s="8"/>
      <c r="L419"/>
    </row>
    <row r="420" spans="1:12" x14ac:dyDescent="0.3">
      <c r="A420" s="1"/>
      <c r="B420" s="26"/>
      <c r="C420" s="12" t="str">
        <f>_xlfn.IFNA(IFERROR(IF(FIND("_",$B420)&gt;0,INDEX(WP!$A$2:$F$23,MATCH(LEFT($B420,FIND("_",$B420)-1),WP!$E$2:$E$23,0),1),IF(FIND("-",$B420)&gt;0,INDEX(WP!$A$2:$F$23,MATCH(LEFT($B420,FIND("_",$B420)-1),WP!$E$2:$E$23,0),1))),INDEX(WP!$A$2:$F$23,MATCH(Results!$B420,WP!$E$2:$E$23,0),1)),"")</f>
        <v/>
      </c>
      <c r="D420" s="12" t="str">
        <f>IFERROR(IFERROR(IF(RIGHT(INDEX(WP!$A$2:$F$23,MATCH(IF(FIND("_",$B420)&gt;0,LEFT($B420,FIND("_",$B420)-1)),WP!$E$2:$E$23,0),2),6)="Series",LEFT(INDEX(WP!$A$2:$F$23,MATCH(IF(FIND("_",$B420)&gt;0,LEFT($B420,FIND("_",$B420)-1)),WP!$E$2:$E$23,0),2),5),""),IF(RIGHT(INDEX(WP!$A$2:$F$23,MATCH($B420,WP!$E$2:$E$23,0),2),6)="Series",LEFT(INDEX(WP!$A$2:$F$23,MATCH($B420,WP!$E$2:$E$23,0),2),5),"")),"")</f>
        <v/>
      </c>
      <c r="E420" s="17" t="str">
        <f>IFERROR(VLOOKUP(VALUE($D420),Series!$B$3:$F$11,2,0),"")</f>
        <v/>
      </c>
      <c r="F420" s="12" t="str">
        <f>_xlfn.IFNA(IF(IF($D420&lt;&gt;"",COUNTIF($E:$E,"="&amp;$D420),"")="",IF(RIGHT(IFERROR(IF(FIND("_",$B420)&gt;0,INDEX(WP!$A$2:$F$23,MATCH(LEFT($B420,FIND("_",$B420)-1),WP!$E$2:$E$23,0),2),IF(FIND("-",$B420)&gt;0,INDEX(WP!$A$2:$F$23,MATCH(LEFT($B420,FIND("_",$B420)-1),WP!$E$2:$E$23,0),2))),INDEX(WP!$A$2:$F$23,MATCH(Results!$B420,WP!$E$2:$E$23,0),2)),6)="Series",LEFT(IFERROR(IF(FIND("_",$B420)&gt;0,INDEX(WP!$A$2:$F$23,MATCH(LEFT($B420,FIND("_",$B420)-1),WP!$E$2:$E$23,0),2),IF(FIND("-",$B420)&gt;0,INDEX(WP!$A$2:$F$23,MATCH(LEFT($B420,FIND("_",$B420)-1),WP!$E$2:$E$23,0),2))),INDEX(WP!$A$2:$F$23,MATCH(Results!$B420,WP!$E$2:$E$23,0),2)),5),(IFERROR(IF(FIND("_",$B420)&gt;0,INDEX(WP!$A$2:$F$23,MATCH(LEFT($B420,FIND("_",$B420)-1),WP!$E$2:$E$23,0),2),IF(FIND("-",$B420)&gt;0,INDEX(WP!$A$2:$F$23,MATCH(LEFT($B420,FIND("_",$B420)-1),WP!$E$2:$E$23,0),2))),INDEX(WP!$A$2:$F$23,MATCH(Results!$B420,WP!$E$2:$E$23,0),2)))),IF(RIGHT(IFERROR(IF(FIND("_",$B420)&gt;0,INDEX(WP!$A$2:$F$23,MATCH(LEFT($B420,FIND("_",$B420)-1),WP!$E$2:$E$23,0),2),IF(FIND("-",$B420)&gt;0,INDEX(WP!$A$2:$F$23,MATCH(LEFT($B420,FIND("_",$B420)-1),WP!$E$2:$E$23,0),2))),INDEX(WP!$A$2:$F$23,MATCH(Results!$B420,WP!$E$2:$E$23,0),2)),6)="Series",LEFT(IFERROR(IF(FIND("_",$B420)&gt;0,INDEX(WP!$A$2:$F$23,MATCH(LEFT($B420,FIND("_",$B420)-1),WP!$E$2:$E$23,0),2),IF(FIND("-",$B420)&gt;0,INDEX(WP!$A$2:$F$23,MATCH(LEFT($B420,FIND("_",$B420)-1),WP!$E$2:$E$23,0),2))),INDEX(WP!$A$2:$F$23,MATCH(Results!$B420,WP!$E$2:$E$23,0),2)),5),(IFERROR(IF(FIND("_",$B420)&gt;0,INDEX(WP!$A$2:$F$23,MATCH(LEFT($B420,FIND("_",$B420)-1),WP!$E$2:$E$23,0),2),IF(FIND("-",$B420)&gt;0,INDEX(WP!$A$2:$F$23,MATCH(LEFT($B420,FIND("_",$B420)-1),WP!$E$2:$E$23,0),2))),INDEX(WP!$A$2:$F$23,MATCH(Results!$B420,WP!$E$2:$E$23,0),2))))&amp;"-"&amp;$I420),"")</f>
        <v/>
      </c>
      <c r="G420" s="17" t="str">
        <f>IF(LEN(_xlfn.IFNA(IF(IFERROR(IF(FIND("_",$B420)&gt;0,MID($B420,FIND("_",$B420)+1,LEN($B420)),IF(FIND("-",$B420)&gt;0,MID($B420,FIND("-",$B420)+1,LEN($B420)))),"")="",IFERROR(VLOOKUP($F420,WP!$B$2:$C$23,2,0),VLOOKUP($C420,Series!$A$3:$F$11,6,0)),IFERROR(VLOOKUP($F420,WP!$B$2:$C$23,2,0),VLOOKUP($C420,Series!$A$3:$F$11,6,0))&amp;" - "&amp;(IFERROR(IF(FIND("_",$B420)&gt;0,MID($B420,FIND("_",$B420)+1,LEN($B420)),IF(FIND("-",$B420)&gt;0,MID($B420,FIND("-",$B420)+1,LEN($B420)))),""))),""))&lt;64,_xlfn.IFNA(IF(IFERROR(IF(FIND("_",$B420)&gt;0,MID($B420,FIND("_",$B420)+1,LEN($B420)),IF(FIND("-",$B420)&gt;0,MID($B420,FIND("-",$B420)+1,LEN($B420)))),"")="",IFERROR(VLOOKUP($F420,WP!$B$2:$C$23,2,0),VLOOKUP($C420,Series!$A$3:$F$11,6,0)),IFERROR(VLOOKUP($F420,WP!$B$2:$C$23,2,0),VLOOKUP($C420,Series!$A$3:$F$11,6,0))&amp;" - "&amp;(IFERROR(IF(FIND("_",$B420)&gt;0,MID($B420,FIND("_",$B420)+1,LEN($B420)),IF(FIND("-",$B420)&gt;0,MID($B420,FIND("-",$B420)+1,LEN($B420)))),""))),""),LEFT((_xlfn.IFNA(IF(IFERROR(IF(FIND("_",$B420)&gt;0,MID($B420,FIND("_",$B420)+1,LEN($B420)),IF(FIND("-",$B420)&gt;0,MID($B420,FIND("-",$B420)+1,LEN($B420)))),"")="",IFERROR(VLOOKUP($F420,WP!$B$2:$C$23,2,0),VLOOKUP($C420,Series!$A$3:$F$11,6,0)),IFERROR(VLOOKUP($F420,WP!$B$2:$C$23,2,0),VLOOKUP($C420,Series!$A$3:$F$11,6,0))&amp;" - "&amp;(IFERROR(IF(FIND("_",$B420)&gt;0,MID($B420,FIND("_",$B420)+1,LEN($B420)),IF(FIND("-",$B420)&gt;0,MID($B420,FIND("-",$B420)+1,LEN($B420)))),""))),"")),64))</f>
        <v/>
      </c>
      <c r="H420" s="12"/>
      <c r="I420" s="12" t="str">
        <f>IF($D420&lt;&gt;"",COUNTIF($D$7:$D420,"="&amp;$D420),"")</f>
        <v/>
      </c>
      <c r="J420"/>
      <c r="K420" s="8"/>
      <c r="L420"/>
    </row>
    <row r="421" spans="1:12" x14ac:dyDescent="0.3">
      <c r="A421" s="1"/>
      <c r="B421" s="26"/>
      <c r="C421" s="12" t="str">
        <f>_xlfn.IFNA(IFERROR(IF(FIND("_",$B421)&gt;0,INDEX(WP!$A$2:$F$23,MATCH(LEFT($B421,FIND("_",$B421)-1),WP!$E$2:$E$23,0),1),IF(FIND("-",$B421)&gt;0,INDEX(WP!$A$2:$F$23,MATCH(LEFT($B421,FIND("_",$B421)-1),WP!$E$2:$E$23,0),1))),INDEX(WP!$A$2:$F$23,MATCH(Results!$B421,WP!$E$2:$E$23,0),1)),"")</f>
        <v/>
      </c>
      <c r="D421" s="12" t="str">
        <f>IFERROR(IFERROR(IF(RIGHT(INDEX(WP!$A$2:$F$23,MATCH(IF(FIND("_",$B421)&gt;0,LEFT($B421,FIND("_",$B421)-1)),WP!$E$2:$E$23,0),2),6)="Series",LEFT(INDEX(WP!$A$2:$F$23,MATCH(IF(FIND("_",$B421)&gt;0,LEFT($B421,FIND("_",$B421)-1)),WP!$E$2:$E$23,0),2),5),""),IF(RIGHT(INDEX(WP!$A$2:$F$23,MATCH($B421,WP!$E$2:$E$23,0),2),6)="Series",LEFT(INDEX(WP!$A$2:$F$23,MATCH($B421,WP!$E$2:$E$23,0),2),5),"")),"")</f>
        <v/>
      </c>
      <c r="E421" s="17" t="str">
        <f>IFERROR(VLOOKUP(VALUE($D421),Series!$B$3:$F$11,2,0),"")</f>
        <v/>
      </c>
      <c r="F421" s="12" t="str">
        <f>_xlfn.IFNA(IF(IF($D421&lt;&gt;"",COUNTIF($E:$E,"="&amp;$D421),"")="",IF(RIGHT(IFERROR(IF(FIND("_",$B421)&gt;0,INDEX(WP!$A$2:$F$23,MATCH(LEFT($B421,FIND("_",$B421)-1),WP!$E$2:$E$23,0),2),IF(FIND("-",$B421)&gt;0,INDEX(WP!$A$2:$F$23,MATCH(LEFT($B421,FIND("_",$B421)-1),WP!$E$2:$E$23,0),2))),INDEX(WP!$A$2:$F$23,MATCH(Results!$B421,WP!$E$2:$E$23,0),2)),6)="Series",LEFT(IFERROR(IF(FIND("_",$B421)&gt;0,INDEX(WP!$A$2:$F$23,MATCH(LEFT($B421,FIND("_",$B421)-1),WP!$E$2:$E$23,0),2),IF(FIND("-",$B421)&gt;0,INDEX(WP!$A$2:$F$23,MATCH(LEFT($B421,FIND("_",$B421)-1),WP!$E$2:$E$23,0),2))),INDEX(WP!$A$2:$F$23,MATCH(Results!$B421,WP!$E$2:$E$23,0),2)),5),(IFERROR(IF(FIND("_",$B421)&gt;0,INDEX(WP!$A$2:$F$23,MATCH(LEFT($B421,FIND("_",$B421)-1),WP!$E$2:$E$23,0),2),IF(FIND("-",$B421)&gt;0,INDEX(WP!$A$2:$F$23,MATCH(LEFT($B421,FIND("_",$B421)-1),WP!$E$2:$E$23,0),2))),INDEX(WP!$A$2:$F$23,MATCH(Results!$B421,WP!$E$2:$E$23,0),2)))),IF(RIGHT(IFERROR(IF(FIND("_",$B421)&gt;0,INDEX(WP!$A$2:$F$23,MATCH(LEFT($B421,FIND("_",$B421)-1),WP!$E$2:$E$23,0),2),IF(FIND("-",$B421)&gt;0,INDEX(WP!$A$2:$F$23,MATCH(LEFT($B421,FIND("_",$B421)-1),WP!$E$2:$E$23,0),2))),INDEX(WP!$A$2:$F$23,MATCH(Results!$B421,WP!$E$2:$E$23,0),2)),6)="Series",LEFT(IFERROR(IF(FIND("_",$B421)&gt;0,INDEX(WP!$A$2:$F$23,MATCH(LEFT($B421,FIND("_",$B421)-1),WP!$E$2:$E$23,0),2),IF(FIND("-",$B421)&gt;0,INDEX(WP!$A$2:$F$23,MATCH(LEFT($B421,FIND("_",$B421)-1),WP!$E$2:$E$23,0),2))),INDEX(WP!$A$2:$F$23,MATCH(Results!$B421,WP!$E$2:$E$23,0),2)),5),(IFERROR(IF(FIND("_",$B421)&gt;0,INDEX(WP!$A$2:$F$23,MATCH(LEFT($B421,FIND("_",$B421)-1),WP!$E$2:$E$23,0),2),IF(FIND("-",$B421)&gt;0,INDEX(WP!$A$2:$F$23,MATCH(LEFT($B421,FIND("_",$B421)-1),WP!$E$2:$E$23,0),2))),INDEX(WP!$A$2:$F$23,MATCH(Results!$B421,WP!$E$2:$E$23,0),2))))&amp;"-"&amp;$I421),"")</f>
        <v/>
      </c>
      <c r="G421" s="17" t="str">
        <f>IF(LEN(_xlfn.IFNA(IF(IFERROR(IF(FIND("_",$B421)&gt;0,MID($B421,FIND("_",$B421)+1,LEN($B421)),IF(FIND("-",$B421)&gt;0,MID($B421,FIND("-",$B421)+1,LEN($B421)))),"")="",IFERROR(VLOOKUP($F421,WP!$B$2:$C$23,2,0),VLOOKUP($C421,Series!$A$3:$F$11,6,0)),IFERROR(VLOOKUP($F421,WP!$B$2:$C$23,2,0),VLOOKUP($C421,Series!$A$3:$F$11,6,0))&amp;" - "&amp;(IFERROR(IF(FIND("_",$B421)&gt;0,MID($B421,FIND("_",$B421)+1,LEN($B421)),IF(FIND("-",$B421)&gt;0,MID($B421,FIND("-",$B421)+1,LEN($B421)))),""))),""))&lt;64,_xlfn.IFNA(IF(IFERROR(IF(FIND("_",$B421)&gt;0,MID($B421,FIND("_",$B421)+1,LEN($B421)),IF(FIND("-",$B421)&gt;0,MID($B421,FIND("-",$B421)+1,LEN($B421)))),"")="",IFERROR(VLOOKUP($F421,WP!$B$2:$C$23,2,0),VLOOKUP($C421,Series!$A$3:$F$11,6,0)),IFERROR(VLOOKUP($F421,WP!$B$2:$C$23,2,0),VLOOKUP($C421,Series!$A$3:$F$11,6,0))&amp;" - "&amp;(IFERROR(IF(FIND("_",$B421)&gt;0,MID($B421,FIND("_",$B421)+1,LEN($B421)),IF(FIND("-",$B421)&gt;0,MID($B421,FIND("-",$B421)+1,LEN($B421)))),""))),""),LEFT((_xlfn.IFNA(IF(IFERROR(IF(FIND("_",$B421)&gt;0,MID($B421,FIND("_",$B421)+1,LEN($B421)),IF(FIND("-",$B421)&gt;0,MID($B421,FIND("-",$B421)+1,LEN($B421)))),"")="",IFERROR(VLOOKUP($F421,WP!$B$2:$C$23,2,0),VLOOKUP($C421,Series!$A$3:$F$11,6,0)),IFERROR(VLOOKUP($F421,WP!$B$2:$C$23,2,0),VLOOKUP($C421,Series!$A$3:$F$11,6,0))&amp;" - "&amp;(IFERROR(IF(FIND("_",$B421)&gt;0,MID($B421,FIND("_",$B421)+1,LEN($B421)),IF(FIND("-",$B421)&gt;0,MID($B421,FIND("-",$B421)+1,LEN($B421)))),""))),"")),64))</f>
        <v/>
      </c>
      <c r="H421" s="12"/>
      <c r="I421" s="12" t="str">
        <f>IF($D421&lt;&gt;"",COUNTIF($D$7:$D421,"="&amp;$D421),"")</f>
        <v/>
      </c>
      <c r="J421"/>
      <c r="K421" s="8"/>
      <c r="L421"/>
    </row>
    <row r="422" spans="1:12" x14ac:dyDescent="0.3">
      <c r="A422" s="1"/>
      <c r="B422" s="26"/>
      <c r="C422" s="12" t="str">
        <f>_xlfn.IFNA(IFERROR(IF(FIND("_",$B422)&gt;0,INDEX(WP!$A$2:$F$23,MATCH(LEFT($B422,FIND("_",$B422)-1),WP!$E$2:$E$23,0),1),IF(FIND("-",$B422)&gt;0,INDEX(WP!$A$2:$F$23,MATCH(LEFT($B422,FIND("_",$B422)-1),WP!$E$2:$E$23,0),1))),INDEX(WP!$A$2:$F$23,MATCH(Results!$B422,WP!$E$2:$E$23,0),1)),"")</f>
        <v/>
      </c>
      <c r="D422" s="12" t="str">
        <f>IFERROR(IFERROR(IF(RIGHT(INDEX(WP!$A$2:$F$23,MATCH(IF(FIND("_",$B422)&gt;0,LEFT($B422,FIND("_",$B422)-1)),WP!$E$2:$E$23,0),2),6)="Series",LEFT(INDEX(WP!$A$2:$F$23,MATCH(IF(FIND("_",$B422)&gt;0,LEFT($B422,FIND("_",$B422)-1)),WP!$E$2:$E$23,0),2),5),""),IF(RIGHT(INDEX(WP!$A$2:$F$23,MATCH($B422,WP!$E$2:$E$23,0),2),6)="Series",LEFT(INDEX(WP!$A$2:$F$23,MATCH($B422,WP!$E$2:$E$23,0),2),5),"")),"")</f>
        <v/>
      </c>
      <c r="E422" s="17" t="str">
        <f>IFERROR(VLOOKUP(VALUE($D422),Series!$B$3:$F$11,2,0),"")</f>
        <v/>
      </c>
      <c r="F422" s="12" t="str">
        <f>_xlfn.IFNA(IF(IF($D422&lt;&gt;"",COUNTIF($E:$E,"="&amp;$D422),"")="",IF(RIGHT(IFERROR(IF(FIND("_",$B422)&gt;0,INDEX(WP!$A$2:$F$23,MATCH(LEFT($B422,FIND("_",$B422)-1),WP!$E$2:$E$23,0),2),IF(FIND("-",$B422)&gt;0,INDEX(WP!$A$2:$F$23,MATCH(LEFT($B422,FIND("_",$B422)-1),WP!$E$2:$E$23,0),2))),INDEX(WP!$A$2:$F$23,MATCH(Results!$B422,WP!$E$2:$E$23,0),2)),6)="Series",LEFT(IFERROR(IF(FIND("_",$B422)&gt;0,INDEX(WP!$A$2:$F$23,MATCH(LEFT($B422,FIND("_",$B422)-1),WP!$E$2:$E$23,0),2),IF(FIND("-",$B422)&gt;0,INDEX(WP!$A$2:$F$23,MATCH(LEFT($B422,FIND("_",$B422)-1),WP!$E$2:$E$23,0),2))),INDEX(WP!$A$2:$F$23,MATCH(Results!$B422,WP!$E$2:$E$23,0),2)),5),(IFERROR(IF(FIND("_",$B422)&gt;0,INDEX(WP!$A$2:$F$23,MATCH(LEFT($B422,FIND("_",$B422)-1),WP!$E$2:$E$23,0),2),IF(FIND("-",$B422)&gt;0,INDEX(WP!$A$2:$F$23,MATCH(LEFT($B422,FIND("_",$B422)-1),WP!$E$2:$E$23,0),2))),INDEX(WP!$A$2:$F$23,MATCH(Results!$B422,WP!$E$2:$E$23,0),2)))),IF(RIGHT(IFERROR(IF(FIND("_",$B422)&gt;0,INDEX(WP!$A$2:$F$23,MATCH(LEFT($B422,FIND("_",$B422)-1),WP!$E$2:$E$23,0),2),IF(FIND("-",$B422)&gt;0,INDEX(WP!$A$2:$F$23,MATCH(LEFT($B422,FIND("_",$B422)-1),WP!$E$2:$E$23,0),2))),INDEX(WP!$A$2:$F$23,MATCH(Results!$B422,WP!$E$2:$E$23,0),2)),6)="Series",LEFT(IFERROR(IF(FIND("_",$B422)&gt;0,INDEX(WP!$A$2:$F$23,MATCH(LEFT($B422,FIND("_",$B422)-1),WP!$E$2:$E$23,0),2),IF(FIND("-",$B422)&gt;0,INDEX(WP!$A$2:$F$23,MATCH(LEFT($B422,FIND("_",$B422)-1),WP!$E$2:$E$23,0),2))),INDEX(WP!$A$2:$F$23,MATCH(Results!$B422,WP!$E$2:$E$23,0),2)),5),(IFERROR(IF(FIND("_",$B422)&gt;0,INDEX(WP!$A$2:$F$23,MATCH(LEFT($B422,FIND("_",$B422)-1),WP!$E$2:$E$23,0),2),IF(FIND("-",$B422)&gt;0,INDEX(WP!$A$2:$F$23,MATCH(LEFT($B422,FIND("_",$B422)-1),WP!$E$2:$E$23,0),2))),INDEX(WP!$A$2:$F$23,MATCH(Results!$B422,WP!$E$2:$E$23,0),2))))&amp;"-"&amp;$I422),"")</f>
        <v/>
      </c>
      <c r="G422" s="17" t="str">
        <f>IF(LEN(_xlfn.IFNA(IF(IFERROR(IF(FIND("_",$B422)&gt;0,MID($B422,FIND("_",$B422)+1,LEN($B422)),IF(FIND("-",$B422)&gt;0,MID($B422,FIND("-",$B422)+1,LEN($B422)))),"")="",IFERROR(VLOOKUP($F422,WP!$B$2:$C$23,2,0),VLOOKUP($C422,Series!$A$3:$F$11,6,0)),IFERROR(VLOOKUP($F422,WP!$B$2:$C$23,2,0),VLOOKUP($C422,Series!$A$3:$F$11,6,0))&amp;" - "&amp;(IFERROR(IF(FIND("_",$B422)&gt;0,MID($B422,FIND("_",$B422)+1,LEN($B422)),IF(FIND("-",$B422)&gt;0,MID($B422,FIND("-",$B422)+1,LEN($B422)))),""))),""))&lt;64,_xlfn.IFNA(IF(IFERROR(IF(FIND("_",$B422)&gt;0,MID($B422,FIND("_",$B422)+1,LEN($B422)),IF(FIND("-",$B422)&gt;0,MID($B422,FIND("-",$B422)+1,LEN($B422)))),"")="",IFERROR(VLOOKUP($F422,WP!$B$2:$C$23,2,0),VLOOKUP($C422,Series!$A$3:$F$11,6,0)),IFERROR(VLOOKUP($F422,WP!$B$2:$C$23,2,0),VLOOKUP($C422,Series!$A$3:$F$11,6,0))&amp;" - "&amp;(IFERROR(IF(FIND("_",$B422)&gt;0,MID($B422,FIND("_",$B422)+1,LEN($B422)),IF(FIND("-",$B422)&gt;0,MID($B422,FIND("-",$B422)+1,LEN($B422)))),""))),""),LEFT((_xlfn.IFNA(IF(IFERROR(IF(FIND("_",$B422)&gt;0,MID($B422,FIND("_",$B422)+1,LEN($B422)),IF(FIND("-",$B422)&gt;0,MID($B422,FIND("-",$B422)+1,LEN($B422)))),"")="",IFERROR(VLOOKUP($F422,WP!$B$2:$C$23,2,0),VLOOKUP($C422,Series!$A$3:$F$11,6,0)),IFERROR(VLOOKUP($F422,WP!$B$2:$C$23,2,0),VLOOKUP($C422,Series!$A$3:$F$11,6,0))&amp;" - "&amp;(IFERROR(IF(FIND("_",$B422)&gt;0,MID($B422,FIND("_",$B422)+1,LEN($B422)),IF(FIND("-",$B422)&gt;0,MID($B422,FIND("-",$B422)+1,LEN($B422)))),""))),"")),64))</f>
        <v/>
      </c>
      <c r="H422" s="12"/>
      <c r="I422" s="12" t="str">
        <f>IF($D422&lt;&gt;"",COUNTIF($D$7:$D422,"="&amp;$D422),"")</f>
        <v/>
      </c>
      <c r="J422"/>
      <c r="K422" s="8"/>
      <c r="L422"/>
    </row>
    <row r="423" spans="1:12" x14ac:dyDescent="0.3">
      <c r="A423" s="1"/>
      <c r="B423" s="26"/>
      <c r="C423" s="12" t="str">
        <f>_xlfn.IFNA(IFERROR(IF(FIND("_",$B423)&gt;0,INDEX(WP!$A$2:$F$23,MATCH(LEFT($B423,FIND("_",$B423)-1),WP!$E$2:$E$23,0),1),IF(FIND("-",$B423)&gt;0,INDEX(WP!$A$2:$F$23,MATCH(LEFT($B423,FIND("_",$B423)-1),WP!$E$2:$E$23,0),1))),INDEX(WP!$A$2:$F$23,MATCH(Results!$B423,WP!$E$2:$E$23,0),1)),"")</f>
        <v/>
      </c>
      <c r="D423" s="12" t="str">
        <f>IFERROR(IFERROR(IF(RIGHT(INDEX(WP!$A$2:$F$23,MATCH(IF(FIND("_",$B423)&gt;0,LEFT($B423,FIND("_",$B423)-1)),WP!$E$2:$E$23,0),2),6)="Series",LEFT(INDEX(WP!$A$2:$F$23,MATCH(IF(FIND("_",$B423)&gt;0,LEFT($B423,FIND("_",$B423)-1)),WP!$E$2:$E$23,0),2),5),""),IF(RIGHT(INDEX(WP!$A$2:$F$23,MATCH($B423,WP!$E$2:$E$23,0),2),6)="Series",LEFT(INDEX(WP!$A$2:$F$23,MATCH($B423,WP!$E$2:$E$23,0),2),5),"")),"")</f>
        <v/>
      </c>
      <c r="E423" s="17" t="str">
        <f>IFERROR(VLOOKUP(VALUE($D423),Series!$B$3:$F$11,2,0),"")</f>
        <v/>
      </c>
      <c r="F423" s="12" t="str">
        <f>_xlfn.IFNA(IF(IF($D423&lt;&gt;"",COUNTIF($E:$E,"="&amp;$D423),"")="",IF(RIGHT(IFERROR(IF(FIND("_",$B423)&gt;0,INDEX(WP!$A$2:$F$23,MATCH(LEFT($B423,FIND("_",$B423)-1),WP!$E$2:$E$23,0),2),IF(FIND("-",$B423)&gt;0,INDEX(WP!$A$2:$F$23,MATCH(LEFT($B423,FIND("_",$B423)-1),WP!$E$2:$E$23,0),2))),INDEX(WP!$A$2:$F$23,MATCH(Results!$B423,WP!$E$2:$E$23,0),2)),6)="Series",LEFT(IFERROR(IF(FIND("_",$B423)&gt;0,INDEX(WP!$A$2:$F$23,MATCH(LEFT($B423,FIND("_",$B423)-1),WP!$E$2:$E$23,0),2),IF(FIND("-",$B423)&gt;0,INDEX(WP!$A$2:$F$23,MATCH(LEFT($B423,FIND("_",$B423)-1),WP!$E$2:$E$23,0),2))),INDEX(WP!$A$2:$F$23,MATCH(Results!$B423,WP!$E$2:$E$23,0),2)),5),(IFERROR(IF(FIND("_",$B423)&gt;0,INDEX(WP!$A$2:$F$23,MATCH(LEFT($B423,FIND("_",$B423)-1),WP!$E$2:$E$23,0),2),IF(FIND("-",$B423)&gt;0,INDEX(WP!$A$2:$F$23,MATCH(LEFT($B423,FIND("_",$B423)-1),WP!$E$2:$E$23,0),2))),INDEX(WP!$A$2:$F$23,MATCH(Results!$B423,WP!$E$2:$E$23,0),2)))),IF(RIGHT(IFERROR(IF(FIND("_",$B423)&gt;0,INDEX(WP!$A$2:$F$23,MATCH(LEFT($B423,FIND("_",$B423)-1),WP!$E$2:$E$23,0),2),IF(FIND("-",$B423)&gt;0,INDEX(WP!$A$2:$F$23,MATCH(LEFT($B423,FIND("_",$B423)-1),WP!$E$2:$E$23,0),2))),INDEX(WP!$A$2:$F$23,MATCH(Results!$B423,WP!$E$2:$E$23,0),2)),6)="Series",LEFT(IFERROR(IF(FIND("_",$B423)&gt;0,INDEX(WP!$A$2:$F$23,MATCH(LEFT($B423,FIND("_",$B423)-1),WP!$E$2:$E$23,0),2),IF(FIND("-",$B423)&gt;0,INDEX(WP!$A$2:$F$23,MATCH(LEFT($B423,FIND("_",$B423)-1),WP!$E$2:$E$23,0),2))),INDEX(WP!$A$2:$F$23,MATCH(Results!$B423,WP!$E$2:$E$23,0),2)),5),(IFERROR(IF(FIND("_",$B423)&gt;0,INDEX(WP!$A$2:$F$23,MATCH(LEFT($B423,FIND("_",$B423)-1),WP!$E$2:$E$23,0),2),IF(FIND("-",$B423)&gt;0,INDEX(WP!$A$2:$F$23,MATCH(LEFT($B423,FIND("_",$B423)-1),WP!$E$2:$E$23,0),2))),INDEX(WP!$A$2:$F$23,MATCH(Results!$B423,WP!$E$2:$E$23,0),2))))&amp;"-"&amp;$I423),"")</f>
        <v/>
      </c>
      <c r="G423" s="17" t="str">
        <f>IF(LEN(_xlfn.IFNA(IF(IFERROR(IF(FIND("_",$B423)&gt;0,MID($B423,FIND("_",$B423)+1,LEN($B423)),IF(FIND("-",$B423)&gt;0,MID($B423,FIND("-",$B423)+1,LEN($B423)))),"")="",IFERROR(VLOOKUP($F423,WP!$B$2:$C$23,2,0),VLOOKUP($C423,Series!$A$3:$F$11,6,0)),IFERROR(VLOOKUP($F423,WP!$B$2:$C$23,2,0),VLOOKUP($C423,Series!$A$3:$F$11,6,0))&amp;" - "&amp;(IFERROR(IF(FIND("_",$B423)&gt;0,MID($B423,FIND("_",$B423)+1,LEN($B423)),IF(FIND("-",$B423)&gt;0,MID($B423,FIND("-",$B423)+1,LEN($B423)))),""))),""))&lt;64,_xlfn.IFNA(IF(IFERROR(IF(FIND("_",$B423)&gt;0,MID($B423,FIND("_",$B423)+1,LEN($B423)),IF(FIND("-",$B423)&gt;0,MID($B423,FIND("-",$B423)+1,LEN($B423)))),"")="",IFERROR(VLOOKUP($F423,WP!$B$2:$C$23,2,0),VLOOKUP($C423,Series!$A$3:$F$11,6,0)),IFERROR(VLOOKUP($F423,WP!$B$2:$C$23,2,0),VLOOKUP($C423,Series!$A$3:$F$11,6,0))&amp;" - "&amp;(IFERROR(IF(FIND("_",$B423)&gt;0,MID($B423,FIND("_",$B423)+1,LEN($B423)),IF(FIND("-",$B423)&gt;0,MID($B423,FIND("-",$B423)+1,LEN($B423)))),""))),""),LEFT((_xlfn.IFNA(IF(IFERROR(IF(FIND("_",$B423)&gt;0,MID($B423,FIND("_",$B423)+1,LEN($B423)),IF(FIND("-",$B423)&gt;0,MID($B423,FIND("-",$B423)+1,LEN($B423)))),"")="",IFERROR(VLOOKUP($F423,WP!$B$2:$C$23,2,0),VLOOKUP($C423,Series!$A$3:$F$11,6,0)),IFERROR(VLOOKUP($F423,WP!$B$2:$C$23,2,0),VLOOKUP($C423,Series!$A$3:$F$11,6,0))&amp;" - "&amp;(IFERROR(IF(FIND("_",$B423)&gt;0,MID($B423,FIND("_",$B423)+1,LEN($B423)),IF(FIND("-",$B423)&gt;0,MID($B423,FIND("-",$B423)+1,LEN($B423)))),""))),"")),64))</f>
        <v/>
      </c>
      <c r="H423" s="12"/>
      <c r="I423" s="12" t="str">
        <f>IF($D423&lt;&gt;"",COUNTIF($D$7:$D423,"="&amp;$D423),"")</f>
        <v/>
      </c>
      <c r="J423"/>
      <c r="K423" s="8"/>
      <c r="L423"/>
    </row>
    <row r="424" spans="1:12" x14ac:dyDescent="0.3">
      <c r="A424" s="1"/>
      <c r="B424" s="26"/>
      <c r="C424" s="12" t="str">
        <f>_xlfn.IFNA(IFERROR(IF(FIND("_",$B424)&gt;0,INDEX(WP!$A$2:$F$23,MATCH(LEFT($B424,FIND("_",$B424)-1),WP!$E$2:$E$23,0),1),IF(FIND("-",$B424)&gt;0,INDEX(WP!$A$2:$F$23,MATCH(LEFT($B424,FIND("_",$B424)-1),WP!$E$2:$E$23,0),1))),INDEX(WP!$A$2:$F$23,MATCH(Results!$B424,WP!$E$2:$E$23,0),1)),"")</f>
        <v/>
      </c>
      <c r="D424" s="12" t="str">
        <f>IFERROR(IFERROR(IF(RIGHT(INDEX(WP!$A$2:$F$23,MATCH(IF(FIND("_",$B424)&gt;0,LEFT($B424,FIND("_",$B424)-1)),WP!$E$2:$E$23,0),2),6)="Series",LEFT(INDEX(WP!$A$2:$F$23,MATCH(IF(FIND("_",$B424)&gt;0,LEFT($B424,FIND("_",$B424)-1)),WP!$E$2:$E$23,0),2),5),""),IF(RIGHT(INDEX(WP!$A$2:$F$23,MATCH($B424,WP!$E$2:$E$23,0),2),6)="Series",LEFT(INDEX(WP!$A$2:$F$23,MATCH($B424,WP!$E$2:$E$23,0),2),5),"")),"")</f>
        <v/>
      </c>
      <c r="E424" s="17" t="str">
        <f>IFERROR(VLOOKUP(VALUE($D424),Series!$B$3:$F$11,2,0),"")</f>
        <v/>
      </c>
      <c r="F424" s="12" t="str">
        <f>_xlfn.IFNA(IF(IF($D424&lt;&gt;"",COUNTIF($E:$E,"="&amp;$D424),"")="",IF(RIGHT(IFERROR(IF(FIND("_",$B424)&gt;0,INDEX(WP!$A$2:$F$23,MATCH(LEFT($B424,FIND("_",$B424)-1),WP!$E$2:$E$23,0),2),IF(FIND("-",$B424)&gt;0,INDEX(WP!$A$2:$F$23,MATCH(LEFT($B424,FIND("_",$B424)-1),WP!$E$2:$E$23,0),2))),INDEX(WP!$A$2:$F$23,MATCH(Results!$B424,WP!$E$2:$E$23,0),2)),6)="Series",LEFT(IFERROR(IF(FIND("_",$B424)&gt;0,INDEX(WP!$A$2:$F$23,MATCH(LEFT($B424,FIND("_",$B424)-1),WP!$E$2:$E$23,0),2),IF(FIND("-",$B424)&gt;0,INDEX(WP!$A$2:$F$23,MATCH(LEFT($B424,FIND("_",$B424)-1),WP!$E$2:$E$23,0),2))),INDEX(WP!$A$2:$F$23,MATCH(Results!$B424,WP!$E$2:$E$23,0),2)),5),(IFERROR(IF(FIND("_",$B424)&gt;0,INDEX(WP!$A$2:$F$23,MATCH(LEFT($B424,FIND("_",$B424)-1),WP!$E$2:$E$23,0),2),IF(FIND("-",$B424)&gt;0,INDEX(WP!$A$2:$F$23,MATCH(LEFT($B424,FIND("_",$B424)-1),WP!$E$2:$E$23,0),2))),INDEX(WP!$A$2:$F$23,MATCH(Results!$B424,WP!$E$2:$E$23,0),2)))),IF(RIGHT(IFERROR(IF(FIND("_",$B424)&gt;0,INDEX(WP!$A$2:$F$23,MATCH(LEFT($B424,FIND("_",$B424)-1),WP!$E$2:$E$23,0),2),IF(FIND("-",$B424)&gt;0,INDEX(WP!$A$2:$F$23,MATCH(LEFT($B424,FIND("_",$B424)-1),WP!$E$2:$E$23,0),2))),INDEX(WP!$A$2:$F$23,MATCH(Results!$B424,WP!$E$2:$E$23,0),2)),6)="Series",LEFT(IFERROR(IF(FIND("_",$B424)&gt;0,INDEX(WP!$A$2:$F$23,MATCH(LEFT($B424,FIND("_",$B424)-1),WP!$E$2:$E$23,0),2),IF(FIND("-",$B424)&gt;0,INDEX(WP!$A$2:$F$23,MATCH(LEFT($B424,FIND("_",$B424)-1),WP!$E$2:$E$23,0),2))),INDEX(WP!$A$2:$F$23,MATCH(Results!$B424,WP!$E$2:$E$23,0),2)),5),(IFERROR(IF(FIND("_",$B424)&gt;0,INDEX(WP!$A$2:$F$23,MATCH(LEFT($B424,FIND("_",$B424)-1),WP!$E$2:$E$23,0),2),IF(FIND("-",$B424)&gt;0,INDEX(WP!$A$2:$F$23,MATCH(LEFT($B424,FIND("_",$B424)-1),WP!$E$2:$E$23,0),2))),INDEX(WP!$A$2:$F$23,MATCH(Results!$B424,WP!$E$2:$E$23,0),2))))&amp;"-"&amp;$I424),"")</f>
        <v/>
      </c>
      <c r="G424" s="17" t="str">
        <f>IF(LEN(_xlfn.IFNA(IF(IFERROR(IF(FIND("_",$B424)&gt;0,MID($B424,FIND("_",$B424)+1,LEN($B424)),IF(FIND("-",$B424)&gt;0,MID($B424,FIND("-",$B424)+1,LEN($B424)))),"")="",IFERROR(VLOOKUP($F424,WP!$B$2:$C$23,2,0),VLOOKUP($C424,Series!$A$3:$F$11,6,0)),IFERROR(VLOOKUP($F424,WP!$B$2:$C$23,2,0),VLOOKUP($C424,Series!$A$3:$F$11,6,0))&amp;" - "&amp;(IFERROR(IF(FIND("_",$B424)&gt;0,MID($B424,FIND("_",$B424)+1,LEN($B424)),IF(FIND("-",$B424)&gt;0,MID($B424,FIND("-",$B424)+1,LEN($B424)))),""))),""))&lt;64,_xlfn.IFNA(IF(IFERROR(IF(FIND("_",$B424)&gt;0,MID($B424,FIND("_",$B424)+1,LEN($B424)),IF(FIND("-",$B424)&gt;0,MID($B424,FIND("-",$B424)+1,LEN($B424)))),"")="",IFERROR(VLOOKUP($F424,WP!$B$2:$C$23,2,0),VLOOKUP($C424,Series!$A$3:$F$11,6,0)),IFERROR(VLOOKUP($F424,WP!$B$2:$C$23,2,0),VLOOKUP($C424,Series!$A$3:$F$11,6,0))&amp;" - "&amp;(IFERROR(IF(FIND("_",$B424)&gt;0,MID($B424,FIND("_",$B424)+1,LEN($B424)),IF(FIND("-",$B424)&gt;0,MID($B424,FIND("-",$B424)+1,LEN($B424)))),""))),""),LEFT((_xlfn.IFNA(IF(IFERROR(IF(FIND("_",$B424)&gt;0,MID($B424,FIND("_",$B424)+1,LEN($B424)),IF(FIND("-",$B424)&gt;0,MID($B424,FIND("-",$B424)+1,LEN($B424)))),"")="",IFERROR(VLOOKUP($F424,WP!$B$2:$C$23,2,0),VLOOKUP($C424,Series!$A$3:$F$11,6,0)),IFERROR(VLOOKUP($F424,WP!$B$2:$C$23,2,0),VLOOKUP($C424,Series!$A$3:$F$11,6,0))&amp;" - "&amp;(IFERROR(IF(FIND("_",$B424)&gt;0,MID($B424,FIND("_",$B424)+1,LEN($B424)),IF(FIND("-",$B424)&gt;0,MID($B424,FIND("-",$B424)+1,LEN($B424)))),""))),"")),64))</f>
        <v/>
      </c>
      <c r="H424" s="12"/>
      <c r="I424" s="12" t="str">
        <f>IF($D424&lt;&gt;"",COUNTIF($D$7:$D424,"="&amp;$D424),"")</f>
        <v/>
      </c>
      <c r="J424"/>
      <c r="K424" s="8"/>
      <c r="L424"/>
    </row>
    <row r="425" spans="1:12" x14ac:dyDescent="0.3">
      <c r="A425" s="1"/>
      <c r="B425" s="26"/>
      <c r="C425" s="12" t="str">
        <f>_xlfn.IFNA(IFERROR(IF(FIND("_",$B425)&gt;0,INDEX(WP!$A$2:$F$23,MATCH(LEFT($B425,FIND("_",$B425)-1),WP!$E$2:$E$23,0),1),IF(FIND("-",$B425)&gt;0,INDEX(WP!$A$2:$F$23,MATCH(LEFT($B425,FIND("_",$B425)-1),WP!$E$2:$E$23,0),1))),INDEX(WP!$A$2:$F$23,MATCH(Results!$B425,WP!$E$2:$E$23,0),1)),"")</f>
        <v/>
      </c>
      <c r="D425" s="12" t="str">
        <f>IFERROR(IFERROR(IF(RIGHT(INDEX(WP!$A$2:$F$23,MATCH(IF(FIND("_",$B425)&gt;0,LEFT($B425,FIND("_",$B425)-1)),WP!$E$2:$E$23,0),2),6)="Series",LEFT(INDEX(WP!$A$2:$F$23,MATCH(IF(FIND("_",$B425)&gt;0,LEFT($B425,FIND("_",$B425)-1)),WP!$E$2:$E$23,0),2),5),""),IF(RIGHT(INDEX(WP!$A$2:$F$23,MATCH($B425,WP!$E$2:$E$23,0),2),6)="Series",LEFT(INDEX(WP!$A$2:$F$23,MATCH($B425,WP!$E$2:$E$23,0),2),5),"")),"")</f>
        <v/>
      </c>
      <c r="E425" s="17" t="str">
        <f>IFERROR(VLOOKUP(VALUE($D425),Series!$B$3:$F$11,2,0),"")</f>
        <v/>
      </c>
      <c r="F425" s="12" t="str">
        <f>_xlfn.IFNA(IF(IF($D425&lt;&gt;"",COUNTIF($E:$E,"="&amp;$D425),"")="",IF(RIGHT(IFERROR(IF(FIND("_",$B425)&gt;0,INDEX(WP!$A$2:$F$23,MATCH(LEFT($B425,FIND("_",$B425)-1),WP!$E$2:$E$23,0),2),IF(FIND("-",$B425)&gt;0,INDEX(WP!$A$2:$F$23,MATCH(LEFT($B425,FIND("_",$B425)-1),WP!$E$2:$E$23,0),2))),INDEX(WP!$A$2:$F$23,MATCH(Results!$B425,WP!$E$2:$E$23,0),2)),6)="Series",LEFT(IFERROR(IF(FIND("_",$B425)&gt;0,INDEX(WP!$A$2:$F$23,MATCH(LEFT($B425,FIND("_",$B425)-1),WP!$E$2:$E$23,0),2),IF(FIND("-",$B425)&gt;0,INDEX(WP!$A$2:$F$23,MATCH(LEFT($B425,FIND("_",$B425)-1),WP!$E$2:$E$23,0),2))),INDEX(WP!$A$2:$F$23,MATCH(Results!$B425,WP!$E$2:$E$23,0),2)),5),(IFERROR(IF(FIND("_",$B425)&gt;0,INDEX(WP!$A$2:$F$23,MATCH(LEFT($B425,FIND("_",$B425)-1),WP!$E$2:$E$23,0),2),IF(FIND("-",$B425)&gt;0,INDEX(WP!$A$2:$F$23,MATCH(LEFT($B425,FIND("_",$B425)-1),WP!$E$2:$E$23,0),2))),INDEX(WP!$A$2:$F$23,MATCH(Results!$B425,WP!$E$2:$E$23,0),2)))),IF(RIGHT(IFERROR(IF(FIND("_",$B425)&gt;0,INDEX(WP!$A$2:$F$23,MATCH(LEFT($B425,FIND("_",$B425)-1),WP!$E$2:$E$23,0),2),IF(FIND("-",$B425)&gt;0,INDEX(WP!$A$2:$F$23,MATCH(LEFT($B425,FIND("_",$B425)-1),WP!$E$2:$E$23,0),2))),INDEX(WP!$A$2:$F$23,MATCH(Results!$B425,WP!$E$2:$E$23,0),2)),6)="Series",LEFT(IFERROR(IF(FIND("_",$B425)&gt;0,INDEX(WP!$A$2:$F$23,MATCH(LEFT($B425,FIND("_",$B425)-1),WP!$E$2:$E$23,0),2),IF(FIND("-",$B425)&gt;0,INDEX(WP!$A$2:$F$23,MATCH(LEFT($B425,FIND("_",$B425)-1),WP!$E$2:$E$23,0),2))),INDEX(WP!$A$2:$F$23,MATCH(Results!$B425,WP!$E$2:$E$23,0),2)),5),(IFERROR(IF(FIND("_",$B425)&gt;0,INDEX(WP!$A$2:$F$23,MATCH(LEFT($B425,FIND("_",$B425)-1),WP!$E$2:$E$23,0),2),IF(FIND("-",$B425)&gt;0,INDEX(WP!$A$2:$F$23,MATCH(LEFT($B425,FIND("_",$B425)-1),WP!$E$2:$E$23,0),2))),INDEX(WP!$A$2:$F$23,MATCH(Results!$B425,WP!$E$2:$E$23,0),2))))&amp;"-"&amp;$I425),"")</f>
        <v/>
      </c>
      <c r="G425" s="17" t="str">
        <f>IF(LEN(_xlfn.IFNA(IF(IFERROR(IF(FIND("_",$B425)&gt;0,MID($B425,FIND("_",$B425)+1,LEN($B425)),IF(FIND("-",$B425)&gt;0,MID($B425,FIND("-",$B425)+1,LEN($B425)))),"")="",IFERROR(VLOOKUP($F425,WP!$B$2:$C$23,2,0),VLOOKUP($C425,Series!$A$3:$F$11,6,0)),IFERROR(VLOOKUP($F425,WP!$B$2:$C$23,2,0),VLOOKUP($C425,Series!$A$3:$F$11,6,0))&amp;" - "&amp;(IFERROR(IF(FIND("_",$B425)&gt;0,MID($B425,FIND("_",$B425)+1,LEN($B425)),IF(FIND("-",$B425)&gt;0,MID($B425,FIND("-",$B425)+1,LEN($B425)))),""))),""))&lt;64,_xlfn.IFNA(IF(IFERROR(IF(FIND("_",$B425)&gt;0,MID($B425,FIND("_",$B425)+1,LEN($B425)),IF(FIND("-",$B425)&gt;0,MID($B425,FIND("-",$B425)+1,LEN($B425)))),"")="",IFERROR(VLOOKUP($F425,WP!$B$2:$C$23,2,0),VLOOKUP($C425,Series!$A$3:$F$11,6,0)),IFERROR(VLOOKUP($F425,WP!$B$2:$C$23,2,0),VLOOKUP($C425,Series!$A$3:$F$11,6,0))&amp;" - "&amp;(IFERROR(IF(FIND("_",$B425)&gt;0,MID($B425,FIND("_",$B425)+1,LEN($B425)),IF(FIND("-",$B425)&gt;0,MID($B425,FIND("-",$B425)+1,LEN($B425)))),""))),""),LEFT((_xlfn.IFNA(IF(IFERROR(IF(FIND("_",$B425)&gt;0,MID($B425,FIND("_",$B425)+1,LEN($B425)),IF(FIND("-",$B425)&gt;0,MID($B425,FIND("-",$B425)+1,LEN($B425)))),"")="",IFERROR(VLOOKUP($F425,WP!$B$2:$C$23,2,0),VLOOKUP($C425,Series!$A$3:$F$11,6,0)),IFERROR(VLOOKUP($F425,WP!$B$2:$C$23,2,0),VLOOKUP($C425,Series!$A$3:$F$11,6,0))&amp;" - "&amp;(IFERROR(IF(FIND("_",$B425)&gt;0,MID($B425,FIND("_",$B425)+1,LEN($B425)),IF(FIND("-",$B425)&gt;0,MID($B425,FIND("-",$B425)+1,LEN($B425)))),""))),"")),64))</f>
        <v/>
      </c>
      <c r="H425" s="12"/>
      <c r="I425" s="12" t="str">
        <f>IF($D425&lt;&gt;"",COUNTIF($D$7:$D425,"="&amp;$D425),"")</f>
        <v/>
      </c>
      <c r="J425"/>
      <c r="K425" s="8"/>
      <c r="L425"/>
    </row>
    <row r="426" spans="1:12" x14ac:dyDescent="0.3">
      <c r="A426" s="1"/>
      <c r="B426" s="26"/>
      <c r="C426" s="12" t="str">
        <f>_xlfn.IFNA(IFERROR(IF(FIND("_",$B426)&gt;0,INDEX(WP!$A$2:$F$23,MATCH(LEFT($B426,FIND("_",$B426)-1),WP!$E$2:$E$23,0),1),IF(FIND("-",$B426)&gt;0,INDEX(WP!$A$2:$F$23,MATCH(LEFT($B426,FIND("_",$B426)-1),WP!$E$2:$E$23,0),1))),INDEX(WP!$A$2:$F$23,MATCH(Results!$B426,WP!$E$2:$E$23,0),1)),"")</f>
        <v/>
      </c>
      <c r="D426" s="12" t="str">
        <f>IFERROR(IFERROR(IF(RIGHT(INDEX(WP!$A$2:$F$23,MATCH(IF(FIND("_",$B426)&gt;0,LEFT($B426,FIND("_",$B426)-1)),WP!$E$2:$E$23,0),2),6)="Series",LEFT(INDEX(WP!$A$2:$F$23,MATCH(IF(FIND("_",$B426)&gt;0,LEFT($B426,FIND("_",$B426)-1)),WP!$E$2:$E$23,0),2),5),""),IF(RIGHT(INDEX(WP!$A$2:$F$23,MATCH($B426,WP!$E$2:$E$23,0),2),6)="Series",LEFT(INDEX(WP!$A$2:$F$23,MATCH($B426,WP!$E$2:$E$23,0),2),5),"")),"")</f>
        <v/>
      </c>
      <c r="E426" s="17" t="str">
        <f>IFERROR(VLOOKUP(VALUE($D426),Series!$B$3:$F$11,2,0),"")</f>
        <v/>
      </c>
      <c r="F426" s="12" t="str">
        <f>_xlfn.IFNA(IF(IF($D426&lt;&gt;"",COUNTIF($E:$E,"="&amp;$D426),"")="",IF(RIGHT(IFERROR(IF(FIND("_",$B426)&gt;0,INDEX(WP!$A$2:$F$23,MATCH(LEFT($B426,FIND("_",$B426)-1),WP!$E$2:$E$23,0),2),IF(FIND("-",$B426)&gt;0,INDEX(WP!$A$2:$F$23,MATCH(LEFT($B426,FIND("_",$B426)-1),WP!$E$2:$E$23,0),2))),INDEX(WP!$A$2:$F$23,MATCH(Results!$B426,WP!$E$2:$E$23,0),2)),6)="Series",LEFT(IFERROR(IF(FIND("_",$B426)&gt;0,INDEX(WP!$A$2:$F$23,MATCH(LEFT($B426,FIND("_",$B426)-1),WP!$E$2:$E$23,0),2),IF(FIND("-",$B426)&gt;0,INDEX(WP!$A$2:$F$23,MATCH(LEFT($B426,FIND("_",$B426)-1),WP!$E$2:$E$23,0),2))),INDEX(WP!$A$2:$F$23,MATCH(Results!$B426,WP!$E$2:$E$23,0),2)),5),(IFERROR(IF(FIND("_",$B426)&gt;0,INDEX(WP!$A$2:$F$23,MATCH(LEFT($B426,FIND("_",$B426)-1),WP!$E$2:$E$23,0),2),IF(FIND("-",$B426)&gt;0,INDEX(WP!$A$2:$F$23,MATCH(LEFT($B426,FIND("_",$B426)-1),WP!$E$2:$E$23,0),2))),INDEX(WP!$A$2:$F$23,MATCH(Results!$B426,WP!$E$2:$E$23,0),2)))),IF(RIGHT(IFERROR(IF(FIND("_",$B426)&gt;0,INDEX(WP!$A$2:$F$23,MATCH(LEFT($B426,FIND("_",$B426)-1),WP!$E$2:$E$23,0),2),IF(FIND("-",$B426)&gt;0,INDEX(WP!$A$2:$F$23,MATCH(LEFT($B426,FIND("_",$B426)-1),WP!$E$2:$E$23,0),2))),INDEX(WP!$A$2:$F$23,MATCH(Results!$B426,WP!$E$2:$E$23,0),2)),6)="Series",LEFT(IFERROR(IF(FIND("_",$B426)&gt;0,INDEX(WP!$A$2:$F$23,MATCH(LEFT($B426,FIND("_",$B426)-1),WP!$E$2:$E$23,0),2),IF(FIND("-",$B426)&gt;0,INDEX(WP!$A$2:$F$23,MATCH(LEFT($B426,FIND("_",$B426)-1),WP!$E$2:$E$23,0),2))),INDEX(WP!$A$2:$F$23,MATCH(Results!$B426,WP!$E$2:$E$23,0),2)),5),(IFERROR(IF(FIND("_",$B426)&gt;0,INDEX(WP!$A$2:$F$23,MATCH(LEFT($B426,FIND("_",$B426)-1),WP!$E$2:$E$23,0),2),IF(FIND("-",$B426)&gt;0,INDEX(WP!$A$2:$F$23,MATCH(LEFT($B426,FIND("_",$B426)-1),WP!$E$2:$E$23,0),2))),INDEX(WP!$A$2:$F$23,MATCH(Results!$B426,WP!$E$2:$E$23,0),2))))&amp;"-"&amp;$I426),"")</f>
        <v/>
      </c>
      <c r="G426" s="17" t="str">
        <f>IF(LEN(_xlfn.IFNA(IF(IFERROR(IF(FIND("_",$B426)&gt;0,MID($B426,FIND("_",$B426)+1,LEN($B426)),IF(FIND("-",$B426)&gt;0,MID($B426,FIND("-",$B426)+1,LEN($B426)))),"")="",IFERROR(VLOOKUP($F426,WP!$B$2:$C$23,2,0),VLOOKUP($C426,Series!$A$3:$F$11,6,0)),IFERROR(VLOOKUP($F426,WP!$B$2:$C$23,2,0),VLOOKUP($C426,Series!$A$3:$F$11,6,0))&amp;" - "&amp;(IFERROR(IF(FIND("_",$B426)&gt;0,MID($B426,FIND("_",$B426)+1,LEN($B426)),IF(FIND("-",$B426)&gt;0,MID($B426,FIND("-",$B426)+1,LEN($B426)))),""))),""))&lt;64,_xlfn.IFNA(IF(IFERROR(IF(FIND("_",$B426)&gt;0,MID($B426,FIND("_",$B426)+1,LEN($B426)),IF(FIND("-",$B426)&gt;0,MID($B426,FIND("-",$B426)+1,LEN($B426)))),"")="",IFERROR(VLOOKUP($F426,WP!$B$2:$C$23,2,0),VLOOKUP($C426,Series!$A$3:$F$11,6,0)),IFERROR(VLOOKUP($F426,WP!$B$2:$C$23,2,0),VLOOKUP($C426,Series!$A$3:$F$11,6,0))&amp;" - "&amp;(IFERROR(IF(FIND("_",$B426)&gt;0,MID($B426,FIND("_",$B426)+1,LEN($B426)),IF(FIND("-",$B426)&gt;0,MID($B426,FIND("-",$B426)+1,LEN($B426)))),""))),""),LEFT((_xlfn.IFNA(IF(IFERROR(IF(FIND("_",$B426)&gt;0,MID($B426,FIND("_",$B426)+1,LEN($B426)),IF(FIND("-",$B426)&gt;0,MID($B426,FIND("-",$B426)+1,LEN($B426)))),"")="",IFERROR(VLOOKUP($F426,WP!$B$2:$C$23,2,0),VLOOKUP($C426,Series!$A$3:$F$11,6,0)),IFERROR(VLOOKUP($F426,WP!$B$2:$C$23,2,0),VLOOKUP($C426,Series!$A$3:$F$11,6,0))&amp;" - "&amp;(IFERROR(IF(FIND("_",$B426)&gt;0,MID($B426,FIND("_",$B426)+1,LEN($B426)),IF(FIND("-",$B426)&gt;0,MID($B426,FIND("-",$B426)+1,LEN($B426)))),""))),"")),64))</f>
        <v/>
      </c>
      <c r="H426" s="12"/>
      <c r="I426" s="12" t="str">
        <f>IF($D426&lt;&gt;"",COUNTIF($D$7:$D426,"="&amp;$D426),"")</f>
        <v/>
      </c>
      <c r="J426"/>
      <c r="K426" s="8"/>
      <c r="L426"/>
    </row>
    <row r="427" spans="1:12" x14ac:dyDescent="0.3">
      <c r="A427" s="1"/>
      <c r="B427" s="26"/>
      <c r="C427" s="12" t="str">
        <f>_xlfn.IFNA(IFERROR(IF(FIND("_",$B427)&gt;0,INDEX(WP!$A$2:$F$23,MATCH(LEFT($B427,FIND("_",$B427)-1),WP!$E$2:$E$23,0),1),IF(FIND("-",$B427)&gt;0,INDEX(WP!$A$2:$F$23,MATCH(LEFT($B427,FIND("_",$B427)-1),WP!$E$2:$E$23,0),1))),INDEX(WP!$A$2:$F$23,MATCH(Results!$B427,WP!$E$2:$E$23,0),1)),"")</f>
        <v/>
      </c>
      <c r="D427" s="12" t="str">
        <f>IFERROR(IFERROR(IF(RIGHT(INDEX(WP!$A$2:$F$23,MATCH(IF(FIND("_",$B427)&gt;0,LEFT($B427,FIND("_",$B427)-1)),WP!$E$2:$E$23,0),2),6)="Series",LEFT(INDEX(WP!$A$2:$F$23,MATCH(IF(FIND("_",$B427)&gt;0,LEFT($B427,FIND("_",$B427)-1)),WP!$E$2:$E$23,0),2),5),""),IF(RIGHT(INDEX(WP!$A$2:$F$23,MATCH($B427,WP!$E$2:$E$23,0),2),6)="Series",LEFT(INDEX(WP!$A$2:$F$23,MATCH($B427,WP!$E$2:$E$23,0),2),5),"")),"")</f>
        <v/>
      </c>
      <c r="E427" s="17" t="str">
        <f>IFERROR(VLOOKUP(VALUE($D427),Series!$B$3:$F$11,2,0),"")</f>
        <v/>
      </c>
      <c r="F427" s="12" t="str">
        <f>_xlfn.IFNA(IF(IF($D427&lt;&gt;"",COUNTIF($E:$E,"="&amp;$D427),"")="",IF(RIGHT(IFERROR(IF(FIND("_",$B427)&gt;0,INDEX(WP!$A$2:$F$23,MATCH(LEFT($B427,FIND("_",$B427)-1),WP!$E$2:$E$23,0),2),IF(FIND("-",$B427)&gt;0,INDEX(WP!$A$2:$F$23,MATCH(LEFT($B427,FIND("_",$B427)-1),WP!$E$2:$E$23,0),2))),INDEX(WP!$A$2:$F$23,MATCH(Results!$B427,WP!$E$2:$E$23,0),2)),6)="Series",LEFT(IFERROR(IF(FIND("_",$B427)&gt;0,INDEX(WP!$A$2:$F$23,MATCH(LEFT($B427,FIND("_",$B427)-1),WP!$E$2:$E$23,0),2),IF(FIND("-",$B427)&gt;0,INDEX(WP!$A$2:$F$23,MATCH(LEFT($B427,FIND("_",$B427)-1),WP!$E$2:$E$23,0),2))),INDEX(WP!$A$2:$F$23,MATCH(Results!$B427,WP!$E$2:$E$23,0),2)),5),(IFERROR(IF(FIND("_",$B427)&gt;0,INDEX(WP!$A$2:$F$23,MATCH(LEFT($B427,FIND("_",$B427)-1),WP!$E$2:$E$23,0),2),IF(FIND("-",$B427)&gt;0,INDEX(WP!$A$2:$F$23,MATCH(LEFT($B427,FIND("_",$B427)-1),WP!$E$2:$E$23,0),2))),INDEX(WP!$A$2:$F$23,MATCH(Results!$B427,WP!$E$2:$E$23,0),2)))),IF(RIGHT(IFERROR(IF(FIND("_",$B427)&gt;0,INDEX(WP!$A$2:$F$23,MATCH(LEFT($B427,FIND("_",$B427)-1),WP!$E$2:$E$23,0),2),IF(FIND("-",$B427)&gt;0,INDEX(WP!$A$2:$F$23,MATCH(LEFT($B427,FIND("_",$B427)-1),WP!$E$2:$E$23,0),2))),INDEX(WP!$A$2:$F$23,MATCH(Results!$B427,WP!$E$2:$E$23,0),2)),6)="Series",LEFT(IFERROR(IF(FIND("_",$B427)&gt;0,INDEX(WP!$A$2:$F$23,MATCH(LEFT($B427,FIND("_",$B427)-1),WP!$E$2:$E$23,0),2),IF(FIND("-",$B427)&gt;0,INDEX(WP!$A$2:$F$23,MATCH(LEFT($B427,FIND("_",$B427)-1),WP!$E$2:$E$23,0),2))),INDEX(WP!$A$2:$F$23,MATCH(Results!$B427,WP!$E$2:$E$23,0),2)),5),(IFERROR(IF(FIND("_",$B427)&gt;0,INDEX(WP!$A$2:$F$23,MATCH(LEFT($B427,FIND("_",$B427)-1),WP!$E$2:$E$23,0),2),IF(FIND("-",$B427)&gt;0,INDEX(WP!$A$2:$F$23,MATCH(LEFT($B427,FIND("_",$B427)-1),WP!$E$2:$E$23,0),2))),INDEX(WP!$A$2:$F$23,MATCH(Results!$B427,WP!$E$2:$E$23,0),2))))&amp;"-"&amp;$I427),"")</f>
        <v/>
      </c>
      <c r="G427" s="17" t="str">
        <f>IF(LEN(_xlfn.IFNA(IF(IFERROR(IF(FIND("_",$B427)&gt;0,MID($B427,FIND("_",$B427)+1,LEN($B427)),IF(FIND("-",$B427)&gt;0,MID($B427,FIND("-",$B427)+1,LEN($B427)))),"")="",IFERROR(VLOOKUP($F427,WP!$B$2:$C$23,2,0),VLOOKUP($C427,Series!$A$3:$F$11,6,0)),IFERROR(VLOOKUP($F427,WP!$B$2:$C$23,2,0),VLOOKUP($C427,Series!$A$3:$F$11,6,0))&amp;" - "&amp;(IFERROR(IF(FIND("_",$B427)&gt;0,MID($B427,FIND("_",$B427)+1,LEN($B427)),IF(FIND("-",$B427)&gt;0,MID($B427,FIND("-",$B427)+1,LEN($B427)))),""))),""))&lt;64,_xlfn.IFNA(IF(IFERROR(IF(FIND("_",$B427)&gt;0,MID($B427,FIND("_",$B427)+1,LEN($B427)),IF(FIND("-",$B427)&gt;0,MID($B427,FIND("-",$B427)+1,LEN($B427)))),"")="",IFERROR(VLOOKUP($F427,WP!$B$2:$C$23,2,0),VLOOKUP($C427,Series!$A$3:$F$11,6,0)),IFERROR(VLOOKUP($F427,WP!$B$2:$C$23,2,0),VLOOKUP($C427,Series!$A$3:$F$11,6,0))&amp;" - "&amp;(IFERROR(IF(FIND("_",$B427)&gt;0,MID($B427,FIND("_",$B427)+1,LEN($B427)),IF(FIND("-",$B427)&gt;0,MID($B427,FIND("-",$B427)+1,LEN($B427)))),""))),""),LEFT((_xlfn.IFNA(IF(IFERROR(IF(FIND("_",$B427)&gt;0,MID($B427,FIND("_",$B427)+1,LEN($B427)),IF(FIND("-",$B427)&gt;0,MID($B427,FIND("-",$B427)+1,LEN($B427)))),"")="",IFERROR(VLOOKUP($F427,WP!$B$2:$C$23,2,0),VLOOKUP($C427,Series!$A$3:$F$11,6,0)),IFERROR(VLOOKUP($F427,WP!$B$2:$C$23,2,0),VLOOKUP($C427,Series!$A$3:$F$11,6,0))&amp;" - "&amp;(IFERROR(IF(FIND("_",$B427)&gt;0,MID($B427,FIND("_",$B427)+1,LEN($B427)),IF(FIND("-",$B427)&gt;0,MID($B427,FIND("-",$B427)+1,LEN($B427)))),""))),"")),64))</f>
        <v/>
      </c>
      <c r="H427" s="12"/>
      <c r="I427" s="12" t="str">
        <f>IF($D427&lt;&gt;"",COUNTIF($D$7:$D427,"="&amp;$D427),"")</f>
        <v/>
      </c>
      <c r="J427"/>
      <c r="K427" s="8"/>
      <c r="L427"/>
    </row>
    <row r="428" spans="1:12" x14ac:dyDescent="0.3">
      <c r="A428" s="1"/>
      <c r="B428" s="26"/>
      <c r="C428" s="12" t="str">
        <f>_xlfn.IFNA(IFERROR(IF(FIND("_",$B428)&gt;0,INDEX(WP!$A$2:$F$23,MATCH(LEFT($B428,FIND("_",$B428)-1),WP!$E$2:$E$23,0),1),IF(FIND("-",$B428)&gt;0,INDEX(WP!$A$2:$F$23,MATCH(LEFT($B428,FIND("_",$B428)-1),WP!$E$2:$E$23,0),1))),INDEX(WP!$A$2:$F$23,MATCH(Results!$B428,WP!$E$2:$E$23,0),1)),"")</f>
        <v/>
      </c>
      <c r="D428" s="12" t="str">
        <f>IFERROR(IFERROR(IF(RIGHT(INDEX(WP!$A$2:$F$23,MATCH(IF(FIND("_",$B428)&gt;0,LEFT($B428,FIND("_",$B428)-1)),WP!$E$2:$E$23,0),2),6)="Series",LEFT(INDEX(WP!$A$2:$F$23,MATCH(IF(FIND("_",$B428)&gt;0,LEFT($B428,FIND("_",$B428)-1)),WP!$E$2:$E$23,0),2),5),""),IF(RIGHT(INDEX(WP!$A$2:$F$23,MATCH($B428,WP!$E$2:$E$23,0),2),6)="Series",LEFT(INDEX(WP!$A$2:$F$23,MATCH($B428,WP!$E$2:$E$23,0),2),5),"")),"")</f>
        <v/>
      </c>
      <c r="E428" s="17" t="str">
        <f>IFERROR(VLOOKUP(VALUE($D428),Series!$B$3:$F$11,2,0),"")</f>
        <v/>
      </c>
      <c r="F428" s="12" t="str">
        <f>_xlfn.IFNA(IF(IF($D428&lt;&gt;"",COUNTIF($E:$E,"="&amp;$D428),"")="",IF(RIGHT(IFERROR(IF(FIND("_",$B428)&gt;0,INDEX(WP!$A$2:$F$23,MATCH(LEFT($B428,FIND("_",$B428)-1),WP!$E$2:$E$23,0),2),IF(FIND("-",$B428)&gt;0,INDEX(WP!$A$2:$F$23,MATCH(LEFT($B428,FIND("_",$B428)-1),WP!$E$2:$E$23,0),2))),INDEX(WP!$A$2:$F$23,MATCH(Results!$B428,WP!$E$2:$E$23,0),2)),6)="Series",LEFT(IFERROR(IF(FIND("_",$B428)&gt;0,INDEX(WP!$A$2:$F$23,MATCH(LEFT($B428,FIND("_",$B428)-1),WP!$E$2:$E$23,0),2),IF(FIND("-",$B428)&gt;0,INDEX(WP!$A$2:$F$23,MATCH(LEFT($B428,FIND("_",$B428)-1),WP!$E$2:$E$23,0),2))),INDEX(WP!$A$2:$F$23,MATCH(Results!$B428,WP!$E$2:$E$23,0),2)),5),(IFERROR(IF(FIND("_",$B428)&gt;0,INDEX(WP!$A$2:$F$23,MATCH(LEFT($B428,FIND("_",$B428)-1),WP!$E$2:$E$23,0),2),IF(FIND("-",$B428)&gt;0,INDEX(WP!$A$2:$F$23,MATCH(LEFT($B428,FIND("_",$B428)-1),WP!$E$2:$E$23,0),2))),INDEX(WP!$A$2:$F$23,MATCH(Results!$B428,WP!$E$2:$E$23,0),2)))),IF(RIGHT(IFERROR(IF(FIND("_",$B428)&gt;0,INDEX(WP!$A$2:$F$23,MATCH(LEFT($B428,FIND("_",$B428)-1),WP!$E$2:$E$23,0),2),IF(FIND("-",$B428)&gt;0,INDEX(WP!$A$2:$F$23,MATCH(LEFT($B428,FIND("_",$B428)-1),WP!$E$2:$E$23,0),2))),INDEX(WP!$A$2:$F$23,MATCH(Results!$B428,WP!$E$2:$E$23,0),2)),6)="Series",LEFT(IFERROR(IF(FIND("_",$B428)&gt;0,INDEX(WP!$A$2:$F$23,MATCH(LEFT($B428,FIND("_",$B428)-1),WP!$E$2:$E$23,0),2),IF(FIND("-",$B428)&gt;0,INDEX(WP!$A$2:$F$23,MATCH(LEFT($B428,FIND("_",$B428)-1),WP!$E$2:$E$23,0),2))),INDEX(WP!$A$2:$F$23,MATCH(Results!$B428,WP!$E$2:$E$23,0),2)),5),(IFERROR(IF(FIND("_",$B428)&gt;0,INDEX(WP!$A$2:$F$23,MATCH(LEFT($B428,FIND("_",$B428)-1),WP!$E$2:$E$23,0),2),IF(FIND("-",$B428)&gt;0,INDEX(WP!$A$2:$F$23,MATCH(LEFT($B428,FIND("_",$B428)-1),WP!$E$2:$E$23,0),2))),INDEX(WP!$A$2:$F$23,MATCH(Results!$B428,WP!$E$2:$E$23,0),2))))&amp;"-"&amp;$I428),"")</f>
        <v/>
      </c>
      <c r="G428" s="17" t="str">
        <f>IF(LEN(_xlfn.IFNA(IF(IFERROR(IF(FIND("_",$B428)&gt;0,MID($B428,FIND("_",$B428)+1,LEN($B428)),IF(FIND("-",$B428)&gt;0,MID($B428,FIND("-",$B428)+1,LEN($B428)))),"")="",IFERROR(VLOOKUP($F428,WP!$B$2:$C$23,2,0),VLOOKUP($C428,Series!$A$3:$F$11,6,0)),IFERROR(VLOOKUP($F428,WP!$B$2:$C$23,2,0),VLOOKUP($C428,Series!$A$3:$F$11,6,0))&amp;" - "&amp;(IFERROR(IF(FIND("_",$B428)&gt;0,MID($B428,FIND("_",$B428)+1,LEN($B428)),IF(FIND("-",$B428)&gt;0,MID($B428,FIND("-",$B428)+1,LEN($B428)))),""))),""))&lt;64,_xlfn.IFNA(IF(IFERROR(IF(FIND("_",$B428)&gt;0,MID($B428,FIND("_",$B428)+1,LEN($B428)),IF(FIND("-",$B428)&gt;0,MID($B428,FIND("-",$B428)+1,LEN($B428)))),"")="",IFERROR(VLOOKUP($F428,WP!$B$2:$C$23,2,0),VLOOKUP($C428,Series!$A$3:$F$11,6,0)),IFERROR(VLOOKUP($F428,WP!$B$2:$C$23,2,0),VLOOKUP($C428,Series!$A$3:$F$11,6,0))&amp;" - "&amp;(IFERROR(IF(FIND("_",$B428)&gt;0,MID($B428,FIND("_",$B428)+1,LEN($B428)),IF(FIND("-",$B428)&gt;0,MID($B428,FIND("-",$B428)+1,LEN($B428)))),""))),""),LEFT((_xlfn.IFNA(IF(IFERROR(IF(FIND("_",$B428)&gt;0,MID($B428,FIND("_",$B428)+1,LEN($B428)),IF(FIND("-",$B428)&gt;0,MID($B428,FIND("-",$B428)+1,LEN($B428)))),"")="",IFERROR(VLOOKUP($F428,WP!$B$2:$C$23,2,0),VLOOKUP($C428,Series!$A$3:$F$11,6,0)),IFERROR(VLOOKUP($F428,WP!$B$2:$C$23,2,0),VLOOKUP($C428,Series!$A$3:$F$11,6,0))&amp;" - "&amp;(IFERROR(IF(FIND("_",$B428)&gt;0,MID($B428,FIND("_",$B428)+1,LEN($B428)),IF(FIND("-",$B428)&gt;0,MID($B428,FIND("-",$B428)+1,LEN($B428)))),""))),"")),64))</f>
        <v/>
      </c>
      <c r="H428" s="12"/>
      <c r="I428" s="12" t="str">
        <f>IF($D428&lt;&gt;"",COUNTIF($D$7:$D428,"="&amp;$D428),"")</f>
        <v/>
      </c>
      <c r="J428"/>
      <c r="K428" s="8"/>
      <c r="L428"/>
    </row>
    <row r="429" spans="1:12" x14ac:dyDescent="0.3">
      <c r="A429" s="1"/>
      <c r="B429" s="26"/>
      <c r="C429" s="12" t="str">
        <f>_xlfn.IFNA(IFERROR(IF(FIND("_",$B429)&gt;0,INDEX(WP!$A$2:$F$23,MATCH(LEFT($B429,FIND("_",$B429)-1),WP!$E$2:$E$23,0),1),IF(FIND("-",$B429)&gt;0,INDEX(WP!$A$2:$F$23,MATCH(LEFT($B429,FIND("_",$B429)-1),WP!$E$2:$E$23,0),1))),INDEX(WP!$A$2:$F$23,MATCH(Results!$B429,WP!$E$2:$E$23,0),1)),"")</f>
        <v/>
      </c>
      <c r="D429" s="12" t="str">
        <f>IFERROR(IFERROR(IF(RIGHT(INDEX(WP!$A$2:$F$23,MATCH(IF(FIND("_",$B429)&gt;0,LEFT($B429,FIND("_",$B429)-1)),WP!$E$2:$E$23,0),2),6)="Series",LEFT(INDEX(WP!$A$2:$F$23,MATCH(IF(FIND("_",$B429)&gt;0,LEFT($B429,FIND("_",$B429)-1)),WP!$E$2:$E$23,0),2),5),""),IF(RIGHT(INDEX(WP!$A$2:$F$23,MATCH($B429,WP!$E$2:$E$23,0),2),6)="Series",LEFT(INDEX(WP!$A$2:$F$23,MATCH($B429,WP!$E$2:$E$23,0),2),5),"")),"")</f>
        <v/>
      </c>
      <c r="E429" s="17" t="str">
        <f>IFERROR(VLOOKUP(VALUE($D429),Series!$B$3:$F$11,2,0),"")</f>
        <v/>
      </c>
      <c r="F429" s="12" t="str">
        <f>_xlfn.IFNA(IF(IF($D429&lt;&gt;"",COUNTIF($E:$E,"="&amp;$D429),"")="",IF(RIGHT(IFERROR(IF(FIND("_",$B429)&gt;0,INDEX(WP!$A$2:$F$23,MATCH(LEFT($B429,FIND("_",$B429)-1),WP!$E$2:$E$23,0),2),IF(FIND("-",$B429)&gt;0,INDEX(WP!$A$2:$F$23,MATCH(LEFT($B429,FIND("_",$B429)-1),WP!$E$2:$E$23,0),2))),INDEX(WP!$A$2:$F$23,MATCH(Results!$B429,WP!$E$2:$E$23,0),2)),6)="Series",LEFT(IFERROR(IF(FIND("_",$B429)&gt;0,INDEX(WP!$A$2:$F$23,MATCH(LEFT($B429,FIND("_",$B429)-1),WP!$E$2:$E$23,0),2),IF(FIND("-",$B429)&gt;0,INDEX(WP!$A$2:$F$23,MATCH(LEFT($B429,FIND("_",$B429)-1),WP!$E$2:$E$23,0),2))),INDEX(WP!$A$2:$F$23,MATCH(Results!$B429,WP!$E$2:$E$23,0),2)),5),(IFERROR(IF(FIND("_",$B429)&gt;0,INDEX(WP!$A$2:$F$23,MATCH(LEFT($B429,FIND("_",$B429)-1),WP!$E$2:$E$23,0),2),IF(FIND("-",$B429)&gt;0,INDEX(WP!$A$2:$F$23,MATCH(LEFT($B429,FIND("_",$B429)-1),WP!$E$2:$E$23,0),2))),INDEX(WP!$A$2:$F$23,MATCH(Results!$B429,WP!$E$2:$E$23,0),2)))),IF(RIGHT(IFERROR(IF(FIND("_",$B429)&gt;0,INDEX(WP!$A$2:$F$23,MATCH(LEFT($B429,FIND("_",$B429)-1),WP!$E$2:$E$23,0),2),IF(FIND("-",$B429)&gt;0,INDEX(WP!$A$2:$F$23,MATCH(LEFT($B429,FIND("_",$B429)-1),WP!$E$2:$E$23,0),2))),INDEX(WP!$A$2:$F$23,MATCH(Results!$B429,WP!$E$2:$E$23,0),2)),6)="Series",LEFT(IFERROR(IF(FIND("_",$B429)&gt;0,INDEX(WP!$A$2:$F$23,MATCH(LEFT($B429,FIND("_",$B429)-1),WP!$E$2:$E$23,0),2),IF(FIND("-",$B429)&gt;0,INDEX(WP!$A$2:$F$23,MATCH(LEFT($B429,FIND("_",$B429)-1),WP!$E$2:$E$23,0),2))),INDEX(WP!$A$2:$F$23,MATCH(Results!$B429,WP!$E$2:$E$23,0),2)),5),(IFERROR(IF(FIND("_",$B429)&gt;0,INDEX(WP!$A$2:$F$23,MATCH(LEFT($B429,FIND("_",$B429)-1),WP!$E$2:$E$23,0),2),IF(FIND("-",$B429)&gt;0,INDEX(WP!$A$2:$F$23,MATCH(LEFT($B429,FIND("_",$B429)-1),WP!$E$2:$E$23,0),2))),INDEX(WP!$A$2:$F$23,MATCH(Results!$B429,WP!$E$2:$E$23,0),2))))&amp;"-"&amp;$I429),"")</f>
        <v/>
      </c>
      <c r="G429" s="17" t="str">
        <f>IF(LEN(_xlfn.IFNA(IF(IFERROR(IF(FIND("_",$B429)&gt;0,MID($B429,FIND("_",$B429)+1,LEN($B429)),IF(FIND("-",$B429)&gt;0,MID($B429,FIND("-",$B429)+1,LEN($B429)))),"")="",IFERROR(VLOOKUP($F429,WP!$B$2:$C$23,2,0),VLOOKUP($C429,Series!$A$3:$F$11,6,0)),IFERROR(VLOOKUP($F429,WP!$B$2:$C$23,2,0),VLOOKUP($C429,Series!$A$3:$F$11,6,0))&amp;" - "&amp;(IFERROR(IF(FIND("_",$B429)&gt;0,MID($B429,FIND("_",$B429)+1,LEN($B429)),IF(FIND("-",$B429)&gt;0,MID($B429,FIND("-",$B429)+1,LEN($B429)))),""))),""))&lt;64,_xlfn.IFNA(IF(IFERROR(IF(FIND("_",$B429)&gt;0,MID($B429,FIND("_",$B429)+1,LEN($B429)),IF(FIND("-",$B429)&gt;0,MID($B429,FIND("-",$B429)+1,LEN($B429)))),"")="",IFERROR(VLOOKUP($F429,WP!$B$2:$C$23,2,0),VLOOKUP($C429,Series!$A$3:$F$11,6,0)),IFERROR(VLOOKUP($F429,WP!$B$2:$C$23,2,0),VLOOKUP($C429,Series!$A$3:$F$11,6,0))&amp;" - "&amp;(IFERROR(IF(FIND("_",$B429)&gt;0,MID($B429,FIND("_",$B429)+1,LEN($B429)),IF(FIND("-",$B429)&gt;0,MID($B429,FIND("-",$B429)+1,LEN($B429)))),""))),""),LEFT((_xlfn.IFNA(IF(IFERROR(IF(FIND("_",$B429)&gt;0,MID($B429,FIND("_",$B429)+1,LEN($B429)),IF(FIND("-",$B429)&gt;0,MID($B429,FIND("-",$B429)+1,LEN($B429)))),"")="",IFERROR(VLOOKUP($F429,WP!$B$2:$C$23,2,0),VLOOKUP($C429,Series!$A$3:$F$11,6,0)),IFERROR(VLOOKUP($F429,WP!$B$2:$C$23,2,0),VLOOKUP($C429,Series!$A$3:$F$11,6,0))&amp;" - "&amp;(IFERROR(IF(FIND("_",$B429)&gt;0,MID($B429,FIND("_",$B429)+1,LEN($B429)),IF(FIND("-",$B429)&gt;0,MID($B429,FIND("-",$B429)+1,LEN($B429)))),""))),"")),64))</f>
        <v/>
      </c>
      <c r="H429" s="12"/>
      <c r="I429" s="12" t="str">
        <f>IF($D429&lt;&gt;"",COUNTIF($D$7:$D429,"="&amp;$D429),"")</f>
        <v/>
      </c>
      <c r="J429"/>
      <c r="K429" s="8"/>
      <c r="L429"/>
    </row>
    <row r="430" spans="1:12" x14ac:dyDescent="0.3">
      <c r="A430" s="1"/>
      <c r="B430" s="26"/>
      <c r="C430" s="12" t="str">
        <f>_xlfn.IFNA(IFERROR(IF(FIND("_",$B430)&gt;0,INDEX(WP!$A$2:$F$23,MATCH(LEFT($B430,FIND("_",$B430)-1),WP!$E$2:$E$23,0),1),IF(FIND("-",$B430)&gt;0,INDEX(WP!$A$2:$F$23,MATCH(LEFT($B430,FIND("_",$B430)-1),WP!$E$2:$E$23,0),1))),INDEX(WP!$A$2:$F$23,MATCH(Results!$B430,WP!$E$2:$E$23,0),1)),"")</f>
        <v/>
      </c>
      <c r="D430" s="12" t="str">
        <f>IFERROR(IFERROR(IF(RIGHT(INDEX(WP!$A$2:$F$23,MATCH(IF(FIND("_",$B430)&gt;0,LEFT($B430,FIND("_",$B430)-1)),WP!$E$2:$E$23,0),2),6)="Series",LEFT(INDEX(WP!$A$2:$F$23,MATCH(IF(FIND("_",$B430)&gt;0,LEFT($B430,FIND("_",$B430)-1)),WP!$E$2:$E$23,0),2),5),""),IF(RIGHT(INDEX(WP!$A$2:$F$23,MATCH($B430,WP!$E$2:$E$23,0),2),6)="Series",LEFT(INDEX(WP!$A$2:$F$23,MATCH($B430,WP!$E$2:$E$23,0),2),5),"")),"")</f>
        <v/>
      </c>
      <c r="E430" s="17" t="str">
        <f>IFERROR(VLOOKUP(VALUE($D430),Series!$B$3:$F$11,2,0),"")</f>
        <v/>
      </c>
      <c r="F430" s="12" t="str">
        <f>_xlfn.IFNA(IF(IF($D430&lt;&gt;"",COUNTIF($E:$E,"="&amp;$D430),"")="",IF(RIGHT(IFERROR(IF(FIND("_",$B430)&gt;0,INDEX(WP!$A$2:$F$23,MATCH(LEFT($B430,FIND("_",$B430)-1),WP!$E$2:$E$23,0),2),IF(FIND("-",$B430)&gt;0,INDEX(WP!$A$2:$F$23,MATCH(LEFT($B430,FIND("_",$B430)-1),WP!$E$2:$E$23,0),2))),INDEX(WP!$A$2:$F$23,MATCH(Results!$B430,WP!$E$2:$E$23,0),2)),6)="Series",LEFT(IFERROR(IF(FIND("_",$B430)&gt;0,INDEX(WP!$A$2:$F$23,MATCH(LEFT($B430,FIND("_",$B430)-1),WP!$E$2:$E$23,0),2),IF(FIND("-",$B430)&gt;0,INDEX(WP!$A$2:$F$23,MATCH(LEFT($B430,FIND("_",$B430)-1),WP!$E$2:$E$23,0),2))),INDEX(WP!$A$2:$F$23,MATCH(Results!$B430,WP!$E$2:$E$23,0),2)),5),(IFERROR(IF(FIND("_",$B430)&gt;0,INDEX(WP!$A$2:$F$23,MATCH(LEFT($B430,FIND("_",$B430)-1),WP!$E$2:$E$23,0),2),IF(FIND("-",$B430)&gt;0,INDEX(WP!$A$2:$F$23,MATCH(LEFT($B430,FIND("_",$B430)-1),WP!$E$2:$E$23,0),2))),INDEX(WP!$A$2:$F$23,MATCH(Results!$B430,WP!$E$2:$E$23,0),2)))),IF(RIGHT(IFERROR(IF(FIND("_",$B430)&gt;0,INDEX(WP!$A$2:$F$23,MATCH(LEFT($B430,FIND("_",$B430)-1),WP!$E$2:$E$23,0),2),IF(FIND("-",$B430)&gt;0,INDEX(WP!$A$2:$F$23,MATCH(LEFT($B430,FIND("_",$B430)-1),WP!$E$2:$E$23,0),2))),INDEX(WP!$A$2:$F$23,MATCH(Results!$B430,WP!$E$2:$E$23,0),2)),6)="Series",LEFT(IFERROR(IF(FIND("_",$B430)&gt;0,INDEX(WP!$A$2:$F$23,MATCH(LEFT($B430,FIND("_",$B430)-1),WP!$E$2:$E$23,0),2),IF(FIND("-",$B430)&gt;0,INDEX(WP!$A$2:$F$23,MATCH(LEFT($B430,FIND("_",$B430)-1),WP!$E$2:$E$23,0),2))),INDEX(WP!$A$2:$F$23,MATCH(Results!$B430,WP!$E$2:$E$23,0),2)),5),(IFERROR(IF(FIND("_",$B430)&gt;0,INDEX(WP!$A$2:$F$23,MATCH(LEFT($B430,FIND("_",$B430)-1),WP!$E$2:$E$23,0),2),IF(FIND("-",$B430)&gt;0,INDEX(WP!$A$2:$F$23,MATCH(LEFT($B430,FIND("_",$B430)-1),WP!$E$2:$E$23,0),2))),INDEX(WP!$A$2:$F$23,MATCH(Results!$B430,WP!$E$2:$E$23,0),2))))&amp;"-"&amp;$I430),"")</f>
        <v/>
      </c>
      <c r="G430" s="17" t="str">
        <f>IF(LEN(_xlfn.IFNA(IF(IFERROR(IF(FIND("_",$B430)&gt;0,MID($B430,FIND("_",$B430)+1,LEN($B430)),IF(FIND("-",$B430)&gt;0,MID($B430,FIND("-",$B430)+1,LEN($B430)))),"")="",IFERROR(VLOOKUP($F430,WP!$B$2:$C$23,2,0),VLOOKUP($C430,Series!$A$3:$F$11,6,0)),IFERROR(VLOOKUP($F430,WP!$B$2:$C$23,2,0),VLOOKUP($C430,Series!$A$3:$F$11,6,0))&amp;" - "&amp;(IFERROR(IF(FIND("_",$B430)&gt;0,MID($B430,FIND("_",$B430)+1,LEN($B430)),IF(FIND("-",$B430)&gt;0,MID($B430,FIND("-",$B430)+1,LEN($B430)))),""))),""))&lt;64,_xlfn.IFNA(IF(IFERROR(IF(FIND("_",$B430)&gt;0,MID($B430,FIND("_",$B430)+1,LEN($B430)),IF(FIND("-",$B430)&gt;0,MID($B430,FIND("-",$B430)+1,LEN($B430)))),"")="",IFERROR(VLOOKUP($F430,WP!$B$2:$C$23,2,0),VLOOKUP($C430,Series!$A$3:$F$11,6,0)),IFERROR(VLOOKUP($F430,WP!$B$2:$C$23,2,0),VLOOKUP($C430,Series!$A$3:$F$11,6,0))&amp;" - "&amp;(IFERROR(IF(FIND("_",$B430)&gt;0,MID($B430,FIND("_",$B430)+1,LEN($B430)),IF(FIND("-",$B430)&gt;0,MID($B430,FIND("-",$B430)+1,LEN($B430)))),""))),""),LEFT((_xlfn.IFNA(IF(IFERROR(IF(FIND("_",$B430)&gt;0,MID($B430,FIND("_",$B430)+1,LEN($B430)),IF(FIND("-",$B430)&gt;0,MID($B430,FIND("-",$B430)+1,LEN($B430)))),"")="",IFERROR(VLOOKUP($F430,WP!$B$2:$C$23,2,0),VLOOKUP($C430,Series!$A$3:$F$11,6,0)),IFERROR(VLOOKUP($F430,WP!$B$2:$C$23,2,0),VLOOKUP($C430,Series!$A$3:$F$11,6,0))&amp;" - "&amp;(IFERROR(IF(FIND("_",$B430)&gt;0,MID($B430,FIND("_",$B430)+1,LEN($B430)),IF(FIND("-",$B430)&gt;0,MID($B430,FIND("-",$B430)+1,LEN($B430)))),""))),"")),64))</f>
        <v/>
      </c>
      <c r="H430" s="12"/>
      <c r="I430" s="12" t="str">
        <f>IF($D430&lt;&gt;"",COUNTIF($D$7:$D430,"="&amp;$D430),"")</f>
        <v/>
      </c>
      <c r="J430"/>
      <c r="K430" s="8"/>
      <c r="L430"/>
    </row>
    <row r="431" spans="1:12" x14ac:dyDescent="0.3">
      <c r="A431" s="1"/>
      <c r="B431" s="26"/>
      <c r="C431" s="12" t="str">
        <f>_xlfn.IFNA(IFERROR(IF(FIND("_",$B431)&gt;0,INDEX(WP!$A$2:$F$23,MATCH(LEFT($B431,FIND("_",$B431)-1),WP!$E$2:$E$23,0),1),IF(FIND("-",$B431)&gt;0,INDEX(WP!$A$2:$F$23,MATCH(LEFT($B431,FIND("_",$B431)-1),WP!$E$2:$E$23,0),1))),INDEX(WP!$A$2:$F$23,MATCH(Results!$B431,WP!$E$2:$E$23,0),1)),"")</f>
        <v/>
      </c>
      <c r="D431" s="12" t="str">
        <f>IFERROR(IFERROR(IF(RIGHT(INDEX(WP!$A$2:$F$23,MATCH(IF(FIND("_",$B431)&gt;0,LEFT($B431,FIND("_",$B431)-1)),WP!$E$2:$E$23,0),2),6)="Series",LEFT(INDEX(WP!$A$2:$F$23,MATCH(IF(FIND("_",$B431)&gt;0,LEFT($B431,FIND("_",$B431)-1)),WP!$E$2:$E$23,0),2),5),""),IF(RIGHT(INDEX(WP!$A$2:$F$23,MATCH($B431,WP!$E$2:$E$23,0),2),6)="Series",LEFT(INDEX(WP!$A$2:$F$23,MATCH($B431,WP!$E$2:$E$23,0),2),5),"")),"")</f>
        <v/>
      </c>
      <c r="E431" s="17" t="str">
        <f>IFERROR(VLOOKUP(VALUE($D431),Series!$B$3:$F$11,2,0),"")</f>
        <v/>
      </c>
      <c r="F431" s="12" t="str">
        <f>_xlfn.IFNA(IF(IF($D431&lt;&gt;"",COUNTIF($E:$E,"="&amp;$D431),"")="",IF(RIGHT(IFERROR(IF(FIND("_",$B431)&gt;0,INDEX(WP!$A$2:$F$23,MATCH(LEFT($B431,FIND("_",$B431)-1),WP!$E$2:$E$23,0),2),IF(FIND("-",$B431)&gt;0,INDEX(WP!$A$2:$F$23,MATCH(LEFT($B431,FIND("_",$B431)-1),WP!$E$2:$E$23,0),2))),INDEX(WP!$A$2:$F$23,MATCH(Results!$B431,WP!$E$2:$E$23,0),2)),6)="Series",LEFT(IFERROR(IF(FIND("_",$B431)&gt;0,INDEX(WP!$A$2:$F$23,MATCH(LEFT($B431,FIND("_",$B431)-1),WP!$E$2:$E$23,0),2),IF(FIND("-",$B431)&gt;0,INDEX(WP!$A$2:$F$23,MATCH(LEFT($B431,FIND("_",$B431)-1),WP!$E$2:$E$23,0),2))),INDEX(WP!$A$2:$F$23,MATCH(Results!$B431,WP!$E$2:$E$23,0),2)),5),(IFERROR(IF(FIND("_",$B431)&gt;0,INDEX(WP!$A$2:$F$23,MATCH(LEFT($B431,FIND("_",$B431)-1),WP!$E$2:$E$23,0),2),IF(FIND("-",$B431)&gt;0,INDEX(WP!$A$2:$F$23,MATCH(LEFT($B431,FIND("_",$B431)-1),WP!$E$2:$E$23,0),2))),INDEX(WP!$A$2:$F$23,MATCH(Results!$B431,WP!$E$2:$E$23,0),2)))),IF(RIGHT(IFERROR(IF(FIND("_",$B431)&gt;0,INDEX(WP!$A$2:$F$23,MATCH(LEFT($B431,FIND("_",$B431)-1),WP!$E$2:$E$23,0),2),IF(FIND("-",$B431)&gt;0,INDEX(WP!$A$2:$F$23,MATCH(LEFT($B431,FIND("_",$B431)-1),WP!$E$2:$E$23,0),2))),INDEX(WP!$A$2:$F$23,MATCH(Results!$B431,WP!$E$2:$E$23,0),2)),6)="Series",LEFT(IFERROR(IF(FIND("_",$B431)&gt;0,INDEX(WP!$A$2:$F$23,MATCH(LEFT($B431,FIND("_",$B431)-1),WP!$E$2:$E$23,0),2),IF(FIND("-",$B431)&gt;0,INDEX(WP!$A$2:$F$23,MATCH(LEFT($B431,FIND("_",$B431)-1),WP!$E$2:$E$23,0),2))),INDEX(WP!$A$2:$F$23,MATCH(Results!$B431,WP!$E$2:$E$23,0),2)),5),(IFERROR(IF(FIND("_",$B431)&gt;0,INDEX(WP!$A$2:$F$23,MATCH(LEFT($B431,FIND("_",$B431)-1),WP!$E$2:$E$23,0),2),IF(FIND("-",$B431)&gt;0,INDEX(WP!$A$2:$F$23,MATCH(LEFT($B431,FIND("_",$B431)-1),WP!$E$2:$E$23,0),2))),INDEX(WP!$A$2:$F$23,MATCH(Results!$B431,WP!$E$2:$E$23,0),2))))&amp;"-"&amp;$I431),"")</f>
        <v/>
      </c>
      <c r="G431" s="17" t="str">
        <f>IF(LEN(_xlfn.IFNA(IF(IFERROR(IF(FIND("_",$B431)&gt;0,MID($B431,FIND("_",$B431)+1,LEN($B431)),IF(FIND("-",$B431)&gt;0,MID($B431,FIND("-",$B431)+1,LEN($B431)))),"")="",IFERROR(VLOOKUP($F431,WP!$B$2:$C$23,2,0),VLOOKUP($C431,Series!$A$3:$F$11,6,0)),IFERROR(VLOOKUP($F431,WP!$B$2:$C$23,2,0),VLOOKUP($C431,Series!$A$3:$F$11,6,0))&amp;" - "&amp;(IFERROR(IF(FIND("_",$B431)&gt;0,MID($B431,FIND("_",$B431)+1,LEN($B431)),IF(FIND("-",$B431)&gt;0,MID($B431,FIND("-",$B431)+1,LEN($B431)))),""))),""))&lt;64,_xlfn.IFNA(IF(IFERROR(IF(FIND("_",$B431)&gt;0,MID($B431,FIND("_",$B431)+1,LEN($B431)),IF(FIND("-",$B431)&gt;0,MID($B431,FIND("-",$B431)+1,LEN($B431)))),"")="",IFERROR(VLOOKUP($F431,WP!$B$2:$C$23,2,0),VLOOKUP($C431,Series!$A$3:$F$11,6,0)),IFERROR(VLOOKUP($F431,WP!$B$2:$C$23,2,0),VLOOKUP($C431,Series!$A$3:$F$11,6,0))&amp;" - "&amp;(IFERROR(IF(FIND("_",$B431)&gt;0,MID($B431,FIND("_",$B431)+1,LEN($B431)),IF(FIND("-",$B431)&gt;0,MID($B431,FIND("-",$B431)+1,LEN($B431)))),""))),""),LEFT((_xlfn.IFNA(IF(IFERROR(IF(FIND("_",$B431)&gt;0,MID($B431,FIND("_",$B431)+1,LEN($B431)),IF(FIND("-",$B431)&gt;0,MID($B431,FIND("-",$B431)+1,LEN($B431)))),"")="",IFERROR(VLOOKUP($F431,WP!$B$2:$C$23,2,0),VLOOKUP($C431,Series!$A$3:$F$11,6,0)),IFERROR(VLOOKUP($F431,WP!$B$2:$C$23,2,0),VLOOKUP($C431,Series!$A$3:$F$11,6,0))&amp;" - "&amp;(IFERROR(IF(FIND("_",$B431)&gt;0,MID($B431,FIND("_",$B431)+1,LEN($B431)),IF(FIND("-",$B431)&gt;0,MID($B431,FIND("-",$B431)+1,LEN($B431)))),""))),"")),64))</f>
        <v/>
      </c>
      <c r="H431" s="12"/>
      <c r="I431" s="12" t="str">
        <f>IF($D431&lt;&gt;"",COUNTIF($D$7:$D431,"="&amp;$D431),"")</f>
        <v/>
      </c>
      <c r="J431"/>
      <c r="K431" s="8"/>
      <c r="L431"/>
    </row>
    <row r="432" spans="1:12" x14ac:dyDescent="0.3">
      <c r="A432" s="1"/>
      <c r="B432" s="26"/>
      <c r="C432" s="12" t="str">
        <f>_xlfn.IFNA(IFERROR(IF(FIND("_",$B432)&gt;0,INDEX(WP!$A$2:$F$23,MATCH(LEFT($B432,FIND("_",$B432)-1),WP!$E$2:$E$23,0),1),IF(FIND("-",$B432)&gt;0,INDEX(WP!$A$2:$F$23,MATCH(LEFT($B432,FIND("_",$B432)-1),WP!$E$2:$E$23,0),1))),INDEX(WP!$A$2:$F$23,MATCH(Results!$B432,WP!$E$2:$E$23,0),1)),"")</f>
        <v/>
      </c>
      <c r="D432" s="12" t="str">
        <f>IFERROR(IFERROR(IF(RIGHT(INDEX(WP!$A$2:$F$23,MATCH(IF(FIND("_",$B432)&gt;0,LEFT($B432,FIND("_",$B432)-1)),WP!$E$2:$E$23,0),2),6)="Series",LEFT(INDEX(WP!$A$2:$F$23,MATCH(IF(FIND("_",$B432)&gt;0,LEFT($B432,FIND("_",$B432)-1)),WP!$E$2:$E$23,0),2),5),""),IF(RIGHT(INDEX(WP!$A$2:$F$23,MATCH($B432,WP!$E$2:$E$23,0),2),6)="Series",LEFT(INDEX(WP!$A$2:$F$23,MATCH($B432,WP!$E$2:$E$23,0),2),5),"")),"")</f>
        <v/>
      </c>
      <c r="E432" s="17" t="str">
        <f>IFERROR(VLOOKUP(VALUE($D432),Series!$B$3:$F$11,2,0),"")</f>
        <v/>
      </c>
      <c r="F432" s="12" t="str">
        <f>_xlfn.IFNA(IF(IF($D432&lt;&gt;"",COUNTIF($E:$E,"="&amp;$D432),"")="",IF(RIGHT(IFERROR(IF(FIND("_",$B432)&gt;0,INDEX(WP!$A$2:$F$23,MATCH(LEFT($B432,FIND("_",$B432)-1),WP!$E$2:$E$23,0),2),IF(FIND("-",$B432)&gt;0,INDEX(WP!$A$2:$F$23,MATCH(LEFT($B432,FIND("_",$B432)-1),WP!$E$2:$E$23,0),2))),INDEX(WP!$A$2:$F$23,MATCH(Results!$B432,WP!$E$2:$E$23,0),2)),6)="Series",LEFT(IFERROR(IF(FIND("_",$B432)&gt;0,INDEX(WP!$A$2:$F$23,MATCH(LEFT($B432,FIND("_",$B432)-1),WP!$E$2:$E$23,0),2),IF(FIND("-",$B432)&gt;0,INDEX(WP!$A$2:$F$23,MATCH(LEFT($B432,FIND("_",$B432)-1),WP!$E$2:$E$23,0),2))),INDEX(WP!$A$2:$F$23,MATCH(Results!$B432,WP!$E$2:$E$23,0),2)),5),(IFERROR(IF(FIND("_",$B432)&gt;0,INDEX(WP!$A$2:$F$23,MATCH(LEFT($B432,FIND("_",$B432)-1),WP!$E$2:$E$23,0),2),IF(FIND("-",$B432)&gt;0,INDEX(WP!$A$2:$F$23,MATCH(LEFT($B432,FIND("_",$B432)-1),WP!$E$2:$E$23,0),2))),INDEX(WP!$A$2:$F$23,MATCH(Results!$B432,WP!$E$2:$E$23,0),2)))),IF(RIGHT(IFERROR(IF(FIND("_",$B432)&gt;0,INDEX(WP!$A$2:$F$23,MATCH(LEFT($B432,FIND("_",$B432)-1),WP!$E$2:$E$23,0),2),IF(FIND("-",$B432)&gt;0,INDEX(WP!$A$2:$F$23,MATCH(LEFT($B432,FIND("_",$B432)-1),WP!$E$2:$E$23,0),2))),INDEX(WP!$A$2:$F$23,MATCH(Results!$B432,WP!$E$2:$E$23,0),2)),6)="Series",LEFT(IFERROR(IF(FIND("_",$B432)&gt;0,INDEX(WP!$A$2:$F$23,MATCH(LEFT($B432,FIND("_",$B432)-1),WP!$E$2:$E$23,0),2),IF(FIND("-",$B432)&gt;0,INDEX(WP!$A$2:$F$23,MATCH(LEFT($B432,FIND("_",$B432)-1),WP!$E$2:$E$23,0),2))),INDEX(WP!$A$2:$F$23,MATCH(Results!$B432,WP!$E$2:$E$23,0),2)),5),(IFERROR(IF(FIND("_",$B432)&gt;0,INDEX(WP!$A$2:$F$23,MATCH(LEFT($B432,FIND("_",$B432)-1),WP!$E$2:$E$23,0),2),IF(FIND("-",$B432)&gt;0,INDEX(WP!$A$2:$F$23,MATCH(LEFT($B432,FIND("_",$B432)-1),WP!$E$2:$E$23,0),2))),INDEX(WP!$A$2:$F$23,MATCH(Results!$B432,WP!$E$2:$E$23,0),2))))&amp;"-"&amp;$I432),"")</f>
        <v/>
      </c>
      <c r="G432" s="17" t="str">
        <f>IF(LEN(_xlfn.IFNA(IF(IFERROR(IF(FIND("_",$B432)&gt;0,MID($B432,FIND("_",$B432)+1,LEN($B432)),IF(FIND("-",$B432)&gt;0,MID($B432,FIND("-",$B432)+1,LEN($B432)))),"")="",IFERROR(VLOOKUP($F432,WP!$B$2:$C$23,2,0),VLOOKUP($C432,Series!$A$3:$F$11,6,0)),IFERROR(VLOOKUP($F432,WP!$B$2:$C$23,2,0),VLOOKUP($C432,Series!$A$3:$F$11,6,0))&amp;" - "&amp;(IFERROR(IF(FIND("_",$B432)&gt;0,MID($B432,FIND("_",$B432)+1,LEN($B432)),IF(FIND("-",$B432)&gt;0,MID($B432,FIND("-",$B432)+1,LEN($B432)))),""))),""))&lt;64,_xlfn.IFNA(IF(IFERROR(IF(FIND("_",$B432)&gt;0,MID($B432,FIND("_",$B432)+1,LEN($B432)),IF(FIND("-",$B432)&gt;0,MID($B432,FIND("-",$B432)+1,LEN($B432)))),"")="",IFERROR(VLOOKUP($F432,WP!$B$2:$C$23,2,0),VLOOKUP($C432,Series!$A$3:$F$11,6,0)),IFERROR(VLOOKUP($F432,WP!$B$2:$C$23,2,0),VLOOKUP($C432,Series!$A$3:$F$11,6,0))&amp;" - "&amp;(IFERROR(IF(FIND("_",$B432)&gt;0,MID($B432,FIND("_",$B432)+1,LEN($B432)),IF(FIND("-",$B432)&gt;0,MID($B432,FIND("-",$B432)+1,LEN($B432)))),""))),""),LEFT((_xlfn.IFNA(IF(IFERROR(IF(FIND("_",$B432)&gt;0,MID($B432,FIND("_",$B432)+1,LEN($B432)),IF(FIND("-",$B432)&gt;0,MID($B432,FIND("-",$B432)+1,LEN($B432)))),"")="",IFERROR(VLOOKUP($F432,WP!$B$2:$C$23,2,0),VLOOKUP($C432,Series!$A$3:$F$11,6,0)),IFERROR(VLOOKUP($F432,WP!$B$2:$C$23,2,0),VLOOKUP($C432,Series!$A$3:$F$11,6,0))&amp;" - "&amp;(IFERROR(IF(FIND("_",$B432)&gt;0,MID($B432,FIND("_",$B432)+1,LEN($B432)),IF(FIND("-",$B432)&gt;0,MID($B432,FIND("-",$B432)+1,LEN($B432)))),""))),"")),64))</f>
        <v/>
      </c>
      <c r="H432" s="12"/>
      <c r="I432" s="12" t="str">
        <f>IF($D432&lt;&gt;"",COUNTIF($D$7:$D432,"="&amp;$D432),"")</f>
        <v/>
      </c>
      <c r="J432"/>
      <c r="K432" s="8"/>
      <c r="L432"/>
    </row>
    <row r="433" spans="1:12" x14ac:dyDescent="0.3">
      <c r="A433" s="1"/>
      <c r="B433" s="26"/>
      <c r="C433" s="12" t="str">
        <f>_xlfn.IFNA(IFERROR(IF(FIND("_",$B433)&gt;0,INDEX(WP!$A$2:$F$23,MATCH(LEFT($B433,FIND("_",$B433)-1),WP!$E$2:$E$23,0),1),IF(FIND("-",$B433)&gt;0,INDEX(WP!$A$2:$F$23,MATCH(LEFT($B433,FIND("_",$B433)-1),WP!$E$2:$E$23,0),1))),INDEX(WP!$A$2:$F$23,MATCH(Results!$B433,WP!$E$2:$E$23,0),1)),"")</f>
        <v/>
      </c>
      <c r="D433" s="12" t="str">
        <f>IFERROR(IFERROR(IF(RIGHT(INDEX(WP!$A$2:$F$23,MATCH(IF(FIND("_",$B433)&gt;0,LEFT($B433,FIND("_",$B433)-1)),WP!$E$2:$E$23,0),2),6)="Series",LEFT(INDEX(WP!$A$2:$F$23,MATCH(IF(FIND("_",$B433)&gt;0,LEFT($B433,FIND("_",$B433)-1)),WP!$E$2:$E$23,0),2),5),""),IF(RIGHT(INDEX(WP!$A$2:$F$23,MATCH($B433,WP!$E$2:$E$23,0),2),6)="Series",LEFT(INDEX(WP!$A$2:$F$23,MATCH($B433,WP!$E$2:$E$23,0),2),5),"")),"")</f>
        <v/>
      </c>
      <c r="E433" s="17" t="str">
        <f>IFERROR(VLOOKUP(VALUE($D433),Series!$B$3:$F$11,2,0),"")</f>
        <v/>
      </c>
      <c r="F433" s="12" t="str">
        <f>_xlfn.IFNA(IF(IF($D433&lt;&gt;"",COUNTIF($E:$E,"="&amp;$D433),"")="",IF(RIGHT(IFERROR(IF(FIND("_",$B433)&gt;0,INDEX(WP!$A$2:$F$23,MATCH(LEFT($B433,FIND("_",$B433)-1),WP!$E$2:$E$23,0),2),IF(FIND("-",$B433)&gt;0,INDEX(WP!$A$2:$F$23,MATCH(LEFT($B433,FIND("_",$B433)-1),WP!$E$2:$E$23,0),2))),INDEX(WP!$A$2:$F$23,MATCH(Results!$B433,WP!$E$2:$E$23,0),2)),6)="Series",LEFT(IFERROR(IF(FIND("_",$B433)&gt;0,INDEX(WP!$A$2:$F$23,MATCH(LEFT($B433,FIND("_",$B433)-1),WP!$E$2:$E$23,0),2),IF(FIND("-",$B433)&gt;0,INDEX(WP!$A$2:$F$23,MATCH(LEFT($B433,FIND("_",$B433)-1),WP!$E$2:$E$23,0),2))),INDEX(WP!$A$2:$F$23,MATCH(Results!$B433,WP!$E$2:$E$23,0),2)),5),(IFERROR(IF(FIND("_",$B433)&gt;0,INDEX(WP!$A$2:$F$23,MATCH(LEFT($B433,FIND("_",$B433)-1),WP!$E$2:$E$23,0),2),IF(FIND("-",$B433)&gt;0,INDEX(WP!$A$2:$F$23,MATCH(LEFT($B433,FIND("_",$B433)-1),WP!$E$2:$E$23,0),2))),INDEX(WP!$A$2:$F$23,MATCH(Results!$B433,WP!$E$2:$E$23,0),2)))),IF(RIGHT(IFERROR(IF(FIND("_",$B433)&gt;0,INDEX(WP!$A$2:$F$23,MATCH(LEFT($B433,FIND("_",$B433)-1),WP!$E$2:$E$23,0),2),IF(FIND("-",$B433)&gt;0,INDEX(WP!$A$2:$F$23,MATCH(LEFT($B433,FIND("_",$B433)-1),WP!$E$2:$E$23,0),2))),INDEX(WP!$A$2:$F$23,MATCH(Results!$B433,WP!$E$2:$E$23,0),2)),6)="Series",LEFT(IFERROR(IF(FIND("_",$B433)&gt;0,INDEX(WP!$A$2:$F$23,MATCH(LEFT($B433,FIND("_",$B433)-1),WP!$E$2:$E$23,0),2),IF(FIND("-",$B433)&gt;0,INDEX(WP!$A$2:$F$23,MATCH(LEFT($B433,FIND("_",$B433)-1),WP!$E$2:$E$23,0),2))),INDEX(WP!$A$2:$F$23,MATCH(Results!$B433,WP!$E$2:$E$23,0),2)),5),(IFERROR(IF(FIND("_",$B433)&gt;0,INDEX(WP!$A$2:$F$23,MATCH(LEFT($B433,FIND("_",$B433)-1),WP!$E$2:$E$23,0),2),IF(FIND("-",$B433)&gt;0,INDEX(WP!$A$2:$F$23,MATCH(LEFT($B433,FIND("_",$B433)-1),WP!$E$2:$E$23,0),2))),INDEX(WP!$A$2:$F$23,MATCH(Results!$B433,WP!$E$2:$E$23,0),2))))&amp;"-"&amp;$I433),"")</f>
        <v/>
      </c>
      <c r="G433" s="17" t="str">
        <f>IF(LEN(_xlfn.IFNA(IF(IFERROR(IF(FIND("_",$B433)&gt;0,MID($B433,FIND("_",$B433)+1,LEN($B433)),IF(FIND("-",$B433)&gt;0,MID($B433,FIND("-",$B433)+1,LEN($B433)))),"")="",IFERROR(VLOOKUP($F433,WP!$B$2:$C$23,2,0),VLOOKUP($C433,Series!$A$3:$F$11,6,0)),IFERROR(VLOOKUP($F433,WP!$B$2:$C$23,2,0),VLOOKUP($C433,Series!$A$3:$F$11,6,0))&amp;" - "&amp;(IFERROR(IF(FIND("_",$B433)&gt;0,MID($B433,FIND("_",$B433)+1,LEN($B433)),IF(FIND("-",$B433)&gt;0,MID($B433,FIND("-",$B433)+1,LEN($B433)))),""))),""))&lt;64,_xlfn.IFNA(IF(IFERROR(IF(FIND("_",$B433)&gt;0,MID($B433,FIND("_",$B433)+1,LEN($B433)),IF(FIND("-",$B433)&gt;0,MID($B433,FIND("-",$B433)+1,LEN($B433)))),"")="",IFERROR(VLOOKUP($F433,WP!$B$2:$C$23,2,0),VLOOKUP($C433,Series!$A$3:$F$11,6,0)),IFERROR(VLOOKUP($F433,WP!$B$2:$C$23,2,0),VLOOKUP($C433,Series!$A$3:$F$11,6,0))&amp;" - "&amp;(IFERROR(IF(FIND("_",$B433)&gt;0,MID($B433,FIND("_",$B433)+1,LEN($B433)),IF(FIND("-",$B433)&gt;0,MID($B433,FIND("-",$B433)+1,LEN($B433)))),""))),""),LEFT((_xlfn.IFNA(IF(IFERROR(IF(FIND("_",$B433)&gt;0,MID($B433,FIND("_",$B433)+1,LEN($B433)),IF(FIND("-",$B433)&gt;0,MID($B433,FIND("-",$B433)+1,LEN($B433)))),"")="",IFERROR(VLOOKUP($F433,WP!$B$2:$C$23,2,0),VLOOKUP($C433,Series!$A$3:$F$11,6,0)),IFERROR(VLOOKUP($F433,WP!$B$2:$C$23,2,0),VLOOKUP($C433,Series!$A$3:$F$11,6,0))&amp;" - "&amp;(IFERROR(IF(FIND("_",$B433)&gt;0,MID($B433,FIND("_",$B433)+1,LEN($B433)),IF(FIND("-",$B433)&gt;0,MID($B433,FIND("-",$B433)+1,LEN($B433)))),""))),"")),64))</f>
        <v/>
      </c>
      <c r="H433" s="12"/>
      <c r="I433" s="12" t="str">
        <f>IF($D433&lt;&gt;"",COUNTIF($D$7:$D433,"="&amp;$D433),"")</f>
        <v/>
      </c>
      <c r="J433"/>
      <c r="K433" s="8"/>
      <c r="L433"/>
    </row>
    <row r="434" spans="1:12" x14ac:dyDescent="0.3">
      <c r="A434" s="1"/>
      <c r="B434" s="26"/>
      <c r="C434" s="12" t="str">
        <f>_xlfn.IFNA(IFERROR(IF(FIND("_",$B434)&gt;0,INDEX(WP!$A$2:$F$23,MATCH(LEFT($B434,FIND("_",$B434)-1),WP!$E$2:$E$23,0),1),IF(FIND("-",$B434)&gt;0,INDEX(WP!$A$2:$F$23,MATCH(LEFT($B434,FIND("_",$B434)-1),WP!$E$2:$E$23,0),1))),INDEX(WP!$A$2:$F$23,MATCH(Results!$B434,WP!$E$2:$E$23,0),1)),"")</f>
        <v/>
      </c>
      <c r="D434" s="12" t="str">
        <f>IFERROR(IFERROR(IF(RIGHT(INDEX(WP!$A$2:$F$23,MATCH(IF(FIND("_",$B434)&gt;0,LEFT($B434,FIND("_",$B434)-1)),WP!$E$2:$E$23,0),2),6)="Series",LEFT(INDEX(WP!$A$2:$F$23,MATCH(IF(FIND("_",$B434)&gt;0,LEFT($B434,FIND("_",$B434)-1)),WP!$E$2:$E$23,0),2),5),""),IF(RIGHT(INDEX(WP!$A$2:$F$23,MATCH($B434,WP!$E$2:$E$23,0),2),6)="Series",LEFT(INDEX(WP!$A$2:$F$23,MATCH($B434,WP!$E$2:$E$23,0),2),5),"")),"")</f>
        <v/>
      </c>
      <c r="E434" s="17" t="str">
        <f>IFERROR(VLOOKUP(VALUE($D434),Series!$B$3:$F$11,2,0),"")</f>
        <v/>
      </c>
      <c r="F434" s="12" t="str">
        <f>_xlfn.IFNA(IF(IF($D434&lt;&gt;"",COUNTIF($E:$E,"="&amp;$D434),"")="",IF(RIGHT(IFERROR(IF(FIND("_",$B434)&gt;0,INDEX(WP!$A$2:$F$23,MATCH(LEFT($B434,FIND("_",$B434)-1),WP!$E$2:$E$23,0),2),IF(FIND("-",$B434)&gt;0,INDEX(WP!$A$2:$F$23,MATCH(LEFT($B434,FIND("_",$B434)-1),WP!$E$2:$E$23,0),2))),INDEX(WP!$A$2:$F$23,MATCH(Results!$B434,WP!$E$2:$E$23,0),2)),6)="Series",LEFT(IFERROR(IF(FIND("_",$B434)&gt;0,INDEX(WP!$A$2:$F$23,MATCH(LEFT($B434,FIND("_",$B434)-1),WP!$E$2:$E$23,0),2),IF(FIND("-",$B434)&gt;0,INDEX(WP!$A$2:$F$23,MATCH(LEFT($B434,FIND("_",$B434)-1),WP!$E$2:$E$23,0),2))),INDEX(WP!$A$2:$F$23,MATCH(Results!$B434,WP!$E$2:$E$23,0),2)),5),(IFERROR(IF(FIND("_",$B434)&gt;0,INDEX(WP!$A$2:$F$23,MATCH(LEFT($B434,FIND("_",$B434)-1),WP!$E$2:$E$23,0),2),IF(FIND("-",$B434)&gt;0,INDEX(WP!$A$2:$F$23,MATCH(LEFT($B434,FIND("_",$B434)-1),WP!$E$2:$E$23,0),2))),INDEX(WP!$A$2:$F$23,MATCH(Results!$B434,WP!$E$2:$E$23,0),2)))),IF(RIGHT(IFERROR(IF(FIND("_",$B434)&gt;0,INDEX(WP!$A$2:$F$23,MATCH(LEFT($B434,FIND("_",$B434)-1),WP!$E$2:$E$23,0),2),IF(FIND("-",$B434)&gt;0,INDEX(WP!$A$2:$F$23,MATCH(LEFT($B434,FIND("_",$B434)-1),WP!$E$2:$E$23,0),2))),INDEX(WP!$A$2:$F$23,MATCH(Results!$B434,WP!$E$2:$E$23,0),2)),6)="Series",LEFT(IFERROR(IF(FIND("_",$B434)&gt;0,INDEX(WP!$A$2:$F$23,MATCH(LEFT($B434,FIND("_",$B434)-1),WP!$E$2:$E$23,0),2),IF(FIND("-",$B434)&gt;0,INDEX(WP!$A$2:$F$23,MATCH(LEFT($B434,FIND("_",$B434)-1),WP!$E$2:$E$23,0),2))),INDEX(WP!$A$2:$F$23,MATCH(Results!$B434,WP!$E$2:$E$23,0),2)),5),(IFERROR(IF(FIND("_",$B434)&gt;0,INDEX(WP!$A$2:$F$23,MATCH(LEFT($B434,FIND("_",$B434)-1),WP!$E$2:$E$23,0),2),IF(FIND("-",$B434)&gt;0,INDEX(WP!$A$2:$F$23,MATCH(LEFT($B434,FIND("_",$B434)-1),WP!$E$2:$E$23,0),2))),INDEX(WP!$A$2:$F$23,MATCH(Results!$B434,WP!$E$2:$E$23,0),2))))&amp;"-"&amp;$I434),"")</f>
        <v/>
      </c>
      <c r="G434" s="17" t="str">
        <f>IF(LEN(_xlfn.IFNA(IF(IFERROR(IF(FIND("_",$B434)&gt;0,MID($B434,FIND("_",$B434)+1,LEN($B434)),IF(FIND("-",$B434)&gt;0,MID($B434,FIND("-",$B434)+1,LEN($B434)))),"")="",IFERROR(VLOOKUP($F434,WP!$B$2:$C$23,2,0),VLOOKUP($C434,Series!$A$3:$F$11,6,0)),IFERROR(VLOOKUP($F434,WP!$B$2:$C$23,2,0),VLOOKUP($C434,Series!$A$3:$F$11,6,0))&amp;" - "&amp;(IFERROR(IF(FIND("_",$B434)&gt;0,MID($B434,FIND("_",$B434)+1,LEN($B434)),IF(FIND("-",$B434)&gt;0,MID($B434,FIND("-",$B434)+1,LEN($B434)))),""))),""))&lt;64,_xlfn.IFNA(IF(IFERROR(IF(FIND("_",$B434)&gt;0,MID($B434,FIND("_",$B434)+1,LEN($B434)),IF(FIND("-",$B434)&gt;0,MID($B434,FIND("-",$B434)+1,LEN($B434)))),"")="",IFERROR(VLOOKUP($F434,WP!$B$2:$C$23,2,0),VLOOKUP($C434,Series!$A$3:$F$11,6,0)),IFERROR(VLOOKUP($F434,WP!$B$2:$C$23,2,0),VLOOKUP($C434,Series!$A$3:$F$11,6,0))&amp;" - "&amp;(IFERROR(IF(FIND("_",$B434)&gt;0,MID($B434,FIND("_",$B434)+1,LEN($B434)),IF(FIND("-",$B434)&gt;0,MID($B434,FIND("-",$B434)+1,LEN($B434)))),""))),""),LEFT((_xlfn.IFNA(IF(IFERROR(IF(FIND("_",$B434)&gt;0,MID($B434,FIND("_",$B434)+1,LEN($B434)),IF(FIND("-",$B434)&gt;0,MID($B434,FIND("-",$B434)+1,LEN($B434)))),"")="",IFERROR(VLOOKUP($F434,WP!$B$2:$C$23,2,0),VLOOKUP($C434,Series!$A$3:$F$11,6,0)),IFERROR(VLOOKUP($F434,WP!$B$2:$C$23,2,0),VLOOKUP($C434,Series!$A$3:$F$11,6,0))&amp;" - "&amp;(IFERROR(IF(FIND("_",$B434)&gt;0,MID($B434,FIND("_",$B434)+1,LEN($B434)),IF(FIND("-",$B434)&gt;0,MID($B434,FIND("-",$B434)+1,LEN($B434)))),""))),"")),64))</f>
        <v/>
      </c>
      <c r="H434" s="12"/>
      <c r="I434" s="12" t="str">
        <f>IF($D434&lt;&gt;"",COUNTIF($D$7:$D434,"="&amp;$D434),"")</f>
        <v/>
      </c>
      <c r="J434"/>
      <c r="K434" s="8"/>
      <c r="L434"/>
    </row>
    <row r="435" spans="1:12" x14ac:dyDescent="0.3">
      <c r="A435" s="1"/>
      <c r="B435" s="26"/>
      <c r="C435" s="12" t="str">
        <f>_xlfn.IFNA(IFERROR(IF(FIND("_",$B435)&gt;0,INDEX(WP!$A$2:$F$23,MATCH(LEFT($B435,FIND("_",$B435)-1),WP!$E$2:$E$23,0),1),IF(FIND("-",$B435)&gt;0,INDEX(WP!$A$2:$F$23,MATCH(LEFT($B435,FIND("_",$B435)-1),WP!$E$2:$E$23,0),1))),INDEX(WP!$A$2:$F$23,MATCH(Results!$B435,WP!$E$2:$E$23,0),1)),"")</f>
        <v/>
      </c>
      <c r="D435" s="12" t="str">
        <f>IFERROR(IFERROR(IF(RIGHT(INDEX(WP!$A$2:$F$23,MATCH(IF(FIND("_",$B435)&gt;0,LEFT($B435,FIND("_",$B435)-1)),WP!$E$2:$E$23,0),2),6)="Series",LEFT(INDEX(WP!$A$2:$F$23,MATCH(IF(FIND("_",$B435)&gt;0,LEFT($B435,FIND("_",$B435)-1)),WP!$E$2:$E$23,0),2),5),""),IF(RIGHT(INDEX(WP!$A$2:$F$23,MATCH($B435,WP!$E$2:$E$23,0),2),6)="Series",LEFT(INDEX(WP!$A$2:$F$23,MATCH($B435,WP!$E$2:$E$23,0),2),5),"")),"")</f>
        <v/>
      </c>
      <c r="E435" s="17" t="str">
        <f>IFERROR(VLOOKUP(VALUE($D435),Series!$B$3:$F$11,2,0),"")</f>
        <v/>
      </c>
      <c r="F435" s="12" t="str">
        <f>_xlfn.IFNA(IF(IF($D435&lt;&gt;"",COUNTIF($E:$E,"="&amp;$D435),"")="",IF(RIGHT(IFERROR(IF(FIND("_",$B435)&gt;0,INDEX(WP!$A$2:$F$23,MATCH(LEFT($B435,FIND("_",$B435)-1),WP!$E$2:$E$23,0),2),IF(FIND("-",$B435)&gt;0,INDEX(WP!$A$2:$F$23,MATCH(LEFT($B435,FIND("_",$B435)-1),WP!$E$2:$E$23,0),2))),INDEX(WP!$A$2:$F$23,MATCH(Results!$B435,WP!$E$2:$E$23,0),2)),6)="Series",LEFT(IFERROR(IF(FIND("_",$B435)&gt;0,INDEX(WP!$A$2:$F$23,MATCH(LEFT($B435,FIND("_",$B435)-1),WP!$E$2:$E$23,0),2),IF(FIND("-",$B435)&gt;0,INDEX(WP!$A$2:$F$23,MATCH(LEFT($B435,FIND("_",$B435)-1),WP!$E$2:$E$23,0),2))),INDEX(WP!$A$2:$F$23,MATCH(Results!$B435,WP!$E$2:$E$23,0),2)),5),(IFERROR(IF(FIND("_",$B435)&gt;0,INDEX(WP!$A$2:$F$23,MATCH(LEFT($B435,FIND("_",$B435)-1),WP!$E$2:$E$23,0),2),IF(FIND("-",$B435)&gt;0,INDEX(WP!$A$2:$F$23,MATCH(LEFT($B435,FIND("_",$B435)-1),WP!$E$2:$E$23,0),2))),INDEX(WP!$A$2:$F$23,MATCH(Results!$B435,WP!$E$2:$E$23,0),2)))),IF(RIGHT(IFERROR(IF(FIND("_",$B435)&gt;0,INDEX(WP!$A$2:$F$23,MATCH(LEFT($B435,FIND("_",$B435)-1),WP!$E$2:$E$23,0),2),IF(FIND("-",$B435)&gt;0,INDEX(WP!$A$2:$F$23,MATCH(LEFT($B435,FIND("_",$B435)-1),WP!$E$2:$E$23,0),2))),INDEX(WP!$A$2:$F$23,MATCH(Results!$B435,WP!$E$2:$E$23,0),2)),6)="Series",LEFT(IFERROR(IF(FIND("_",$B435)&gt;0,INDEX(WP!$A$2:$F$23,MATCH(LEFT($B435,FIND("_",$B435)-1),WP!$E$2:$E$23,0),2),IF(FIND("-",$B435)&gt;0,INDEX(WP!$A$2:$F$23,MATCH(LEFT($B435,FIND("_",$B435)-1),WP!$E$2:$E$23,0),2))),INDEX(WP!$A$2:$F$23,MATCH(Results!$B435,WP!$E$2:$E$23,0),2)),5),(IFERROR(IF(FIND("_",$B435)&gt;0,INDEX(WP!$A$2:$F$23,MATCH(LEFT($B435,FIND("_",$B435)-1),WP!$E$2:$E$23,0),2),IF(FIND("-",$B435)&gt;0,INDEX(WP!$A$2:$F$23,MATCH(LEFT($B435,FIND("_",$B435)-1),WP!$E$2:$E$23,0),2))),INDEX(WP!$A$2:$F$23,MATCH(Results!$B435,WP!$E$2:$E$23,0),2))))&amp;"-"&amp;$I435),"")</f>
        <v/>
      </c>
      <c r="G435" s="17" t="str">
        <f>IF(LEN(_xlfn.IFNA(IF(IFERROR(IF(FIND("_",$B435)&gt;0,MID($B435,FIND("_",$B435)+1,LEN($B435)),IF(FIND("-",$B435)&gt;0,MID($B435,FIND("-",$B435)+1,LEN($B435)))),"")="",IFERROR(VLOOKUP($F435,WP!$B$2:$C$23,2,0),VLOOKUP($C435,Series!$A$3:$F$11,6,0)),IFERROR(VLOOKUP($F435,WP!$B$2:$C$23,2,0),VLOOKUP($C435,Series!$A$3:$F$11,6,0))&amp;" - "&amp;(IFERROR(IF(FIND("_",$B435)&gt;0,MID($B435,FIND("_",$B435)+1,LEN($B435)),IF(FIND("-",$B435)&gt;0,MID($B435,FIND("-",$B435)+1,LEN($B435)))),""))),""))&lt;64,_xlfn.IFNA(IF(IFERROR(IF(FIND("_",$B435)&gt;0,MID($B435,FIND("_",$B435)+1,LEN($B435)),IF(FIND("-",$B435)&gt;0,MID($B435,FIND("-",$B435)+1,LEN($B435)))),"")="",IFERROR(VLOOKUP($F435,WP!$B$2:$C$23,2,0),VLOOKUP($C435,Series!$A$3:$F$11,6,0)),IFERROR(VLOOKUP($F435,WP!$B$2:$C$23,2,0),VLOOKUP($C435,Series!$A$3:$F$11,6,0))&amp;" - "&amp;(IFERROR(IF(FIND("_",$B435)&gt;0,MID($B435,FIND("_",$B435)+1,LEN($B435)),IF(FIND("-",$B435)&gt;0,MID($B435,FIND("-",$B435)+1,LEN($B435)))),""))),""),LEFT((_xlfn.IFNA(IF(IFERROR(IF(FIND("_",$B435)&gt;0,MID($B435,FIND("_",$B435)+1,LEN($B435)),IF(FIND("-",$B435)&gt;0,MID($B435,FIND("-",$B435)+1,LEN($B435)))),"")="",IFERROR(VLOOKUP($F435,WP!$B$2:$C$23,2,0),VLOOKUP($C435,Series!$A$3:$F$11,6,0)),IFERROR(VLOOKUP($F435,WP!$B$2:$C$23,2,0),VLOOKUP($C435,Series!$A$3:$F$11,6,0))&amp;" - "&amp;(IFERROR(IF(FIND("_",$B435)&gt;0,MID($B435,FIND("_",$B435)+1,LEN($B435)),IF(FIND("-",$B435)&gt;0,MID($B435,FIND("-",$B435)+1,LEN($B435)))),""))),"")),64))</f>
        <v/>
      </c>
      <c r="H435" s="12"/>
      <c r="I435" s="12" t="str">
        <f>IF($D435&lt;&gt;"",COUNTIF($D$7:$D435,"="&amp;$D435),"")</f>
        <v/>
      </c>
      <c r="J435"/>
      <c r="K435" s="8"/>
      <c r="L435"/>
    </row>
    <row r="436" spans="1:12" x14ac:dyDescent="0.3">
      <c r="A436" s="1"/>
      <c r="B436" s="26"/>
      <c r="C436" s="12" t="str">
        <f>_xlfn.IFNA(IFERROR(IF(FIND("_",$B436)&gt;0,INDEX(WP!$A$2:$F$23,MATCH(LEFT($B436,FIND("_",$B436)-1),WP!$E$2:$E$23,0),1),IF(FIND("-",$B436)&gt;0,INDEX(WP!$A$2:$F$23,MATCH(LEFT($B436,FIND("_",$B436)-1),WP!$E$2:$E$23,0),1))),INDEX(WP!$A$2:$F$23,MATCH(Results!$B436,WP!$E$2:$E$23,0),1)),"")</f>
        <v/>
      </c>
      <c r="D436" s="12" t="str">
        <f>IFERROR(IFERROR(IF(RIGHT(INDEX(WP!$A$2:$F$23,MATCH(IF(FIND("_",$B436)&gt;0,LEFT($B436,FIND("_",$B436)-1)),WP!$E$2:$E$23,0),2),6)="Series",LEFT(INDEX(WP!$A$2:$F$23,MATCH(IF(FIND("_",$B436)&gt;0,LEFT($B436,FIND("_",$B436)-1)),WP!$E$2:$E$23,0),2),5),""),IF(RIGHT(INDEX(WP!$A$2:$F$23,MATCH($B436,WP!$E$2:$E$23,0),2),6)="Series",LEFT(INDEX(WP!$A$2:$F$23,MATCH($B436,WP!$E$2:$E$23,0),2),5),"")),"")</f>
        <v/>
      </c>
      <c r="E436" s="17" t="str">
        <f>IFERROR(VLOOKUP(VALUE($D436),Series!$B$3:$F$11,2,0),"")</f>
        <v/>
      </c>
      <c r="F436" s="12" t="str">
        <f>_xlfn.IFNA(IF(IF($D436&lt;&gt;"",COUNTIF($E:$E,"="&amp;$D436),"")="",IF(RIGHT(IFERROR(IF(FIND("_",$B436)&gt;0,INDEX(WP!$A$2:$F$23,MATCH(LEFT($B436,FIND("_",$B436)-1),WP!$E$2:$E$23,0),2),IF(FIND("-",$B436)&gt;0,INDEX(WP!$A$2:$F$23,MATCH(LEFT($B436,FIND("_",$B436)-1),WP!$E$2:$E$23,0),2))),INDEX(WP!$A$2:$F$23,MATCH(Results!$B436,WP!$E$2:$E$23,0),2)),6)="Series",LEFT(IFERROR(IF(FIND("_",$B436)&gt;0,INDEX(WP!$A$2:$F$23,MATCH(LEFT($B436,FIND("_",$B436)-1),WP!$E$2:$E$23,0),2),IF(FIND("-",$B436)&gt;0,INDEX(WP!$A$2:$F$23,MATCH(LEFT($B436,FIND("_",$B436)-1),WP!$E$2:$E$23,0),2))),INDEX(WP!$A$2:$F$23,MATCH(Results!$B436,WP!$E$2:$E$23,0),2)),5),(IFERROR(IF(FIND("_",$B436)&gt;0,INDEX(WP!$A$2:$F$23,MATCH(LEFT($B436,FIND("_",$B436)-1),WP!$E$2:$E$23,0),2),IF(FIND("-",$B436)&gt;0,INDEX(WP!$A$2:$F$23,MATCH(LEFT($B436,FIND("_",$B436)-1),WP!$E$2:$E$23,0),2))),INDEX(WP!$A$2:$F$23,MATCH(Results!$B436,WP!$E$2:$E$23,0),2)))),IF(RIGHT(IFERROR(IF(FIND("_",$B436)&gt;0,INDEX(WP!$A$2:$F$23,MATCH(LEFT($B436,FIND("_",$B436)-1),WP!$E$2:$E$23,0),2),IF(FIND("-",$B436)&gt;0,INDEX(WP!$A$2:$F$23,MATCH(LEFT($B436,FIND("_",$B436)-1),WP!$E$2:$E$23,0),2))),INDEX(WP!$A$2:$F$23,MATCH(Results!$B436,WP!$E$2:$E$23,0),2)),6)="Series",LEFT(IFERROR(IF(FIND("_",$B436)&gt;0,INDEX(WP!$A$2:$F$23,MATCH(LEFT($B436,FIND("_",$B436)-1),WP!$E$2:$E$23,0),2),IF(FIND("-",$B436)&gt;0,INDEX(WP!$A$2:$F$23,MATCH(LEFT($B436,FIND("_",$B436)-1),WP!$E$2:$E$23,0),2))),INDEX(WP!$A$2:$F$23,MATCH(Results!$B436,WP!$E$2:$E$23,0),2)),5),(IFERROR(IF(FIND("_",$B436)&gt;0,INDEX(WP!$A$2:$F$23,MATCH(LEFT($B436,FIND("_",$B436)-1),WP!$E$2:$E$23,0),2),IF(FIND("-",$B436)&gt;0,INDEX(WP!$A$2:$F$23,MATCH(LEFT($B436,FIND("_",$B436)-1),WP!$E$2:$E$23,0),2))),INDEX(WP!$A$2:$F$23,MATCH(Results!$B436,WP!$E$2:$E$23,0),2))))&amp;"-"&amp;$I436),"")</f>
        <v/>
      </c>
      <c r="G436" s="17" t="str">
        <f>IF(LEN(_xlfn.IFNA(IF(IFERROR(IF(FIND("_",$B436)&gt;0,MID($B436,FIND("_",$B436)+1,LEN($B436)),IF(FIND("-",$B436)&gt;0,MID($B436,FIND("-",$B436)+1,LEN($B436)))),"")="",IFERROR(VLOOKUP($F436,WP!$B$2:$C$23,2,0),VLOOKUP($C436,Series!$A$3:$F$11,6,0)),IFERROR(VLOOKUP($F436,WP!$B$2:$C$23,2,0),VLOOKUP($C436,Series!$A$3:$F$11,6,0))&amp;" - "&amp;(IFERROR(IF(FIND("_",$B436)&gt;0,MID($B436,FIND("_",$B436)+1,LEN($B436)),IF(FIND("-",$B436)&gt;0,MID($B436,FIND("-",$B436)+1,LEN($B436)))),""))),""))&lt;64,_xlfn.IFNA(IF(IFERROR(IF(FIND("_",$B436)&gt;0,MID($B436,FIND("_",$B436)+1,LEN($B436)),IF(FIND("-",$B436)&gt;0,MID($B436,FIND("-",$B436)+1,LEN($B436)))),"")="",IFERROR(VLOOKUP($F436,WP!$B$2:$C$23,2,0),VLOOKUP($C436,Series!$A$3:$F$11,6,0)),IFERROR(VLOOKUP($F436,WP!$B$2:$C$23,2,0),VLOOKUP($C436,Series!$A$3:$F$11,6,0))&amp;" - "&amp;(IFERROR(IF(FIND("_",$B436)&gt;0,MID($B436,FIND("_",$B436)+1,LEN($B436)),IF(FIND("-",$B436)&gt;0,MID($B436,FIND("-",$B436)+1,LEN($B436)))),""))),""),LEFT((_xlfn.IFNA(IF(IFERROR(IF(FIND("_",$B436)&gt;0,MID($B436,FIND("_",$B436)+1,LEN($B436)),IF(FIND("-",$B436)&gt;0,MID($B436,FIND("-",$B436)+1,LEN($B436)))),"")="",IFERROR(VLOOKUP($F436,WP!$B$2:$C$23,2,0),VLOOKUP($C436,Series!$A$3:$F$11,6,0)),IFERROR(VLOOKUP($F436,WP!$B$2:$C$23,2,0),VLOOKUP($C436,Series!$A$3:$F$11,6,0))&amp;" - "&amp;(IFERROR(IF(FIND("_",$B436)&gt;0,MID($B436,FIND("_",$B436)+1,LEN($B436)),IF(FIND("-",$B436)&gt;0,MID($B436,FIND("-",$B436)+1,LEN($B436)))),""))),"")),64))</f>
        <v/>
      </c>
      <c r="H436" s="12"/>
      <c r="I436" s="12" t="str">
        <f>IF($D436&lt;&gt;"",COUNTIF($D$7:$D436,"="&amp;$D436),"")</f>
        <v/>
      </c>
      <c r="J436"/>
      <c r="K436" s="8"/>
      <c r="L436"/>
    </row>
    <row r="437" spans="1:12" x14ac:dyDescent="0.3">
      <c r="A437" s="1"/>
      <c r="B437" s="26"/>
      <c r="C437" s="12" t="str">
        <f>_xlfn.IFNA(IFERROR(IF(FIND("_",$B437)&gt;0,INDEX(WP!$A$2:$F$23,MATCH(LEFT($B437,FIND("_",$B437)-1),WP!$E$2:$E$23,0),1),IF(FIND("-",$B437)&gt;0,INDEX(WP!$A$2:$F$23,MATCH(LEFT($B437,FIND("_",$B437)-1),WP!$E$2:$E$23,0),1))),INDEX(WP!$A$2:$F$23,MATCH(Results!$B437,WP!$E$2:$E$23,0),1)),"")</f>
        <v/>
      </c>
      <c r="D437" s="12" t="str">
        <f>IFERROR(IFERROR(IF(RIGHT(INDEX(WP!$A$2:$F$23,MATCH(IF(FIND("_",$B437)&gt;0,LEFT($B437,FIND("_",$B437)-1)),WP!$E$2:$E$23,0),2),6)="Series",LEFT(INDEX(WP!$A$2:$F$23,MATCH(IF(FIND("_",$B437)&gt;0,LEFT($B437,FIND("_",$B437)-1)),WP!$E$2:$E$23,0),2),5),""),IF(RIGHT(INDEX(WP!$A$2:$F$23,MATCH($B437,WP!$E$2:$E$23,0),2),6)="Series",LEFT(INDEX(WP!$A$2:$F$23,MATCH($B437,WP!$E$2:$E$23,0),2),5),"")),"")</f>
        <v/>
      </c>
      <c r="E437" s="17" t="str">
        <f>IFERROR(VLOOKUP(VALUE($D437),Series!$B$3:$F$11,2,0),"")</f>
        <v/>
      </c>
      <c r="F437" s="12" t="str">
        <f>_xlfn.IFNA(IF(IF($D437&lt;&gt;"",COUNTIF($E:$E,"="&amp;$D437),"")="",IF(RIGHT(IFERROR(IF(FIND("_",$B437)&gt;0,INDEX(WP!$A$2:$F$23,MATCH(LEFT($B437,FIND("_",$B437)-1),WP!$E$2:$E$23,0),2),IF(FIND("-",$B437)&gt;0,INDEX(WP!$A$2:$F$23,MATCH(LEFT($B437,FIND("_",$B437)-1),WP!$E$2:$E$23,0),2))),INDEX(WP!$A$2:$F$23,MATCH(Results!$B437,WP!$E$2:$E$23,0),2)),6)="Series",LEFT(IFERROR(IF(FIND("_",$B437)&gt;0,INDEX(WP!$A$2:$F$23,MATCH(LEFT($B437,FIND("_",$B437)-1),WP!$E$2:$E$23,0),2),IF(FIND("-",$B437)&gt;0,INDEX(WP!$A$2:$F$23,MATCH(LEFT($B437,FIND("_",$B437)-1),WP!$E$2:$E$23,0),2))),INDEX(WP!$A$2:$F$23,MATCH(Results!$B437,WP!$E$2:$E$23,0),2)),5),(IFERROR(IF(FIND("_",$B437)&gt;0,INDEX(WP!$A$2:$F$23,MATCH(LEFT($B437,FIND("_",$B437)-1),WP!$E$2:$E$23,0),2),IF(FIND("-",$B437)&gt;0,INDEX(WP!$A$2:$F$23,MATCH(LEFT($B437,FIND("_",$B437)-1),WP!$E$2:$E$23,0),2))),INDEX(WP!$A$2:$F$23,MATCH(Results!$B437,WP!$E$2:$E$23,0),2)))),IF(RIGHT(IFERROR(IF(FIND("_",$B437)&gt;0,INDEX(WP!$A$2:$F$23,MATCH(LEFT($B437,FIND("_",$B437)-1),WP!$E$2:$E$23,0),2),IF(FIND("-",$B437)&gt;0,INDEX(WP!$A$2:$F$23,MATCH(LEFT($B437,FIND("_",$B437)-1),WP!$E$2:$E$23,0),2))),INDEX(WP!$A$2:$F$23,MATCH(Results!$B437,WP!$E$2:$E$23,0),2)),6)="Series",LEFT(IFERROR(IF(FIND("_",$B437)&gt;0,INDEX(WP!$A$2:$F$23,MATCH(LEFT($B437,FIND("_",$B437)-1),WP!$E$2:$E$23,0),2),IF(FIND("-",$B437)&gt;0,INDEX(WP!$A$2:$F$23,MATCH(LEFT($B437,FIND("_",$B437)-1),WP!$E$2:$E$23,0),2))),INDEX(WP!$A$2:$F$23,MATCH(Results!$B437,WP!$E$2:$E$23,0),2)),5),(IFERROR(IF(FIND("_",$B437)&gt;0,INDEX(WP!$A$2:$F$23,MATCH(LEFT($B437,FIND("_",$B437)-1),WP!$E$2:$E$23,0),2),IF(FIND("-",$B437)&gt;0,INDEX(WP!$A$2:$F$23,MATCH(LEFT($B437,FIND("_",$B437)-1),WP!$E$2:$E$23,0),2))),INDEX(WP!$A$2:$F$23,MATCH(Results!$B437,WP!$E$2:$E$23,0),2))))&amp;"-"&amp;$I437),"")</f>
        <v/>
      </c>
      <c r="G437" s="17" t="str">
        <f>IF(LEN(_xlfn.IFNA(IF(IFERROR(IF(FIND("_",$B437)&gt;0,MID($B437,FIND("_",$B437)+1,LEN($B437)),IF(FIND("-",$B437)&gt;0,MID($B437,FIND("-",$B437)+1,LEN($B437)))),"")="",IFERROR(VLOOKUP($F437,WP!$B$2:$C$23,2,0),VLOOKUP($C437,Series!$A$3:$F$11,6,0)),IFERROR(VLOOKUP($F437,WP!$B$2:$C$23,2,0),VLOOKUP($C437,Series!$A$3:$F$11,6,0))&amp;" - "&amp;(IFERROR(IF(FIND("_",$B437)&gt;0,MID($B437,FIND("_",$B437)+1,LEN($B437)),IF(FIND("-",$B437)&gt;0,MID($B437,FIND("-",$B437)+1,LEN($B437)))),""))),""))&lt;64,_xlfn.IFNA(IF(IFERROR(IF(FIND("_",$B437)&gt;0,MID($B437,FIND("_",$B437)+1,LEN($B437)),IF(FIND("-",$B437)&gt;0,MID($B437,FIND("-",$B437)+1,LEN($B437)))),"")="",IFERROR(VLOOKUP($F437,WP!$B$2:$C$23,2,0),VLOOKUP($C437,Series!$A$3:$F$11,6,0)),IFERROR(VLOOKUP($F437,WP!$B$2:$C$23,2,0),VLOOKUP($C437,Series!$A$3:$F$11,6,0))&amp;" - "&amp;(IFERROR(IF(FIND("_",$B437)&gt;0,MID($B437,FIND("_",$B437)+1,LEN($B437)),IF(FIND("-",$B437)&gt;0,MID($B437,FIND("-",$B437)+1,LEN($B437)))),""))),""),LEFT((_xlfn.IFNA(IF(IFERROR(IF(FIND("_",$B437)&gt;0,MID($B437,FIND("_",$B437)+1,LEN($B437)),IF(FIND("-",$B437)&gt;0,MID($B437,FIND("-",$B437)+1,LEN($B437)))),"")="",IFERROR(VLOOKUP($F437,WP!$B$2:$C$23,2,0),VLOOKUP($C437,Series!$A$3:$F$11,6,0)),IFERROR(VLOOKUP($F437,WP!$B$2:$C$23,2,0),VLOOKUP($C437,Series!$A$3:$F$11,6,0))&amp;" - "&amp;(IFERROR(IF(FIND("_",$B437)&gt;0,MID($B437,FIND("_",$B437)+1,LEN($B437)),IF(FIND("-",$B437)&gt;0,MID($B437,FIND("-",$B437)+1,LEN($B437)))),""))),"")),64))</f>
        <v/>
      </c>
      <c r="H437" s="12"/>
      <c r="I437" s="12" t="str">
        <f>IF($D437&lt;&gt;"",COUNTIF($D$7:$D437,"="&amp;$D437),"")</f>
        <v/>
      </c>
      <c r="J437"/>
      <c r="K437" s="8"/>
      <c r="L437"/>
    </row>
    <row r="438" spans="1:12" x14ac:dyDescent="0.3">
      <c r="A438" s="1"/>
      <c r="B438" s="26"/>
      <c r="C438" s="12" t="str">
        <f>_xlfn.IFNA(IFERROR(IF(FIND("_",$B438)&gt;0,INDEX(WP!$A$2:$F$23,MATCH(LEFT($B438,FIND("_",$B438)-1),WP!$E$2:$E$23,0),1),IF(FIND("-",$B438)&gt;0,INDEX(WP!$A$2:$F$23,MATCH(LEFT($B438,FIND("_",$B438)-1),WP!$E$2:$E$23,0),1))),INDEX(WP!$A$2:$F$23,MATCH(Results!$B438,WP!$E$2:$E$23,0),1)),"")</f>
        <v/>
      </c>
      <c r="D438" s="12" t="str">
        <f>IFERROR(IFERROR(IF(RIGHT(INDEX(WP!$A$2:$F$23,MATCH(IF(FIND("_",$B438)&gt;0,LEFT($B438,FIND("_",$B438)-1)),WP!$E$2:$E$23,0),2),6)="Series",LEFT(INDEX(WP!$A$2:$F$23,MATCH(IF(FIND("_",$B438)&gt;0,LEFT($B438,FIND("_",$B438)-1)),WP!$E$2:$E$23,0),2),5),""),IF(RIGHT(INDEX(WP!$A$2:$F$23,MATCH($B438,WP!$E$2:$E$23,0),2),6)="Series",LEFT(INDEX(WP!$A$2:$F$23,MATCH($B438,WP!$E$2:$E$23,0),2),5),"")),"")</f>
        <v/>
      </c>
      <c r="E438" s="17" t="str">
        <f>IFERROR(VLOOKUP(VALUE($D438),Series!$B$3:$F$11,2,0),"")</f>
        <v/>
      </c>
      <c r="F438" s="12" t="str">
        <f>_xlfn.IFNA(IF(IF($D438&lt;&gt;"",COUNTIF($E:$E,"="&amp;$D438),"")="",IF(RIGHT(IFERROR(IF(FIND("_",$B438)&gt;0,INDEX(WP!$A$2:$F$23,MATCH(LEFT($B438,FIND("_",$B438)-1),WP!$E$2:$E$23,0),2),IF(FIND("-",$B438)&gt;0,INDEX(WP!$A$2:$F$23,MATCH(LEFT($B438,FIND("_",$B438)-1),WP!$E$2:$E$23,0),2))),INDEX(WP!$A$2:$F$23,MATCH(Results!$B438,WP!$E$2:$E$23,0),2)),6)="Series",LEFT(IFERROR(IF(FIND("_",$B438)&gt;0,INDEX(WP!$A$2:$F$23,MATCH(LEFT($B438,FIND("_",$B438)-1),WP!$E$2:$E$23,0),2),IF(FIND("-",$B438)&gt;0,INDEX(WP!$A$2:$F$23,MATCH(LEFT($B438,FIND("_",$B438)-1),WP!$E$2:$E$23,0),2))),INDEX(WP!$A$2:$F$23,MATCH(Results!$B438,WP!$E$2:$E$23,0),2)),5),(IFERROR(IF(FIND("_",$B438)&gt;0,INDEX(WP!$A$2:$F$23,MATCH(LEFT($B438,FIND("_",$B438)-1),WP!$E$2:$E$23,0),2),IF(FIND("-",$B438)&gt;0,INDEX(WP!$A$2:$F$23,MATCH(LEFT($B438,FIND("_",$B438)-1),WP!$E$2:$E$23,0),2))),INDEX(WP!$A$2:$F$23,MATCH(Results!$B438,WP!$E$2:$E$23,0),2)))),IF(RIGHT(IFERROR(IF(FIND("_",$B438)&gt;0,INDEX(WP!$A$2:$F$23,MATCH(LEFT($B438,FIND("_",$B438)-1),WP!$E$2:$E$23,0),2),IF(FIND("-",$B438)&gt;0,INDEX(WP!$A$2:$F$23,MATCH(LEFT($B438,FIND("_",$B438)-1),WP!$E$2:$E$23,0),2))),INDEX(WP!$A$2:$F$23,MATCH(Results!$B438,WP!$E$2:$E$23,0),2)),6)="Series",LEFT(IFERROR(IF(FIND("_",$B438)&gt;0,INDEX(WP!$A$2:$F$23,MATCH(LEFT($B438,FIND("_",$B438)-1),WP!$E$2:$E$23,0),2),IF(FIND("-",$B438)&gt;0,INDEX(WP!$A$2:$F$23,MATCH(LEFT($B438,FIND("_",$B438)-1),WP!$E$2:$E$23,0),2))),INDEX(WP!$A$2:$F$23,MATCH(Results!$B438,WP!$E$2:$E$23,0),2)),5),(IFERROR(IF(FIND("_",$B438)&gt;0,INDEX(WP!$A$2:$F$23,MATCH(LEFT($B438,FIND("_",$B438)-1),WP!$E$2:$E$23,0),2),IF(FIND("-",$B438)&gt;0,INDEX(WP!$A$2:$F$23,MATCH(LEFT($B438,FIND("_",$B438)-1),WP!$E$2:$E$23,0),2))),INDEX(WP!$A$2:$F$23,MATCH(Results!$B438,WP!$E$2:$E$23,0),2))))&amp;"-"&amp;$I438),"")</f>
        <v/>
      </c>
      <c r="G438" s="17" t="str">
        <f>IF(LEN(_xlfn.IFNA(IF(IFERROR(IF(FIND("_",$B438)&gt;0,MID($B438,FIND("_",$B438)+1,LEN($B438)),IF(FIND("-",$B438)&gt;0,MID($B438,FIND("-",$B438)+1,LEN($B438)))),"")="",IFERROR(VLOOKUP($F438,WP!$B$2:$C$23,2,0),VLOOKUP($C438,Series!$A$3:$F$11,6,0)),IFERROR(VLOOKUP($F438,WP!$B$2:$C$23,2,0),VLOOKUP($C438,Series!$A$3:$F$11,6,0))&amp;" - "&amp;(IFERROR(IF(FIND("_",$B438)&gt;0,MID($B438,FIND("_",$B438)+1,LEN($B438)),IF(FIND("-",$B438)&gt;0,MID($B438,FIND("-",$B438)+1,LEN($B438)))),""))),""))&lt;64,_xlfn.IFNA(IF(IFERROR(IF(FIND("_",$B438)&gt;0,MID($B438,FIND("_",$B438)+1,LEN($B438)),IF(FIND("-",$B438)&gt;0,MID($B438,FIND("-",$B438)+1,LEN($B438)))),"")="",IFERROR(VLOOKUP($F438,WP!$B$2:$C$23,2,0),VLOOKUP($C438,Series!$A$3:$F$11,6,0)),IFERROR(VLOOKUP($F438,WP!$B$2:$C$23,2,0),VLOOKUP($C438,Series!$A$3:$F$11,6,0))&amp;" - "&amp;(IFERROR(IF(FIND("_",$B438)&gt;0,MID($B438,FIND("_",$B438)+1,LEN($B438)),IF(FIND("-",$B438)&gt;0,MID($B438,FIND("-",$B438)+1,LEN($B438)))),""))),""),LEFT((_xlfn.IFNA(IF(IFERROR(IF(FIND("_",$B438)&gt;0,MID($B438,FIND("_",$B438)+1,LEN($B438)),IF(FIND("-",$B438)&gt;0,MID($B438,FIND("-",$B438)+1,LEN($B438)))),"")="",IFERROR(VLOOKUP($F438,WP!$B$2:$C$23,2,0),VLOOKUP($C438,Series!$A$3:$F$11,6,0)),IFERROR(VLOOKUP($F438,WP!$B$2:$C$23,2,0),VLOOKUP($C438,Series!$A$3:$F$11,6,0))&amp;" - "&amp;(IFERROR(IF(FIND("_",$B438)&gt;0,MID($B438,FIND("_",$B438)+1,LEN($B438)),IF(FIND("-",$B438)&gt;0,MID($B438,FIND("-",$B438)+1,LEN($B438)))),""))),"")),64))</f>
        <v/>
      </c>
      <c r="H438" s="12"/>
      <c r="I438" s="12" t="str">
        <f>IF($D438&lt;&gt;"",COUNTIF($D$7:$D438,"="&amp;$D438),"")</f>
        <v/>
      </c>
      <c r="J438"/>
      <c r="K438" s="8"/>
      <c r="L438"/>
    </row>
    <row r="439" spans="1:12" x14ac:dyDescent="0.3">
      <c r="A439" s="1"/>
      <c r="B439" s="26"/>
      <c r="C439" s="12" t="str">
        <f>_xlfn.IFNA(IFERROR(IF(FIND("_",$B439)&gt;0,INDEX(WP!$A$2:$F$23,MATCH(LEFT($B439,FIND("_",$B439)-1),WP!$E$2:$E$23,0),1),IF(FIND("-",$B439)&gt;0,INDEX(WP!$A$2:$F$23,MATCH(LEFT($B439,FIND("_",$B439)-1),WP!$E$2:$E$23,0),1))),INDEX(WP!$A$2:$F$23,MATCH(Results!$B439,WP!$E$2:$E$23,0),1)),"")</f>
        <v/>
      </c>
      <c r="D439" s="12" t="str">
        <f>IFERROR(IFERROR(IF(RIGHT(INDEX(WP!$A$2:$F$23,MATCH(IF(FIND("_",$B439)&gt;0,LEFT($B439,FIND("_",$B439)-1)),WP!$E$2:$E$23,0),2),6)="Series",LEFT(INDEX(WP!$A$2:$F$23,MATCH(IF(FIND("_",$B439)&gt;0,LEFT($B439,FIND("_",$B439)-1)),WP!$E$2:$E$23,0),2),5),""),IF(RIGHT(INDEX(WP!$A$2:$F$23,MATCH($B439,WP!$E$2:$E$23,0),2),6)="Series",LEFT(INDEX(WP!$A$2:$F$23,MATCH($B439,WP!$E$2:$E$23,0),2),5),"")),"")</f>
        <v/>
      </c>
      <c r="E439" s="17" t="str">
        <f>IFERROR(VLOOKUP(VALUE($D439),Series!$B$3:$F$11,2,0),"")</f>
        <v/>
      </c>
      <c r="F439" s="12" t="str">
        <f>_xlfn.IFNA(IF(IF($D439&lt;&gt;"",COUNTIF($E:$E,"="&amp;$D439),"")="",IF(RIGHT(IFERROR(IF(FIND("_",$B439)&gt;0,INDEX(WP!$A$2:$F$23,MATCH(LEFT($B439,FIND("_",$B439)-1),WP!$E$2:$E$23,0),2),IF(FIND("-",$B439)&gt;0,INDEX(WP!$A$2:$F$23,MATCH(LEFT($B439,FIND("_",$B439)-1),WP!$E$2:$E$23,0),2))),INDEX(WP!$A$2:$F$23,MATCH(Results!$B439,WP!$E$2:$E$23,0),2)),6)="Series",LEFT(IFERROR(IF(FIND("_",$B439)&gt;0,INDEX(WP!$A$2:$F$23,MATCH(LEFT($B439,FIND("_",$B439)-1),WP!$E$2:$E$23,0),2),IF(FIND("-",$B439)&gt;0,INDEX(WP!$A$2:$F$23,MATCH(LEFT($B439,FIND("_",$B439)-1),WP!$E$2:$E$23,0),2))),INDEX(WP!$A$2:$F$23,MATCH(Results!$B439,WP!$E$2:$E$23,0),2)),5),(IFERROR(IF(FIND("_",$B439)&gt;0,INDEX(WP!$A$2:$F$23,MATCH(LEFT($B439,FIND("_",$B439)-1),WP!$E$2:$E$23,0),2),IF(FIND("-",$B439)&gt;0,INDEX(WP!$A$2:$F$23,MATCH(LEFT($B439,FIND("_",$B439)-1),WP!$E$2:$E$23,0),2))),INDEX(WP!$A$2:$F$23,MATCH(Results!$B439,WP!$E$2:$E$23,0),2)))),IF(RIGHT(IFERROR(IF(FIND("_",$B439)&gt;0,INDEX(WP!$A$2:$F$23,MATCH(LEFT($B439,FIND("_",$B439)-1),WP!$E$2:$E$23,0),2),IF(FIND("-",$B439)&gt;0,INDEX(WP!$A$2:$F$23,MATCH(LEFT($B439,FIND("_",$B439)-1),WP!$E$2:$E$23,0),2))),INDEX(WP!$A$2:$F$23,MATCH(Results!$B439,WP!$E$2:$E$23,0),2)),6)="Series",LEFT(IFERROR(IF(FIND("_",$B439)&gt;0,INDEX(WP!$A$2:$F$23,MATCH(LEFT($B439,FIND("_",$B439)-1),WP!$E$2:$E$23,0),2),IF(FIND("-",$B439)&gt;0,INDEX(WP!$A$2:$F$23,MATCH(LEFT($B439,FIND("_",$B439)-1),WP!$E$2:$E$23,0),2))),INDEX(WP!$A$2:$F$23,MATCH(Results!$B439,WP!$E$2:$E$23,0),2)),5),(IFERROR(IF(FIND("_",$B439)&gt;0,INDEX(WP!$A$2:$F$23,MATCH(LEFT($B439,FIND("_",$B439)-1),WP!$E$2:$E$23,0),2),IF(FIND("-",$B439)&gt;0,INDEX(WP!$A$2:$F$23,MATCH(LEFT($B439,FIND("_",$B439)-1),WP!$E$2:$E$23,0),2))),INDEX(WP!$A$2:$F$23,MATCH(Results!$B439,WP!$E$2:$E$23,0),2))))&amp;"-"&amp;$I439),"")</f>
        <v/>
      </c>
      <c r="G439" s="17" t="str">
        <f>IF(LEN(_xlfn.IFNA(IF(IFERROR(IF(FIND("_",$B439)&gt;0,MID($B439,FIND("_",$B439)+1,LEN($B439)),IF(FIND("-",$B439)&gt;0,MID($B439,FIND("-",$B439)+1,LEN($B439)))),"")="",IFERROR(VLOOKUP($F439,WP!$B$2:$C$23,2,0),VLOOKUP($C439,Series!$A$3:$F$11,6,0)),IFERROR(VLOOKUP($F439,WP!$B$2:$C$23,2,0),VLOOKUP($C439,Series!$A$3:$F$11,6,0))&amp;" - "&amp;(IFERROR(IF(FIND("_",$B439)&gt;0,MID($B439,FIND("_",$B439)+1,LEN($B439)),IF(FIND("-",$B439)&gt;0,MID($B439,FIND("-",$B439)+1,LEN($B439)))),""))),""))&lt;64,_xlfn.IFNA(IF(IFERROR(IF(FIND("_",$B439)&gt;0,MID($B439,FIND("_",$B439)+1,LEN($B439)),IF(FIND("-",$B439)&gt;0,MID($B439,FIND("-",$B439)+1,LEN($B439)))),"")="",IFERROR(VLOOKUP($F439,WP!$B$2:$C$23,2,0),VLOOKUP($C439,Series!$A$3:$F$11,6,0)),IFERROR(VLOOKUP($F439,WP!$B$2:$C$23,2,0),VLOOKUP($C439,Series!$A$3:$F$11,6,0))&amp;" - "&amp;(IFERROR(IF(FIND("_",$B439)&gt;0,MID($B439,FIND("_",$B439)+1,LEN($B439)),IF(FIND("-",$B439)&gt;0,MID($B439,FIND("-",$B439)+1,LEN($B439)))),""))),""),LEFT((_xlfn.IFNA(IF(IFERROR(IF(FIND("_",$B439)&gt;0,MID($B439,FIND("_",$B439)+1,LEN($B439)),IF(FIND("-",$B439)&gt;0,MID($B439,FIND("-",$B439)+1,LEN($B439)))),"")="",IFERROR(VLOOKUP($F439,WP!$B$2:$C$23,2,0),VLOOKUP($C439,Series!$A$3:$F$11,6,0)),IFERROR(VLOOKUP($F439,WP!$B$2:$C$23,2,0),VLOOKUP($C439,Series!$A$3:$F$11,6,0))&amp;" - "&amp;(IFERROR(IF(FIND("_",$B439)&gt;0,MID($B439,FIND("_",$B439)+1,LEN($B439)),IF(FIND("-",$B439)&gt;0,MID($B439,FIND("-",$B439)+1,LEN($B439)))),""))),"")),64))</f>
        <v/>
      </c>
      <c r="H439" s="12"/>
      <c r="I439" s="12" t="str">
        <f>IF($D439&lt;&gt;"",COUNTIF($D$7:$D439,"="&amp;$D439),"")</f>
        <v/>
      </c>
      <c r="J439"/>
      <c r="K439" s="8"/>
      <c r="L439"/>
    </row>
    <row r="440" spans="1:12" x14ac:dyDescent="0.3">
      <c r="A440" s="1"/>
      <c r="B440" s="26"/>
      <c r="C440" s="12" t="str">
        <f>_xlfn.IFNA(IFERROR(IF(FIND("_",$B440)&gt;0,INDEX(WP!$A$2:$F$23,MATCH(LEFT($B440,FIND("_",$B440)-1),WP!$E$2:$E$23,0),1),IF(FIND("-",$B440)&gt;0,INDEX(WP!$A$2:$F$23,MATCH(LEFT($B440,FIND("_",$B440)-1),WP!$E$2:$E$23,0),1))),INDEX(WP!$A$2:$F$23,MATCH(Results!$B440,WP!$E$2:$E$23,0),1)),"")</f>
        <v/>
      </c>
      <c r="D440" s="12" t="str">
        <f>IFERROR(IFERROR(IF(RIGHT(INDEX(WP!$A$2:$F$23,MATCH(IF(FIND("_",$B440)&gt;0,LEFT($B440,FIND("_",$B440)-1)),WP!$E$2:$E$23,0),2),6)="Series",LEFT(INDEX(WP!$A$2:$F$23,MATCH(IF(FIND("_",$B440)&gt;0,LEFT($B440,FIND("_",$B440)-1)),WP!$E$2:$E$23,0),2),5),""),IF(RIGHT(INDEX(WP!$A$2:$F$23,MATCH($B440,WP!$E$2:$E$23,0),2),6)="Series",LEFT(INDEX(WP!$A$2:$F$23,MATCH($B440,WP!$E$2:$E$23,0),2),5),"")),"")</f>
        <v/>
      </c>
      <c r="E440" s="17" t="str">
        <f>IFERROR(VLOOKUP(VALUE($D440),Series!$B$3:$F$11,2,0),"")</f>
        <v/>
      </c>
      <c r="F440" s="12" t="str">
        <f>_xlfn.IFNA(IF(IF($D440&lt;&gt;"",COUNTIF($E:$E,"="&amp;$D440),"")="",IF(RIGHT(IFERROR(IF(FIND("_",$B440)&gt;0,INDEX(WP!$A$2:$F$23,MATCH(LEFT($B440,FIND("_",$B440)-1),WP!$E$2:$E$23,0),2),IF(FIND("-",$B440)&gt;0,INDEX(WP!$A$2:$F$23,MATCH(LEFT($B440,FIND("_",$B440)-1),WP!$E$2:$E$23,0),2))),INDEX(WP!$A$2:$F$23,MATCH(Results!$B440,WP!$E$2:$E$23,0),2)),6)="Series",LEFT(IFERROR(IF(FIND("_",$B440)&gt;0,INDEX(WP!$A$2:$F$23,MATCH(LEFT($B440,FIND("_",$B440)-1),WP!$E$2:$E$23,0),2),IF(FIND("-",$B440)&gt;0,INDEX(WP!$A$2:$F$23,MATCH(LEFT($B440,FIND("_",$B440)-1),WP!$E$2:$E$23,0),2))),INDEX(WP!$A$2:$F$23,MATCH(Results!$B440,WP!$E$2:$E$23,0),2)),5),(IFERROR(IF(FIND("_",$B440)&gt;0,INDEX(WP!$A$2:$F$23,MATCH(LEFT($B440,FIND("_",$B440)-1),WP!$E$2:$E$23,0),2),IF(FIND("-",$B440)&gt;0,INDEX(WP!$A$2:$F$23,MATCH(LEFT($B440,FIND("_",$B440)-1),WP!$E$2:$E$23,0),2))),INDEX(WP!$A$2:$F$23,MATCH(Results!$B440,WP!$E$2:$E$23,0),2)))),IF(RIGHT(IFERROR(IF(FIND("_",$B440)&gt;0,INDEX(WP!$A$2:$F$23,MATCH(LEFT($B440,FIND("_",$B440)-1),WP!$E$2:$E$23,0),2),IF(FIND("-",$B440)&gt;0,INDEX(WP!$A$2:$F$23,MATCH(LEFT($B440,FIND("_",$B440)-1),WP!$E$2:$E$23,0),2))),INDEX(WP!$A$2:$F$23,MATCH(Results!$B440,WP!$E$2:$E$23,0),2)),6)="Series",LEFT(IFERROR(IF(FIND("_",$B440)&gt;0,INDEX(WP!$A$2:$F$23,MATCH(LEFT($B440,FIND("_",$B440)-1),WP!$E$2:$E$23,0),2),IF(FIND("-",$B440)&gt;0,INDEX(WP!$A$2:$F$23,MATCH(LEFT($B440,FIND("_",$B440)-1),WP!$E$2:$E$23,0),2))),INDEX(WP!$A$2:$F$23,MATCH(Results!$B440,WP!$E$2:$E$23,0),2)),5),(IFERROR(IF(FIND("_",$B440)&gt;0,INDEX(WP!$A$2:$F$23,MATCH(LEFT($B440,FIND("_",$B440)-1),WP!$E$2:$E$23,0),2),IF(FIND("-",$B440)&gt;0,INDEX(WP!$A$2:$F$23,MATCH(LEFT($B440,FIND("_",$B440)-1),WP!$E$2:$E$23,0),2))),INDEX(WP!$A$2:$F$23,MATCH(Results!$B440,WP!$E$2:$E$23,0),2))))&amp;"-"&amp;$I440),"")</f>
        <v/>
      </c>
      <c r="G440" s="17" t="str">
        <f>IF(LEN(_xlfn.IFNA(IF(IFERROR(IF(FIND("_",$B440)&gt;0,MID($B440,FIND("_",$B440)+1,LEN($B440)),IF(FIND("-",$B440)&gt;0,MID($B440,FIND("-",$B440)+1,LEN($B440)))),"")="",IFERROR(VLOOKUP($F440,WP!$B$2:$C$23,2,0),VLOOKUP($C440,Series!$A$3:$F$11,6,0)),IFERROR(VLOOKUP($F440,WP!$B$2:$C$23,2,0),VLOOKUP($C440,Series!$A$3:$F$11,6,0))&amp;" - "&amp;(IFERROR(IF(FIND("_",$B440)&gt;0,MID($B440,FIND("_",$B440)+1,LEN($B440)),IF(FIND("-",$B440)&gt;0,MID($B440,FIND("-",$B440)+1,LEN($B440)))),""))),""))&lt;64,_xlfn.IFNA(IF(IFERROR(IF(FIND("_",$B440)&gt;0,MID($B440,FIND("_",$B440)+1,LEN($B440)),IF(FIND("-",$B440)&gt;0,MID($B440,FIND("-",$B440)+1,LEN($B440)))),"")="",IFERROR(VLOOKUP($F440,WP!$B$2:$C$23,2,0),VLOOKUP($C440,Series!$A$3:$F$11,6,0)),IFERROR(VLOOKUP($F440,WP!$B$2:$C$23,2,0),VLOOKUP($C440,Series!$A$3:$F$11,6,0))&amp;" - "&amp;(IFERROR(IF(FIND("_",$B440)&gt;0,MID($B440,FIND("_",$B440)+1,LEN($B440)),IF(FIND("-",$B440)&gt;0,MID($B440,FIND("-",$B440)+1,LEN($B440)))),""))),""),LEFT((_xlfn.IFNA(IF(IFERROR(IF(FIND("_",$B440)&gt;0,MID($B440,FIND("_",$B440)+1,LEN($B440)),IF(FIND("-",$B440)&gt;0,MID($B440,FIND("-",$B440)+1,LEN($B440)))),"")="",IFERROR(VLOOKUP($F440,WP!$B$2:$C$23,2,0),VLOOKUP($C440,Series!$A$3:$F$11,6,0)),IFERROR(VLOOKUP($F440,WP!$B$2:$C$23,2,0),VLOOKUP($C440,Series!$A$3:$F$11,6,0))&amp;" - "&amp;(IFERROR(IF(FIND("_",$B440)&gt;0,MID($B440,FIND("_",$B440)+1,LEN($B440)),IF(FIND("-",$B440)&gt;0,MID($B440,FIND("-",$B440)+1,LEN($B440)))),""))),"")),64))</f>
        <v/>
      </c>
      <c r="H440" s="12"/>
      <c r="I440" s="12" t="str">
        <f>IF($D440&lt;&gt;"",COUNTIF($D$7:$D440,"="&amp;$D440),"")</f>
        <v/>
      </c>
      <c r="J440"/>
      <c r="K440" s="8"/>
      <c r="L440"/>
    </row>
    <row r="441" spans="1:12" x14ac:dyDescent="0.3">
      <c r="A441" s="1"/>
      <c r="B441" s="26"/>
      <c r="C441" s="12" t="str">
        <f>_xlfn.IFNA(IFERROR(IF(FIND("_",$B441)&gt;0,INDEX(WP!$A$2:$F$23,MATCH(LEFT($B441,FIND("_",$B441)-1),WP!$E$2:$E$23,0),1),IF(FIND("-",$B441)&gt;0,INDEX(WP!$A$2:$F$23,MATCH(LEFT($B441,FIND("_",$B441)-1),WP!$E$2:$E$23,0),1))),INDEX(WP!$A$2:$F$23,MATCH(Results!$B441,WP!$E$2:$E$23,0),1)),"")</f>
        <v/>
      </c>
      <c r="D441" s="12" t="str">
        <f>IFERROR(IFERROR(IF(RIGHT(INDEX(WP!$A$2:$F$23,MATCH(IF(FIND("_",$B441)&gt;0,LEFT($B441,FIND("_",$B441)-1)),WP!$E$2:$E$23,0),2),6)="Series",LEFT(INDEX(WP!$A$2:$F$23,MATCH(IF(FIND("_",$B441)&gt;0,LEFT($B441,FIND("_",$B441)-1)),WP!$E$2:$E$23,0),2),5),""),IF(RIGHT(INDEX(WP!$A$2:$F$23,MATCH($B441,WP!$E$2:$E$23,0),2),6)="Series",LEFT(INDEX(WP!$A$2:$F$23,MATCH($B441,WP!$E$2:$E$23,0),2),5),"")),"")</f>
        <v/>
      </c>
      <c r="E441" s="17" t="str">
        <f>IFERROR(VLOOKUP(VALUE($D441),Series!$B$3:$F$11,2,0),"")</f>
        <v/>
      </c>
      <c r="F441" s="12" t="str">
        <f>_xlfn.IFNA(IF(IF($D441&lt;&gt;"",COUNTIF($E:$E,"="&amp;$D441),"")="",IF(RIGHT(IFERROR(IF(FIND("_",$B441)&gt;0,INDEX(WP!$A$2:$F$23,MATCH(LEFT($B441,FIND("_",$B441)-1),WP!$E$2:$E$23,0),2),IF(FIND("-",$B441)&gt;0,INDEX(WP!$A$2:$F$23,MATCH(LEFT($B441,FIND("_",$B441)-1),WP!$E$2:$E$23,0),2))),INDEX(WP!$A$2:$F$23,MATCH(Results!$B441,WP!$E$2:$E$23,0),2)),6)="Series",LEFT(IFERROR(IF(FIND("_",$B441)&gt;0,INDEX(WP!$A$2:$F$23,MATCH(LEFT($B441,FIND("_",$B441)-1),WP!$E$2:$E$23,0),2),IF(FIND("-",$B441)&gt;0,INDEX(WP!$A$2:$F$23,MATCH(LEFT($B441,FIND("_",$B441)-1),WP!$E$2:$E$23,0),2))),INDEX(WP!$A$2:$F$23,MATCH(Results!$B441,WP!$E$2:$E$23,0),2)),5),(IFERROR(IF(FIND("_",$B441)&gt;0,INDEX(WP!$A$2:$F$23,MATCH(LEFT($B441,FIND("_",$B441)-1),WP!$E$2:$E$23,0),2),IF(FIND("-",$B441)&gt;0,INDEX(WP!$A$2:$F$23,MATCH(LEFT($B441,FIND("_",$B441)-1),WP!$E$2:$E$23,0),2))),INDEX(WP!$A$2:$F$23,MATCH(Results!$B441,WP!$E$2:$E$23,0),2)))),IF(RIGHT(IFERROR(IF(FIND("_",$B441)&gt;0,INDEX(WP!$A$2:$F$23,MATCH(LEFT($B441,FIND("_",$B441)-1),WP!$E$2:$E$23,0),2),IF(FIND("-",$B441)&gt;0,INDEX(WP!$A$2:$F$23,MATCH(LEFT($B441,FIND("_",$B441)-1),WP!$E$2:$E$23,0),2))),INDEX(WP!$A$2:$F$23,MATCH(Results!$B441,WP!$E$2:$E$23,0),2)),6)="Series",LEFT(IFERROR(IF(FIND("_",$B441)&gt;0,INDEX(WP!$A$2:$F$23,MATCH(LEFT($B441,FIND("_",$B441)-1),WP!$E$2:$E$23,0),2),IF(FIND("-",$B441)&gt;0,INDEX(WP!$A$2:$F$23,MATCH(LEFT($B441,FIND("_",$B441)-1),WP!$E$2:$E$23,0),2))),INDEX(WP!$A$2:$F$23,MATCH(Results!$B441,WP!$E$2:$E$23,0),2)),5),(IFERROR(IF(FIND("_",$B441)&gt;0,INDEX(WP!$A$2:$F$23,MATCH(LEFT($B441,FIND("_",$B441)-1),WP!$E$2:$E$23,0),2),IF(FIND("-",$B441)&gt;0,INDEX(WP!$A$2:$F$23,MATCH(LEFT($B441,FIND("_",$B441)-1),WP!$E$2:$E$23,0),2))),INDEX(WP!$A$2:$F$23,MATCH(Results!$B441,WP!$E$2:$E$23,0),2))))&amp;"-"&amp;$I441),"")</f>
        <v/>
      </c>
      <c r="G441" s="17" t="str">
        <f>IF(LEN(_xlfn.IFNA(IF(IFERROR(IF(FIND("_",$B441)&gt;0,MID($B441,FIND("_",$B441)+1,LEN($B441)),IF(FIND("-",$B441)&gt;0,MID($B441,FIND("-",$B441)+1,LEN($B441)))),"")="",IFERROR(VLOOKUP($F441,WP!$B$2:$C$23,2,0),VLOOKUP($C441,Series!$A$3:$F$11,6,0)),IFERROR(VLOOKUP($F441,WP!$B$2:$C$23,2,0),VLOOKUP($C441,Series!$A$3:$F$11,6,0))&amp;" - "&amp;(IFERROR(IF(FIND("_",$B441)&gt;0,MID($B441,FIND("_",$B441)+1,LEN($B441)),IF(FIND("-",$B441)&gt;0,MID($B441,FIND("-",$B441)+1,LEN($B441)))),""))),""))&lt;64,_xlfn.IFNA(IF(IFERROR(IF(FIND("_",$B441)&gt;0,MID($B441,FIND("_",$B441)+1,LEN($B441)),IF(FIND("-",$B441)&gt;0,MID($B441,FIND("-",$B441)+1,LEN($B441)))),"")="",IFERROR(VLOOKUP($F441,WP!$B$2:$C$23,2,0),VLOOKUP($C441,Series!$A$3:$F$11,6,0)),IFERROR(VLOOKUP($F441,WP!$B$2:$C$23,2,0),VLOOKUP($C441,Series!$A$3:$F$11,6,0))&amp;" - "&amp;(IFERROR(IF(FIND("_",$B441)&gt;0,MID($B441,FIND("_",$B441)+1,LEN($B441)),IF(FIND("-",$B441)&gt;0,MID($B441,FIND("-",$B441)+1,LEN($B441)))),""))),""),LEFT((_xlfn.IFNA(IF(IFERROR(IF(FIND("_",$B441)&gt;0,MID($B441,FIND("_",$B441)+1,LEN($B441)),IF(FIND("-",$B441)&gt;0,MID($B441,FIND("-",$B441)+1,LEN($B441)))),"")="",IFERROR(VLOOKUP($F441,WP!$B$2:$C$23,2,0),VLOOKUP($C441,Series!$A$3:$F$11,6,0)),IFERROR(VLOOKUP($F441,WP!$B$2:$C$23,2,0),VLOOKUP($C441,Series!$A$3:$F$11,6,0))&amp;" - "&amp;(IFERROR(IF(FIND("_",$B441)&gt;0,MID($B441,FIND("_",$B441)+1,LEN($B441)),IF(FIND("-",$B441)&gt;0,MID($B441,FIND("-",$B441)+1,LEN($B441)))),""))),"")),64))</f>
        <v/>
      </c>
      <c r="H441" s="12"/>
      <c r="I441" s="12" t="str">
        <f>IF($D441&lt;&gt;"",COUNTIF($D$7:$D441,"="&amp;$D441),"")</f>
        <v/>
      </c>
      <c r="J441"/>
      <c r="K441" s="8"/>
      <c r="L441"/>
    </row>
    <row r="442" spans="1:12" x14ac:dyDescent="0.3">
      <c r="A442" s="1"/>
      <c r="B442" s="26"/>
      <c r="C442" s="12" t="str">
        <f>_xlfn.IFNA(IFERROR(IF(FIND("_",$B442)&gt;0,INDEX(WP!$A$2:$F$23,MATCH(LEFT($B442,FIND("_",$B442)-1),WP!$E$2:$E$23,0),1),IF(FIND("-",$B442)&gt;0,INDEX(WP!$A$2:$F$23,MATCH(LEFT($B442,FIND("_",$B442)-1),WP!$E$2:$E$23,0),1))),INDEX(WP!$A$2:$F$23,MATCH(Results!$B442,WP!$E$2:$E$23,0),1)),"")</f>
        <v/>
      </c>
      <c r="D442" s="12" t="str">
        <f>IFERROR(IFERROR(IF(RIGHT(INDEX(WP!$A$2:$F$23,MATCH(IF(FIND("_",$B442)&gt;0,LEFT($B442,FIND("_",$B442)-1)),WP!$E$2:$E$23,0),2),6)="Series",LEFT(INDEX(WP!$A$2:$F$23,MATCH(IF(FIND("_",$B442)&gt;0,LEFT($B442,FIND("_",$B442)-1)),WP!$E$2:$E$23,0),2),5),""),IF(RIGHT(INDEX(WP!$A$2:$F$23,MATCH($B442,WP!$E$2:$E$23,0),2),6)="Series",LEFT(INDEX(WP!$A$2:$F$23,MATCH($B442,WP!$E$2:$E$23,0),2),5),"")),"")</f>
        <v/>
      </c>
      <c r="E442" s="17" t="str">
        <f>IFERROR(VLOOKUP(VALUE($D442),Series!$B$3:$F$11,2,0),"")</f>
        <v/>
      </c>
      <c r="F442" s="12" t="str">
        <f>_xlfn.IFNA(IF(IF($D442&lt;&gt;"",COUNTIF($E:$E,"="&amp;$D442),"")="",IF(RIGHT(IFERROR(IF(FIND("_",$B442)&gt;0,INDEX(WP!$A$2:$F$23,MATCH(LEFT($B442,FIND("_",$B442)-1),WP!$E$2:$E$23,0),2),IF(FIND("-",$B442)&gt;0,INDEX(WP!$A$2:$F$23,MATCH(LEFT($B442,FIND("_",$B442)-1),WP!$E$2:$E$23,0),2))),INDEX(WP!$A$2:$F$23,MATCH(Results!$B442,WP!$E$2:$E$23,0),2)),6)="Series",LEFT(IFERROR(IF(FIND("_",$B442)&gt;0,INDEX(WP!$A$2:$F$23,MATCH(LEFT($B442,FIND("_",$B442)-1),WP!$E$2:$E$23,0),2),IF(FIND("-",$B442)&gt;0,INDEX(WP!$A$2:$F$23,MATCH(LEFT($B442,FIND("_",$B442)-1),WP!$E$2:$E$23,0),2))),INDEX(WP!$A$2:$F$23,MATCH(Results!$B442,WP!$E$2:$E$23,0),2)),5),(IFERROR(IF(FIND("_",$B442)&gt;0,INDEX(WP!$A$2:$F$23,MATCH(LEFT($B442,FIND("_",$B442)-1),WP!$E$2:$E$23,0),2),IF(FIND("-",$B442)&gt;0,INDEX(WP!$A$2:$F$23,MATCH(LEFT($B442,FIND("_",$B442)-1),WP!$E$2:$E$23,0),2))),INDEX(WP!$A$2:$F$23,MATCH(Results!$B442,WP!$E$2:$E$23,0),2)))),IF(RIGHT(IFERROR(IF(FIND("_",$B442)&gt;0,INDEX(WP!$A$2:$F$23,MATCH(LEFT($B442,FIND("_",$B442)-1),WP!$E$2:$E$23,0),2),IF(FIND("-",$B442)&gt;0,INDEX(WP!$A$2:$F$23,MATCH(LEFT($B442,FIND("_",$B442)-1),WP!$E$2:$E$23,0),2))),INDEX(WP!$A$2:$F$23,MATCH(Results!$B442,WP!$E$2:$E$23,0),2)),6)="Series",LEFT(IFERROR(IF(FIND("_",$B442)&gt;0,INDEX(WP!$A$2:$F$23,MATCH(LEFT($B442,FIND("_",$B442)-1),WP!$E$2:$E$23,0),2),IF(FIND("-",$B442)&gt;0,INDEX(WP!$A$2:$F$23,MATCH(LEFT($B442,FIND("_",$B442)-1),WP!$E$2:$E$23,0),2))),INDEX(WP!$A$2:$F$23,MATCH(Results!$B442,WP!$E$2:$E$23,0),2)),5),(IFERROR(IF(FIND("_",$B442)&gt;0,INDEX(WP!$A$2:$F$23,MATCH(LEFT($B442,FIND("_",$B442)-1),WP!$E$2:$E$23,0),2),IF(FIND("-",$B442)&gt;0,INDEX(WP!$A$2:$F$23,MATCH(LEFT($B442,FIND("_",$B442)-1),WP!$E$2:$E$23,0),2))),INDEX(WP!$A$2:$F$23,MATCH(Results!$B442,WP!$E$2:$E$23,0),2))))&amp;"-"&amp;$I442),"")</f>
        <v/>
      </c>
      <c r="G442" s="17" t="str">
        <f>IF(LEN(_xlfn.IFNA(IF(IFERROR(IF(FIND("_",$B442)&gt;0,MID($B442,FIND("_",$B442)+1,LEN($B442)),IF(FIND("-",$B442)&gt;0,MID($B442,FIND("-",$B442)+1,LEN($B442)))),"")="",IFERROR(VLOOKUP($F442,WP!$B$2:$C$23,2,0),VLOOKUP($C442,Series!$A$3:$F$11,6,0)),IFERROR(VLOOKUP($F442,WP!$B$2:$C$23,2,0),VLOOKUP($C442,Series!$A$3:$F$11,6,0))&amp;" - "&amp;(IFERROR(IF(FIND("_",$B442)&gt;0,MID($B442,FIND("_",$B442)+1,LEN($B442)),IF(FIND("-",$B442)&gt;0,MID($B442,FIND("-",$B442)+1,LEN($B442)))),""))),""))&lt;64,_xlfn.IFNA(IF(IFERROR(IF(FIND("_",$B442)&gt;0,MID($B442,FIND("_",$B442)+1,LEN($B442)),IF(FIND("-",$B442)&gt;0,MID($B442,FIND("-",$B442)+1,LEN($B442)))),"")="",IFERROR(VLOOKUP($F442,WP!$B$2:$C$23,2,0),VLOOKUP($C442,Series!$A$3:$F$11,6,0)),IFERROR(VLOOKUP($F442,WP!$B$2:$C$23,2,0),VLOOKUP($C442,Series!$A$3:$F$11,6,0))&amp;" - "&amp;(IFERROR(IF(FIND("_",$B442)&gt;0,MID($B442,FIND("_",$B442)+1,LEN($B442)),IF(FIND("-",$B442)&gt;0,MID($B442,FIND("-",$B442)+1,LEN($B442)))),""))),""),LEFT((_xlfn.IFNA(IF(IFERROR(IF(FIND("_",$B442)&gt;0,MID($B442,FIND("_",$B442)+1,LEN($B442)),IF(FIND("-",$B442)&gt;0,MID($B442,FIND("-",$B442)+1,LEN($B442)))),"")="",IFERROR(VLOOKUP($F442,WP!$B$2:$C$23,2,0),VLOOKUP($C442,Series!$A$3:$F$11,6,0)),IFERROR(VLOOKUP($F442,WP!$B$2:$C$23,2,0),VLOOKUP($C442,Series!$A$3:$F$11,6,0))&amp;" - "&amp;(IFERROR(IF(FIND("_",$B442)&gt;0,MID($B442,FIND("_",$B442)+1,LEN($B442)),IF(FIND("-",$B442)&gt;0,MID($B442,FIND("-",$B442)+1,LEN($B442)))),""))),"")),64))</f>
        <v/>
      </c>
      <c r="H442" s="12"/>
      <c r="I442" s="12" t="str">
        <f>IF($D442&lt;&gt;"",COUNTIF($D$7:$D442,"="&amp;$D442),"")</f>
        <v/>
      </c>
      <c r="J442"/>
      <c r="K442" s="8"/>
      <c r="L442"/>
    </row>
    <row r="443" spans="1:12" x14ac:dyDescent="0.3">
      <c r="A443" s="1"/>
      <c r="B443" s="26"/>
      <c r="C443" s="12" t="str">
        <f>_xlfn.IFNA(IFERROR(IF(FIND("_",$B443)&gt;0,INDEX(WP!$A$2:$F$23,MATCH(LEFT($B443,FIND("_",$B443)-1),WP!$E$2:$E$23,0),1),IF(FIND("-",$B443)&gt;0,INDEX(WP!$A$2:$F$23,MATCH(LEFT($B443,FIND("_",$B443)-1),WP!$E$2:$E$23,0),1))),INDEX(WP!$A$2:$F$23,MATCH(Results!$B443,WP!$E$2:$E$23,0),1)),"")</f>
        <v/>
      </c>
      <c r="D443" s="12" t="str">
        <f>IFERROR(IFERROR(IF(RIGHT(INDEX(WP!$A$2:$F$23,MATCH(IF(FIND("_",$B443)&gt;0,LEFT($B443,FIND("_",$B443)-1)),WP!$E$2:$E$23,0),2),6)="Series",LEFT(INDEX(WP!$A$2:$F$23,MATCH(IF(FIND("_",$B443)&gt;0,LEFT($B443,FIND("_",$B443)-1)),WP!$E$2:$E$23,0),2),5),""),IF(RIGHT(INDEX(WP!$A$2:$F$23,MATCH($B443,WP!$E$2:$E$23,0),2),6)="Series",LEFT(INDEX(WP!$A$2:$F$23,MATCH($B443,WP!$E$2:$E$23,0),2),5),"")),"")</f>
        <v/>
      </c>
      <c r="E443" s="17" t="str">
        <f>IFERROR(VLOOKUP(VALUE($D443),Series!$B$3:$F$11,2,0),"")</f>
        <v/>
      </c>
      <c r="F443" s="12" t="str">
        <f>_xlfn.IFNA(IF(IF($D443&lt;&gt;"",COUNTIF($E:$E,"="&amp;$D443),"")="",IF(RIGHT(IFERROR(IF(FIND("_",$B443)&gt;0,INDEX(WP!$A$2:$F$23,MATCH(LEFT($B443,FIND("_",$B443)-1),WP!$E$2:$E$23,0),2),IF(FIND("-",$B443)&gt;0,INDEX(WP!$A$2:$F$23,MATCH(LEFT($B443,FIND("_",$B443)-1),WP!$E$2:$E$23,0),2))),INDEX(WP!$A$2:$F$23,MATCH(Results!$B443,WP!$E$2:$E$23,0),2)),6)="Series",LEFT(IFERROR(IF(FIND("_",$B443)&gt;0,INDEX(WP!$A$2:$F$23,MATCH(LEFT($B443,FIND("_",$B443)-1),WP!$E$2:$E$23,0),2),IF(FIND("-",$B443)&gt;0,INDEX(WP!$A$2:$F$23,MATCH(LEFT($B443,FIND("_",$B443)-1),WP!$E$2:$E$23,0),2))),INDEX(WP!$A$2:$F$23,MATCH(Results!$B443,WP!$E$2:$E$23,0),2)),5),(IFERROR(IF(FIND("_",$B443)&gt;0,INDEX(WP!$A$2:$F$23,MATCH(LEFT($B443,FIND("_",$B443)-1),WP!$E$2:$E$23,0),2),IF(FIND("-",$B443)&gt;0,INDEX(WP!$A$2:$F$23,MATCH(LEFT($B443,FIND("_",$B443)-1),WP!$E$2:$E$23,0),2))),INDEX(WP!$A$2:$F$23,MATCH(Results!$B443,WP!$E$2:$E$23,0),2)))),IF(RIGHT(IFERROR(IF(FIND("_",$B443)&gt;0,INDEX(WP!$A$2:$F$23,MATCH(LEFT($B443,FIND("_",$B443)-1),WP!$E$2:$E$23,0),2),IF(FIND("-",$B443)&gt;0,INDEX(WP!$A$2:$F$23,MATCH(LEFT($B443,FIND("_",$B443)-1),WP!$E$2:$E$23,0),2))),INDEX(WP!$A$2:$F$23,MATCH(Results!$B443,WP!$E$2:$E$23,0),2)),6)="Series",LEFT(IFERROR(IF(FIND("_",$B443)&gt;0,INDEX(WP!$A$2:$F$23,MATCH(LEFT($B443,FIND("_",$B443)-1),WP!$E$2:$E$23,0),2),IF(FIND("-",$B443)&gt;0,INDEX(WP!$A$2:$F$23,MATCH(LEFT($B443,FIND("_",$B443)-1),WP!$E$2:$E$23,0),2))),INDEX(WP!$A$2:$F$23,MATCH(Results!$B443,WP!$E$2:$E$23,0),2)),5),(IFERROR(IF(FIND("_",$B443)&gt;0,INDEX(WP!$A$2:$F$23,MATCH(LEFT($B443,FIND("_",$B443)-1),WP!$E$2:$E$23,0),2),IF(FIND("-",$B443)&gt;0,INDEX(WP!$A$2:$F$23,MATCH(LEFT($B443,FIND("_",$B443)-1),WP!$E$2:$E$23,0),2))),INDEX(WP!$A$2:$F$23,MATCH(Results!$B443,WP!$E$2:$E$23,0),2))))&amp;"-"&amp;$I443),"")</f>
        <v/>
      </c>
      <c r="G443" s="17" t="str">
        <f>IF(LEN(_xlfn.IFNA(IF(IFERROR(IF(FIND("_",$B443)&gt;0,MID($B443,FIND("_",$B443)+1,LEN($B443)),IF(FIND("-",$B443)&gt;0,MID($B443,FIND("-",$B443)+1,LEN($B443)))),"")="",IFERROR(VLOOKUP($F443,WP!$B$2:$C$23,2,0),VLOOKUP($C443,Series!$A$3:$F$11,6,0)),IFERROR(VLOOKUP($F443,WP!$B$2:$C$23,2,0),VLOOKUP($C443,Series!$A$3:$F$11,6,0))&amp;" - "&amp;(IFERROR(IF(FIND("_",$B443)&gt;0,MID($B443,FIND("_",$B443)+1,LEN($B443)),IF(FIND("-",$B443)&gt;0,MID($B443,FIND("-",$B443)+1,LEN($B443)))),""))),""))&lt;64,_xlfn.IFNA(IF(IFERROR(IF(FIND("_",$B443)&gt;0,MID($B443,FIND("_",$B443)+1,LEN($B443)),IF(FIND("-",$B443)&gt;0,MID($B443,FIND("-",$B443)+1,LEN($B443)))),"")="",IFERROR(VLOOKUP($F443,WP!$B$2:$C$23,2,0),VLOOKUP($C443,Series!$A$3:$F$11,6,0)),IFERROR(VLOOKUP($F443,WP!$B$2:$C$23,2,0),VLOOKUP($C443,Series!$A$3:$F$11,6,0))&amp;" - "&amp;(IFERROR(IF(FIND("_",$B443)&gt;0,MID($B443,FIND("_",$B443)+1,LEN($B443)),IF(FIND("-",$B443)&gt;0,MID($B443,FIND("-",$B443)+1,LEN($B443)))),""))),""),LEFT((_xlfn.IFNA(IF(IFERROR(IF(FIND("_",$B443)&gt;0,MID($B443,FIND("_",$B443)+1,LEN($B443)),IF(FIND("-",$B443)&gt;0,MID($B443,FIND("-",$B443)+1,LEN($B443)))),"")="",IFERROR(VLOOKUP($F443,WP!$B$2:$C$23,2,0),VLOOKUP($C443,Series!$A$3:$F$11,6,0)),IFERROR(VLOOKUP($F443,WP!$B$2:$C$23,2,0),VLOOKUP($C443,Series!$A$3:$F$11,6,0))&amp;" - "&amp;(IFERROR(IF(FIND("_",$B443)&gt;0,MID($B443,FIND("_",$B443)+1,LEN($B443)),IF(FIND("-",$B443)&gt;0,MID($B443,FIND("-",$B443)+1,LEN($B443)))),""))),"")),64))</f>
        <v/>
      </c>
      <c r="H443" s="12"/>
      <c r="I443" s="12" t="str">
        <f>IF($D443&lt;&gt;"",COUNTIF($D$7:$D443,"="&amp;$D443),"")</f>
        <v/>
      </c>
      <c r="J443"/>
      <c r="K443" s="8"/>
      <c r="L443"/>
    </row>
    <row r="444" spans="1:12" x14ac:dyDescent="0.3">
      <c r="A444" s="1"/>
      <c r="B444" s="26"/>
      <c r="C444" s="12" t="str">
        <f>_xlfn.IFNA(IFERROR(IF(FIND("_",$B444)&gt;0,INDEX(WP!$A$2:$F$23,MATCH(LEFT($B444,FIND("_",$B444)-1),WP!$E$2:$E$23,0),1),IF(FIND("-",$B444)&gt;0,INDEX(WP!$A$2:$F$23,MATCH(LEFT($B444,FIND("_",$B444)-1),WP!$E$2:$E$23,0),1))),INDEX(WP!$A$2:$F$23,MATCH(Results!$B444,WP!$E$2:$E$23,0),1)),"")</f>
        <v/>
      </c>
      <c r="D444" s="12" t="str">
        <f>IFERROR(IFERROR(IF(RIGHT(INDEX(WP!$A$2:$F$23,MATCH(IF(FIND("_",$B444)&gt;0,LEFT($B444,FIND("_",$B444)-1)),WP!$E$2:$E$23,0),2),6)="Series",LEFT(INDEX(WP!$A$2:$F$23,MATCH(IF(FIND("_",$B444)&gt;0,LEFT($B444,FIND("_",$B444)-1)),WP!$E$2:$E$23,0),2),5),""),IF(RIGHT(INDEX(WP!$A$2:$F$23,MATCH($B444,WP!$E$2:$E$23,0),2),6)="Series",LEFT(INDEX(WP!$A$2:$F$23,MATCH($B444,WP!$E$2:$E$23,0),2),5),"")),"")</f>
        <v/>
      </c>
      <c r="E444" s="17" t="str">
        <f>IFERROR(VLOOKUP(VALUE($D444),Series!$B$3:$F$11,2,0),"")</f>
        <v/>
      </c>
      <c r="F444" s="12" t="str">
        <f>_xlfn.IFNA(IF(IF($D444&lt;&gt;"",COUNTIF($E:$E,"="&amp;$D444),"")="",IF(RIGHT(IFERROR(IF(FIND("_",$B444)&gt;0,INDEX(WP!$A$2:$F$23,MATCH(LEFT($B444,FIND("_",$B444)-1),WP!$E$2:$E$23,0),2),IF(FIND("-",$B444)&gt;0,INDEX(WP!$A$2:$F$23,MATCH(LEFT($B444,FIND("_",$B444)-1),WP!$E$2:$E$23,0),2))),INDEX(WP!$A$2:$F$23,MATCH(Results!$B444,WP!$E$2:$E$23,0),2)),6)="Series",LEFT(IFERROR(IF(FIND("_",$B444)&gt;0,INDEX(WP!$A$2:$F$23,MATCH(LEFT($B444,FIND("_",$B444)-1),WP!$E$2:$E$23,0),2),IF(FIND("-",$B444)&gt;0,INDEX(WP!$A$2:$F$23,MATCH(LEFT($B444,FIND("_",$B444)-1),WP!$E$2:$E$23,0),2))),INDEX(WP!$A$2:$F$23,MATCH(Results!$B444,WP!$E$2:$E$23,0),2)),5),(IFERROR(IF(FIND("_",$B444)&gt;0,INDEX(WP!$A$2:$F$23,MATCH(LEFT($B444,FIND("_",$B444)-1),WP!$E$2:$E$23,0),2),IF(FIND("-",$B444)&gt;0,INDEX(WP!$A$2:$F$23,MATCH(LEFT($B444,FIND("_",$B444)-1),WP!$E$2:$E$23,0),2))),INDEX(WP!$A$2:$F$23,MATCH(Results!$B444,WP!$E$2:$E$23,0),2)))),IF(RIGHT(IFERROR(IF(FIND("_",$B444)&gt;0,INDEX(WP!$A$2:$F$23,MATCH(LEFT($B444,FIND("_",$B444)-1),WP!$E$2:$E$23,0),2),IF(FIND("-",$B444)&gt;0,INDEX(WP!$A$2:$F$23,MATCH(LEFT($B444,FIND("_",$B444)-1),WP!$E$2:$E$23,0),2))),INDEX(WP!$A$2:$F$23,MATCH(Results!$B444,WP!$E$2:$E$23,0),2)),6)="Series",LEFT(IFERROR(IF(FIND("_",$B444)&gt;0,INDEX(WP!$A$2:$F$23,MATCH(LEFT($B444,FIND("_",$B444)-1),WP!$E$2:$E$23,0),2),IF(FIND("-",$B444)&gt;0,INDEX(WP!$A$2:$F$23,MATCH(LEFT($B444,FIND("_",$B444)-1),WP!$E$2:$E$23,0),2))),INDEX(WP!$A$2:$F$23,MATCH(Results!$B444,WP!$E$2:$E$23,0),2)),5),(IFERROR(IF(FIND("_",$B444)&gt;0,INDEX(WP!$A$2:$F$23,MATCH(LEFT($B444,FIND("_",$B444)-1),WP!$E$2:$E$23,0),2),IF(FIND("-",$B444)&gt;0,INDEX(WP!$A$2:$F$23,MATCH(LEFT($B444,FIND("_",$B444)-1),WP!$E$2:$E$23,0),2))),INDEX(WP!$A$2:$F$23,MATCH(Results!$B444,WP!$E$2:$E$23,0),2))))&amp;"-"&amp;$I444),"")</f>
        <v/>
      </c>
      <c r="G444" s="17" t="str">
        <f>IF(LEN(_xlfn.IFNA(IF(IFERROR(IF(FIND("_",$B444)&gt;0,MID($B444,FIND("_",$B444)+1,LEN($B444)),IF(FIND("-",$B444)&gt;0,MID($B444,FIND("-",$B444)+1,LEN($B444)))),"")="",IFERROR(VLOOKUP($F444,WP!$B$2:$C$23,2,0),VLOOKUP($C444,Series!$A$3:$F$11,6,0)),IFERROR(VLOOKUP($F444,WP!$B$2:$C$23,2,0),VLOOKUP($C444,Series!$A$3:$F$11,6,0))&amp;" - "&amp;(IFERROR(IF(FIND("_",$B444)&gt;0,MID($B444,FIND("_",$B444)+1,LEN($B444)),IF(FIND("-",$B444)&gt;0,MID($B444,FIND("-",$B444)+1,LEN($B444)))),""))),""))&lt;64,_xlfn.IFNA(IF(IFERROR(IF(FIND("_",$B444)&gt;0,MID($B444,FIND("_",$B444)+1,LEN($B444)),IF(FIND("-",$B444)&gt;0,MID($B444,FIND("-",$B444)+1,LEN($B444)))),"")="",IFERROR(VLOOKUP($F444,WP!$B$2:$C$23,2,0),VLOOKUP($C444,Series!$A$3:$F$11,6,0)),IFERROR(VLOOKUP($F444,WP!$B$2:$C$23,2,0),VLOOKUP($C444,Series!$A$3:$F$11,6,0))&amp;" - "&amp;(IFERROR(IF(FIND("_",$B444)&gt;0,MID($B444,FIND("_",$B444)+1,LEN($B444)),IF(FIND("-",$B444)&gt;0,MID($B444,FIND("-",$B444)+1,LEN($B444)))),""))),""),LEFT((_xlfn.IFNA(IF(IFERROR(IF(FIND("_",$B444)&gt;0,MID($B444,FIND("_",$B444)+1,LEN($B444)),IF(FIND("-",$B444)&gt;0,MID($B444,FIND("-",$B444)+1,LEN($B444)))),"")="",IFERROR(VLOOKUP($F444,WP!$B$2:$C$23,2,0),VLOOKUP($C444,Series!$A$3:$F$11,6,0)),IFERROR(VLOOKUP($F444,WP!$B$2:$C$23,2,0),VLOOKUP($C444,Series!$A$3:$F$11,6,0))&amp;" - "&amp;(IFERROR(IF(FIND("_",$B444)&gt;0,MID($B444,FIND("_",$B444)+1,LEN($B444)),IF(FIND("-",$B444)&gt;0,MID($B444,FIND("-",$B444)+1,LEN($B444)))),""))),"")),64))</f>
        <v/>
      </c>
      <c r="H444" s="12"/>
      <c r="I444" s="12" t="str">
        <f>IF($D444&lt;&gt;"",COUNTIF($D$7:$D444,"="&amp;$D444),"")</f>
        <v/>
      </c>
      <c r="J444"/>
      <c r="K444" s="8"/>
      <c r="L444"/>
    </row>
    <row r="445" spans="1:12" x14ac:dyDescent="0.3">
      <c r="A445" s="1"/>
      <c r="B445" s="26"/>
      <c r="C445" s="12" t="str">
        <f>_xlfn.IFNA(IFERROR(IF(FIND("_",$B445)&gt;0,INDEX(WP!$A$2:$F$23,MATCH(LEFT($B445,FIND("_",$B445)-1),WP!$E$2:$E$23,0),1),IF(FIND("-",$B445)&gt;0,INDEX(WP!$A$2:$F$23,MATCH(LEFT($B445,FIND("_",$B445)-1),WP!$E$2:$E$23,0),1))),INDEX(WP!$A$2:$F$23,MATCH(Results!$B445,WP!$E$2:$E$23,0),1)),"")</f>
        <v/>
      </c>
      <c r="D445" s="12" t="str">
        <f>IFERROR(IFERROR(IF(RIGHT(INDEX(WP!$A$2:$F$23,MATCH(IF(FIND("_",$B445)&gt;0,LEFT($B445,FIND("_",$B445)-1)),WP!$E$2:$E$23,0),2),6)="Series",LEFT(INDEX(WP!$A$2:$F$23,MATCH(IF(FIND("_",$B445)&gt;0,LEFT($B445,FIND("_",$B445)-1)),WP!$E$2:$E$23,0),2),5),""),IF(RIGHT(INDEX(WP!$A$2:$F$23,MATCH($B445,WP!$E$2:$E$23,0),2),6)="Series",LEFT(INDEX(WP!$A$2:$F$23,MATCH($B445,WP!$E$2:$E$23,0),2),5),"")),"")</f>
        <v/>
      </c>
      <c r="E445" s="17" t="str">
        <f>IFERROR(VLOOKUP(VALUE($D445),Series!$B$3:$F$11,2,0),"")</f>
        <v/>
      </c>
      <c r="F445" s="12" t="str">
        <f>_xlfn.IFNA(IF(IF($D445&lt;&gt;"",COUNTIF($E:$E,"="&amp;$D445),"")="",IF(RIGHT(IFERROR(IF(FIND("_",$B445)&gt;0,INDEX(WP!$A$2:$F$23,MATCH(LEFT($B445,FIND("_",$B445)-1),WP!$E$2:$E$23,0),2),IF(FIND("-",$B445)&gt;0,INDEX(WP!$A$2:$F$23,MATCH(LEFT($B445,FIND("_",$B445)-1),WP!$E$2:$E$23,0),2))),INDEX(WP!$A$2:$F$23,MATCH(Results!$B445,WP!$E$2:$E$23,0),2)),6)="Series",LEFT(IFERROR(IF(FIND("_",$B445)&gt;0,INDEX(WP!$A$2:$F$23,MATCH(LEFT($B445,FIND("_",$B445)-1),WP!$E$2:$E$23,0),2),IF(FIND("-",$B445)&gt;0,INDEX(WP!$A$2:$F$23,MATCH(LEFT($B445,FIND("_",$B445)-1),WP!$E$2:$E$23,0),2))),INDEX(WP!$A$2:$F$23,MATCH(Results!$B445,WP!$E$2:$E$23,0),2)),5),(IFERROR(IF(FIND("_",$B445)&gt;0,INDEX(WP!$A$2:$F$23,MATCH(LEFT($B445,FIND("_",$B445)-1),WP!$E$2:$E$23,0),2),IF(FIND("-",$B445)&gt;0,INDEX(WP!$A$2:$F$23,MATCH(LEFT($B445,FIND("_",$B445)-1),WP!$E$2:$E$23,0),2))),INDEX(WP!$A$2:$F$23,MATCH(Results!$B445,WP!$E$2:$E$23,0),2)))),IF(RIGHT(IFERROR(IF(FIND("_",$B445)&gt;0,INDEX(WP!$A$2:$F$23,MATCH(LEFT($B445,FIND("_",$B445)-1),WP!$E$2:$E$23,0),2),IF(FIND("-",$B445)&gt;0,INDEX(WP!$A$2:$F$23,MATCH(LEFT($B445,FIND("_",$B445)-1),WP!$E$2:$E$23,0),2))),INDEX(WP!$A$2:$F$23,MATCH(Results!$B445,WP!$E$2:$E$23,0),2)),6)="Series",LEFT(IFERROR(IF(FIND("_",$B445)&gt;0,INDEX(WP!$A$2:$F$23,MATCH(LEFT($B445,FIND("_",$B445)-1),WP!$E$2:$E$23,0),2),IF(FIND("-",$B445)&gt;0,INDEX(WP!$A$2:$F$23,MATCH(LEFT($B445,FIND("_",$B445)-1),WP!$E$2:$E$23,0),2))),INDEX(WP!$A$2:$F$23,MATCH(Results!$B445,WP!$E$2:$E$23,0),2)),5),(IFERROR(IF(FIND("_",$B445)&gt;0,INDEX(WP!$A$2:$F$23,MATCH(LEFT($B445,FIND("_",$B445)-1),WP!$E$2:$E$23,0),2),IF(FIND("-",$B445)&gt;0,INDEX(WP!$A$2:$F$23,MATCH(LEFT($B445,FIND("_",$B445)-1),WP!$E$2:$E$23,0),2))),INDEX(WP!$A$2:$F$23,MATCH(Results!$B445,WP!$E$2:$E$23,0),2))))&amp;"-"&amp;$I445),"")</f>
        <v/>
      </c>
      <c r="G445" s="17" t="str">
        <f>IF(LEN(_xlfn.IFNA(IF(IFERROR(IF(FIND("_",$B445)&gt;0,MID($B445,FIND("_",$B445)+1,LEN($B445)),IF(FIND("-",$B445)&gt;0,MID($B445,FIND("-",$B445)+1,LEN($B445)))),"")="",IFERROR(VLOOKUP($F445,WP!$B$2:$C$23,2,0),VLOOKUP($C445,Series!$A$3:$F$11,6,0)),IFERROR(VLOOKUP($F445,WP!$B$2:$C$23,2,0),VLOOKUP($C445,Series!$A$3:$F$11,6,0))&amp;" - "&amp;(IFERROR(IF(FIND("_",$B445)&gt;0,MID($B445,FIND("_",$B445)+1,LEN($B445)),IF(FIND("-",$B445)&gt;0,MID($B445,FIND("-",$B445)+1,LEN($B445)))),""))),""))&lt;64,_xlfn.IFNA(IF(IFERROR(IF(FIND("_",$B445)&gt;0,MID($B445,FIND("_",$B445)+1,LEN($B445)),IF(FIND("-",$B445)&gt;0,MID($B445,FIND("-",$B445)+1,LEN($B445)))),"")="",IFERROR(VLOOKUP($F445,WP!$B$2:$C$23,2,0),VLOOKUP($C445,Series!$A$3:$F$11,6,0)),IFERROR(VLOOKUP($F445,WP!$B$2:$C$23,2,0),VLOOKUP($C445,Series!$A$3:$F$11,6,0))&amp;" - "&amp;(IFERROR(IF(FIND("_",$B445)&gt;0,MID($B445,FIND("_",$B445)+1,LEN($B445)),IF(FIND("-",$B445)&gt;0,MID($B445,FIND("-",$B445)+1,LEN($B445)))),""))),""),LEFT((_xlfn.IFNA(IF(IFERROR(IF(FIND("_",$B445)&gt;0,MID($B445,FIND("_",$B445)+1,LEN($B445)),IF(FIND("-",$B445)&gt;0,MID($B445,FIND("-",$B445)+1,LEN($B445)))),"")="",IFERROR(VLOOKUP($F445,WP!$B$2:$C$23,2,0),VLOOKUP($C445,Series!$A$3:$F$11,6,0)),IFERROR(VLOOKUP($F445,WP!$B$2:$C$23,2,0),VLOOKUP($C445,Series!$A$3:$F$11,6,0))&amp;" - "&amp;(IFERROR(IF(FIND("_",$B445)&gt;0,MID($B445,FIND("_",$B445)+1,LEN($B445)),IF(FIND("-",$B445)&gt;0,MID($B445,FIND("-",$B445)+1,LEN($B445)))),""))),"")),64))</f>
        <v/>
      </c>
      <c r="H445" s="12"/>
      <c r="I445" s="12" t="str">
        <f>IF($D445&lt;&gt;"",COUNTIF($D$7:$D445,"="&amp;$D445),"")</f>
        <v/>
      </c>
      <c r="J445"/>
      <c r="K445" s="8"/>
      <c r="L445"/>
    </row>
    <row r="446" spans="1:12" x14ac:dyDescent="0.3">
      <c r="A446" s="1"/>
      <c r="B446" s="26"/>
      <c r="C446" s="12" t="str">
        <f>_xlfn.IFNA(IFERROR(IF(FIND("_",$B446)&gt;0,INDEX(WP!$A$2:$F$23,MATCH(LEFT($B446,FIND("_",$B446)-1),WP!$E$2:$E$23,0),1),IF(FIND("-",$B446)&gt;0,INDEX(WP!$A$2:$F$23,MATCH(LEFT($B446,FIND("_",$B446)-1),WP!$E$2:$E$23,0),1))),INDEX(WP!$A$2:$F$23,MATCH(Results!$B446,WP!$E$2:$E$23,0),1)),"")</f>
        <v/>
      </c>
      <c r="D446" s="12" t="str">
        <f>IFERROR(IFERROR(IF(RIGHT(INDEX(WP!$A$2:$F$23,MATCH(IF(FIND("_",$B446)&gt;0,LEFT($B446,FIND("_",$B446)-1)),WP!$E$2:$E$23,0),2),6)="Series",LEFT(INDEX(WP!$A$2:$F$23,MATCH(IF(FIND("_",$B446)&gt;0,LEFT($B446,FIND("_",$B446)-1)),WP!$E$2:$E$23,0),2),5),""),IF(RIGHT(INDEX(WP!$A$2:$F$23,MATCH($B446,WP!$E$2:$E$23,0),2),6)="Series",LEFT(INDEX(WP!$A$2:$F$23,MATCH($B446,WP!$E$2:$E$23,0),2),5),"")),"")</f>
        <v/>
      </c>
      <c r="E446" s="17" t="str">
        <f>IFERROR(VLOOKUP(VALUE($D446),Series!$B$3:$F$11,2,0),"")</f>
        <v/>
      </c>
      <c r="F446" s="12" t="str">
        <f>_xlfn.IFNA(IF(IF($D446&lt;&gt;"",COUNTIF($E:$E,"="&amp;$D446),"")="",IF(RIGHT(IFERROR(IF(FIND("_",$B446)&gt;0,INDEX(WP!$A$2:$F$23,MATCH(LEFT($B446,FIND("_",$B446)-1),WP!$E$2:$E$23,0),2),IF(FIND("-",$B446)&gt;0,INDEX(WP!$A$2:$F$23,MATCH(LEFT($B446,FIND("_",$B446)-1),WP!$E$2:$E$23,0),2))),INDEX(WP!$A$2:$F$23,MATCH(Results!$B446,WP!$E$2:$E$23,0),2)),6)="Series",LEFT(IFERROR(IF(FIND("_",$B446)&gt;0,INDEX(WP!$A$2:$F$23,MATCH(LEFT($B446,FIND("_",$B446)-1),WP!$E$2:$E$23,0),2),IF(FIND("-",$B446)&gt;0,INDEX(WP!$A$2:$F$23,MATCH(LEFT($B446,FIND("_",$B446)-1),WP!$E$2:$E$23,0),2))),INDEX(WP!$A$2:$F$23,MATCH(Results!$B446,WP!$E$2:$E$23,0),2)),5),(IFERROR(IF(FIND("_",$B446)&gt;0,INDEX(WP!$A$2:$F$23,MATCH(LEFT($B446,FIND("_",$B446)-1),WP!$E$2:$E$23,0),2),IF(FIND("-",$B446)&gt;0,INDEX(WP!$A$2:$F$23,MATCH(LEFT($B446,FIND("_",$B446)-1),WP!$E$2:$E$23,0),2))),INDEX(WP!$A$2:$F$23,MATCH(Results!$B446,WP!$E$2:$E$23,0),2)))),IF(RIGHT(IFERROR(IF(FIND("_",$B446)&gt;0,INDEX(WP!$A$2:$F$23,MATCH(LEFT($B446,FIND("_",$B446)-1),WP!$E$2:$E$23,0),2),IF(FIND("-",$B446)&gt;0,INDEX(WP!$A$2:$F$23,MATCH(LEFT($B446,FIND("_",$B446)-1),WP!$E$2:$E$23,0),2))),INDEX(WP!$A$2:$F$23,MATCH(Results!$B446,WP!$E$2:$E$23,0),2)),6)="Series",LEFT(IFERROR(IF(FIND("_",$B446)&gt;0,INDEX(WP!$A$2:$F$23,MATCH(LEFT($B446,FIND("_",$B446)-1),WP!$E$2:$E$23,0),2),IF(FIND("-",$B446)&gt;0,INDEX(WP!$A$2:$F$23,MATCH(LEFT($B446,FIND("_",$B446)-1),WP!$E$2:$E$23,0),2))),INDEX(WP!$A$2:$F$23,MATCH(Results!$B446,WP!$E$2:$E$23,0),2)),5),(IFERROR(IF(FIND("_",$B446)&gt;0,INDEX(WP!$A$2:$F$23,MATCH(LEFT($B446,FIND("_",$B446)-1),WP!$E$2:$E$23,0),2),IF(FIND("-",$B446)&gt;0,INDEX(WP!$A$2:$F$23,MATCH(LEFT($B446,FIND("_",$B446)-1),WP!$E$2:$E$23,0),2))),INDEX(WP!$A$2:$F$23,MATCH(Results!$B446,WP!$E$2:$E$23,0),2))))&amp;"-"&amp;$I446),"")</f>
        <v/>
      </c>
      <c r="G446" s="17" t="str">
        <f>IF(LEN(_xlfn.IFNA(IF(IFERROR(IF(FIND("_",$B446)&gt;0,MID($B446,FIND("_",$B446)+1,LEN($B446)),IF(FIND("-",$B446)&gt;0,MID($B446,FIND("-",$B446)+1,LEN($B446)))),"")="",IFERROR(VLOOKUP($F446,WP!$B$2:$C$23,2,0),VLOOKUP($C446,Series!$A$3:$F$11,6,0)),IFERROR(VLOOKUP($F446,WP!$B$2:$C$23,2,0),VLOOKUP($C446,Series!$A$3:$F$11,6,0))&amp;" - "&amp;(IFERROR(IF(FIND("_",$B446)&gt;0,MID($B446,FIND("_",$B446)+1,LEN($B446)),IF(FIND("-",$B446)&gt;0,MID($B446,FIND("-",$B446)+1,LEN($B446)))),""))),""))&lt;64,_xlfn.IFNA(IF(IFERROR(IF(FIND("_",$B446)&gt;0,MID($B446,FIND("_",$B446)+1,LEN($B446)),IF(FIND("-",$B446)&gt;0,MID($B446,FIND("-",$B446)+1,LEN($B446)))),"")="",IFERROR(VLOOKUP($F446,WP!$B$2:$C$23,2,0),VLOOKUP($C446,Series!$A$3:$F$11,6,0)),IFERROR(VLOOKUP($F446,WP!$B$2:$C$23,2,0),VLOOKUP($C446,Series!$A$3:$F$11,6,0))&amp;" - "&amp;(IFERROR(IF(FIND("_",$B446)&gt;0,MID($B446,FIND("_",$B446)+1,LEN($B446)),IF(FIND("-",$B446)&gt;0,MID($B446,FIND("-",$B446)+1,LEN($B446)))),""))),""),LEFT((_xlfn.IFNA(IF(IFERROR(IF(FIND("_",$B446)&gt;0,MID($B446,FIND("_",$B446)+1,LEN($B446)),IF(FIND("-",$B446)&gt;0,MID($B446,FIND("-",$B446)+1,LEN($B446)))),"")="",IFERROR(VLOOKUP($F446,WP!$B$2:$C$23,2,0),VLOOKUP($C446,Series!$A$3:$F$11,6,0)),IFERROR(VLOOKUP($F446,WP!$B$2:$C$23,2,0),VLOOKUP($C446,Series!$A$3:$F$11,6,0))&amp;" - "&amp;(IFERROR(IF(FIND("_",$B446)&gt;0,MID($B446,FIND("_",$B446)+1,LEN($B446)),IF(FIND("-",$B446)&gt;0,MID($B446,FIND("-",$B446)+1,LEN($B446)))),""))),"")),64))</f>
        <v/>
      </c>
      <c r="H446" s="12"/>
      <c r="I446" s="12" t="str">
        <f>IF($D446&lt;&gt;"",COUNTIF($D$7:$D446,"="&amp;$D446),"")</f>
        <v/>
      </c>
      <c r="J446"/>
      <c r="K446" s="8"/>
      <c r="L446"/>
    </row>
    <row r="447" spans="1:12" x14ac:dyDescent="0.3">
      <c r="A447" s="1"/>
      <c r="B447" s="26"/>
      <c r="C447" s="12" t="str">
        <f>_xlfn.IFNA(IFERROR(IF(FIND("_",$B447)&gt;0,INDEX(WP!$A$2:$F$23,MATCH(LEFT($B447,FIND("_",$B447)-1),WP!$E$2:$E$23,0),1),IF(FIND("-",$B447)&gt;0,INDEX(WP!$A$2:$F$23,MATCH(LEFT($B447,FIND("_",$B447)-1),WP!$E$2:$E$23,0),1))),INDEX(WP!$A$2:$F$23,MATCH(Results!$B447,WP!$E$2:$E$23,0),1)),"")</f>
        <v/>
      </c>
      <c r="D447" s="12" t="str">
        <f>IFERROR(IFERROR(IF(RIGHT(INDEX(WP!$A$2:$F$23,MATCH(IF(FIND("_",$B447)&gt;0,LEFT($B447,FIND("_",$B447)-1)),WP!$E$2:$E$23,0),2),6)="Series",LEFT(INDEX(WP!$A$2:$F$23,MATCH(IF(FIND("_",$B447)&gt;0,LEFT($B447,FIND("_",$B447)-1)),WP!$E$2:$E$23,0),2),5),""),IF(RIGHT(INDEX(WP!$A$2:$F$23,MATCH($B447,WP!$E$2:$E$23,0),2),6)="Series",LEFT(INDEX(WP!$A$2:$F$23,MATCH($B447,WP!$E$2:$E$23,0),2),5),"")),"")</f>
        <v/>
      </c>
      <c r="E447" s="17" t="str">
        <f>IFERROR(VLOOKUP(VALUE($D447),Series!$B$3:$F$11,2,0),"")</f>
        <v/>
      </c>
      <c r="F447" s="12" t="str">
        <f>_xlfn.IFNA(IF(IF($D447&lt;&gt;"",COUNTIF($E:$E,"="&amp;$D447),"")="",IF(RIGHT(IFERROR(IF(FIND("_",$B447)&gt;0,INDEX(WP!$A$2:$F$23,MATCH(LEFT($B447,FIND("_",$B447)-1),WP!$E$2:$E$23,0),2),IF(FIND("-",$B447)&gt;0,INDEX(WP!$A$2:$F$23,MATCH(LEFT($B447,FIND("_",$B447)-1),WP!$E$2:$E$23,0),2))),INDEX(WP!$A$2:$F$23,MATCH(Results!$B447,WP!$E$2:$E$23,0),2)),6)="Series",LEFT(IFERROR(IF(FIND("_",$B447)&gt;0,INDEX(WP!$A$2:$F$23,MATCH(LEFT($B447,FIND("_",$B447)-1),WP!$E$2:$E$23,0),2),IF(FIND("-",$B447)&gt;0,INDEX(WP!$A$2:$F$23,MATCH(LEFT($B447,FIND("_",$B447)-1),WP!$E$2:$E$23,0),2))),INDEX(WP!$A$2:$F$23,MATCH(Results!$B447,WP!$E$2:$E$23,0),2)),5),(IFERROR(IF(FIND("_",$B447)&gt;0,INDEX(WP!$A$2:$F$23,MATCH(LEFT($B447,FIND("_",$B447)-1),WP!$E$2:$E$23,0),2),IF(FIND("-",$B447)&gt;0,INDEX(WP!$A$2:$F$23,MATCH(LEFT($B447,FIND("_",$B447)-1),WP!$E$2:$E$23,0),2))),INDEX(WP!$A$2:$F$23,MATCH(Results!$B447,WP!$E$2:$E$23,0),2)))),IF(RIGHT(IFERROR(IF(FIND("_",$B447)&gt;0,INDEX(WP!$A$2:$F$23,MATCH(LEFT($B447,FIND("_",$B447)-1),WP!$E$2:$E$23,0),2),IF(FIND("-",$B447)&gt;0,INDEX(WP!$A$2:$F$23,MATCH(LEFT($B447,FIND("_",$B447)-1),WP!$E$2:$E$23,0),2))),INDEX(WP!$A$2:$F$23,MATCH(Results!$B447,WP!$E$2:$E$23,0),2)),6)="Series",LEFT(IFERROR(IF(FIND("_",$B447)&gt;0,INDEX(WP!$A$2:$F$23,MATCH(LEFT($B447,FIND("_",$B447)-1),WP!$E$2:$E$23,0),2),IF(FIND("-",$B447)&gt;0,INDEX(WP!$A$2:$F$23,MATCH(LEFT($B447,FIND("_",$B447)-1),WP!$E$2:$E$23,0),2))),INDEX(WP!$A$2:$F$23,MATCH(Results!$B447,WP!$E$2:$E$23,0),2)),5),(IFERROR(IF(FIND("_",$B447)&gt;0,INDEX(WP!$A$2:$F$23,MATCH(LEFT($B447,FIND("_",$B447)-1),WP!$E$2:$E$23,0),2),IF(FIND("-",$B447)&gt;0,INDEX(WP!$A$2:$F$23,MATCH(LEFT($B447,FIND("_",$B447)-1),WP!$E$2:$E$23,0),2))),INDEX(WP!$A$2:$F$23,MATCH(Results!$B447,WP!$E$2:$E$23,0),2))))&amp;"-"&amp;$I447),"")</f>
        <v/>
      </c>
      <c r="G447" s="17" t="str">
        <f>IF(LEN(_xlfn.IFNA(IF(IFERROR(IF(FIND("_",$B447)&gt;0,MID($B447,FIND("_",$B447)+1,LEN($B447)),IF(FIND("-",$B447)&gt;0,MID($B447,FIND("-",$B447)+1,LEN($B447)))),"")="",IFERROR(VLOOKUP($F447,WP!$B$2:$C$23,2,0),VLOOKUP($C447,Series!$A$3:$F$11,6,0)),IFERROR(VLOOKUP($F447,WP!$B$2:$C$23,2,0),VLOOKUP($C447,Series!$A$3:$F$11,6,0))&amp;" - "&amp;(IFERROR(IF(FIND("_",$B447)&gt;0,MID($B447,FIND("_",$B447)+1,LEN($B447)),IF(FIND("-",$B447)&gt;0,MID($B447,FIND("-",$B447)+1,LEN($B447)))),""))),""))&lt;64,_xlfn.IFNA(IF(IFERROR(IF(FIND("_",$B447)&gt;0,MID($B447,FIND("_",$B447)+1,LEN($B447)),IF(FIND("-",$B447)&gt;0,MID($B447,FIND("-",$B447)+1,LEN($B447)))),"")="",IFERROR(VLOOKUP($F447,WP!$B$2:$C$23,2,0),VLOOKUP($C447,Series!$A$3:$F$11,6,0)),IFERROR(VLOOKUP($F447,WP!$B$2:$C$23,2,0),VLOOKUP($C447,Series!$A$3:$F$11,6,0))&amp;" - "&amp;(IFERROR(IF(FIND("_",$B447)&gt;0,MID($B447,FIND("_",$B447)+1,LEN($B447)),IF(FIND("-",$B447)&gt;0,MID($B447,FIND("-",$B447)+1,LEN($B447)))),""))),""),LEFT((_xlfn.IFNA(IF(IFERROR(IF(FIND("_",$B447)&gt;0,MID($B447,FIND("_",$B447)+1,LEN($B447)),IF(FIND("-",$B447)&gt;0,MID($B447,FIND("-",$B447)+1,LEN($B447)))),"")="",IFERROR(VLOOKUP($F447,WP!$B$2:$C$23,2,0),VLOOKUP($C447,Series!$A$3:$F$11,6,0)),IFERROR(VLOOKUP($F447,WP!$B$2:$C$23,2,0),VLOOKUP($C447,Series!$A$3:$F$11,6,0))&amp;" - "&amp;(IFERROR(IF(FIND("_",$B447)&gt;0,MID($B447,FIND("_",$B447)+1,LEN($B447)),IF(FIND("-",$B447)&gt;0,MID($B447,FIND("-",$B447)+1,LEN($B447)))),""))),"")),64))</f>
        <v/>
      </c>
      <c r="H447" s="12"/>
      <c r="I447" s="12" t="str">
        <f>IF($D447&lt;&gt;"",COUNTIF($D$7:$D447,"="&amp;$D447),"")</f>
        <v/>
      </c>
      <c r="J447"/>
      <c r="K447" s="8"/>
      <c r="L447"/>
    </row>
    <row r="448" spans="1:12" x14ac:dyDescent="0.3">
      <c r="A448" s="1"/>
      <c r="B448" s="26"/>
      <c r="C448" s="12" t="str">
        <f>_xlfn.IFNA(IFERROR(IF(FIND("_",$B448)&gt;0,INDEX(WP!$A$2:$F$23,MATCH(LEFT($B448,FIND("_",$B448)-1),WP!$E$2:$E$23,0),1),IF(FIND("-",$B448)&gt;0,INDEX(WP!$A$2:$F$23,MATCH(LEFT($B448,FIND("_",$B448)-1),WP!$E$2:$E$23,0),1))),INDEX(WP!$A$2:$F$23,MATCH(Results!$B448,WP!$E$2:$E$23,0),1)),"")</f>
        <v/>
      </c>
      <c r="D448" s="12" t="str">
        <f>IFERROR(IFERROR(IF(RIGHT(INDEX(WP!$A$2:$F$23,MATCH(IF(FIND("_",$B448)&gt;0,LEFT($B448,FIND("_",$B448)-1)),WP!$E$2:$E$23,0),2),6)="Series",LEFT(INDEX(WP!$A$2:$F$23,MATCH(IF(FIND("_",$B448)&gt;0,LEFT($B448,FIND("_",$B448)-1)),WP!$E$2:$E$23,0),2),5),""),IF(RIGHT(INDEX(WP!$A$2:$F$23,MATCH($B448,WP!$E$2:$E$23,0),2),6)="Series",LEFT(INDEX(WP!$A$2:$F$23,MATCH($B448,WP!$E$2:$E$23,0),2),5),"")),"")</f>
        <v/>
      </c>
      <c r="E448" s="17" t="str">
        <f>IFERROR(VLOOKUP(VALUE($D448),Series!$B$3:$F$11,2,0),"")</f>
        <v/>
      </c>
      <c r="F448" s="12" t="str">
        <f>_xlfn.IFNA(IF(IF($D448&lt;&gt;"",COUNTIF($E:$E,"="&amp;$D448),"")="",IF(RIGHT(IFERROR(IF(FIND("_",$B448)&gt;0,INDEX(WP!$A$2:$F$23,MATCH(LEFT($B448,FIND("_",$B448)-1),WP!$E$2:$E$23,0),2),IF(FIND("-",$B448)&gt;0,INDEX(WP!$A$2:$F$23,MATCH(LEFT($B448,FIND("_",$B448)-1),WP!$E$2:$E$23,0),2))),INDEX(WP!$A$2:$F$23,MATCH(Results!$B448,WP!$E$2:$E$23,0),2)),6)="Series",LEFT(IFERROR(IF(FIND("_",$B448)&gt;0,INDEX(WP!$A$2:$F$23,MATCH(LEFT($B448,FIND("_",$B448)-1),WP!$E$2:$E$23,0),2),IF(FIND("-",$B448)&gt;0,INDEX(WP!$A$2:$F$23,MATCH(LEFT($B448,FIND("_",$B448)-1),WP!$E$2:$E$23,0),2))),INDEX(WP!$A$2:$F$23,MATCH(Results!$B448,WP!$E$2:$E$23,0),2)),5),(IFERROR(IF(FIND("_",$B448)&gt;0,INDEX(WP!$A$2:$F$23,MATCH(LEFT($B448,FIND("_",$B448)-1),WP!$E$2:$E$23,0),2),IF(FIND("-",$B448)&gt;0,INDEX(WP!$A$2:$F$23,MATCH(LEFT($B448,FIND("_",$B448)-1),WP!$E$2:$E$23,0),2))),INDEX(WP!$A$2:$F$23,MATCH(Results!$B448,WP!$E$2:$E$23,0),2)))),IF(RIGHT(IFERROR(IF(FIND("_",$B448)&gt;0,INDEX(WP!$A$2:$F$23,MATCH(LEFT($B448,FIND("_",$B448)-1),WP!$E$2:$E$23,0),2),IF(FIND("-",$B448)&gt;0,INDEX(WP!$A$2:$F$23,MATCH(LEFT($B448,FIND("_",$B448)-1),WP!$E$2:$E$23,0),2))),INDEX(WP!$A$2:$F$23,MATCH(Results!$B448,WP!$E$2:$E$23,0),2)),6)="Series",LEFT(IFERROR(IF(FIND("_",$B448)&gt;0,INDEX(WP!$A$2:$F$23,MATCH(LEFT($B448,FIND("_",$B448)-1),WP!$E$2:$E$23,0),2),IF(FIND("-",$B448)&gt;0,INDEX(WP!$A$2:$F$23,MATCH(LEFT($B448,FIND("_",$B448)-1),WP!$E$2:$E$23,0),2))),INDEX(WP!$A$2:$F$23,MATCH(Results!$B448,WP!$E$2:$E$23,0),2)),5),(IFERROR(IF(FIND("_",$B448)&gt;0,INDEX(WP!$A$2:$F$23,MATCH(LEFT($B448,FIND("_",$B448)-1),WP!$E$2:$E$23,0),2),IF(FIND("-",$B448)&gt;0,INDEX(WP!$A$2:$F$23,MATCH(LEFT($B448,FIND("_",$B448)-1),WP!$E$2:$E$23,0),2))),INDEX(WP!$A$2:$F$23,MATCH(Results!$B448,WP!$E$2:$E$23,0),2))))&amp;"-"&amp;$I448),"")</f>
        <v/>
      </c>
      <c r="G448" s="17" t="str">
        <f>IF(LEN(_xlfn.IFNA(IF(IFERROR(IF(FIND("_",$B448)&gt;0,MID($B448,FIND("_",$B448)+1,LEN($B448)),IF(FIND("-",$B448)&gt;0,MID($B448,FIND("-",$B448)+1,LEN($B448)))),"")="",IFERROR(VLOOKUP($F448,WP!$B$2:$C$23,2,0),VLOOKUP($C448,Series!$A$3:$F$11,6,0)),IFERROR(VLOOKUP($F448,WP!$B$2:$C$23,2,0),VLOOKUP($C448,Series!$A$3:$F$11,6,0))&amp;" - "&amp;(IFERROR(IF(FIND("_",$B448)&gt;0,MID($B448,FIND("_",$B448)+1,LEN($B448)),IF(FIND("-",$B448)&gt;0,MID($B448,FIND("-",$B448)+1,LEN($B448)))),""))),""))&lt;64,_xlfn.IFNA(IF(IFERROR(IF(FIND("_",$B448)&gt;0,MID($B448,FIND("_",$B448)+1,LEN($B448)),IF(FIND("-",$B448)&gt;0,MID($B448,FIND("-",$B448)+1,LEN($B448)))),"")="",IFERROR(VLOOKUP($F448,WP!$B$2:$C$23,2,0),VLOOKUP($C448,Series!$A$3:$F$11,6,0)),IFERROR(VLOOKUP($F448,WP!$B$2:$C$23,2,0),VLOOKUP($C448,Series!$A$3:$F$11,6,0))&amp;" - "&amp;(IFERROR(IF(FIND("_",$B448)&gt;0,MID($B448,FIND("_",$B448)+1,LEN($B448)),IF(FIND("-",$B448)&gt;0,MID($B448,FIND("-",$B448)+1,LEN($B448)))),""))),""),LEFT((_xlfn.IFNA(IF(IFERROR(IF(FIND("_",$B448)&gt;0,MID($B448,FIND("_",$B448)+1,LEN($B448)),IF(FIND("-",$B448)&gt;0,MID($B448,FIND("-",$B448)+1,LEN($B448)))),"")="",IFERROR(VLOOKUP($F448,WP!$B$2:$C$23,2,0),VLOOKUP($C448,Series!$A$3:$F$11,6,0)),IFERROR(VLOOKUP($F448,WP!$B$2:$C$23,2,0),VLOOKUP($C448,Series!$A$3:$F$11,6,0))&amp;" - "&amp;(IFERROR(IF(FIND("_",$B448)&gt;0,MID($B448,FIND("_",$B448)+1,LEN($B448)),IF(FIND("-",$B448)&gt;0,MID($B448,FIND("-",$B448)+1,LEN($B448)))),""))),"")),64))</f>
        <v/>
      </c>
      <c r="H448" s="12"/>
      <c r="I448" s="12" t="str">
        <f>IF($D448&lt;&gt;"",COUNTIF($D$7:$D448,"="&amp;$D448),"")</f>
        <v/>
      </c>
      <c r="J448"/>
      <c r="K448" s="8"/>
      <c r="L448"/>
    </row>
    <row r="449" spans="1:12" x14ac:dyDescent="0.3">
      <c r="A449" s="1"/>
      <c r="B449" s="26"/>
      <c r="C449" s="12" t="str">
        <f>_xlfn.IFNA(IFERROR(IF(FIND("_",$B449)&gt;0,INDEX(WP!$A$2:$F$23,MATCH(LEFT($B449,FIND("_",$B449)-1),WP!$E$2:$E$23,0),1),IF(FIND("-",$B449)&gt;0,INDEX(WP!$A$2:$F$23,MATCH(LEFT($B449,FIND("_",$B449)-1),WP!$E$2:$E$23,0),1))),INDEX(WP!$A$2:$F$23,MATCH(Results!$B449,WP!$E$2:$E$23,0),1)),"")</f>
        <v/>
      </c>
      <c r="D449" s="12" t="str">
        <f>IFERROR(IFERROR(IF(RIGHT(INDEX(WP!$A$2:$F$23,MATCH(IF(FIND("_",$B449)&gt;0,LEFT($B449,FIND("_",$B449)-1)),WP!$E$2:$E$23,0),2),6)="Series",LEFT(INDEX(WP!$A$2:$F$23,MATCH(IF(FIND("_",$B449)&gt;0,LEFT($B449,FIND("_",$B449)-1)),WP!$E$2:$E$23,0),2),5),""),IF(RIGHT(INDEX(WP!$A$2:$F$23,MATCH($B449,WP!$E$2:$E$23,0),2),6)="Series",LEFT(INDEX(WP!$A$2:$F$23,MATCH($B449,WP!$E$2:$E$23,0),2),5),"")),"")</f>
        <v/>
      </c>
      <c r="E449" s="17" t="str">
        <f>IFERROR(VLOOKUP(VALUE($D449),Series!$B$3:$F$11,2,0),"")</f>
        <v/>
      </c>
      <c r="F449" s="12" t="str">
        <f>_xlfn.IFNA(IF(IF($D449&lt;&gt;"",COUNTIF($E:$E,"="&amp;$D449),"")="",IF(RIGHT(IFERROR(IF(FIND("_",$B449)&gt;0,INDEX(WP!$A$2:$F$23,MATCH(LEFT($B449,FIND("_",$B449)-1),WP!$E$2:$E$23,0),2),IF(FIND("-",$B449)&gt;0,INDEX(WP!$A$2:$F$23,MATCH(LEFT($B449,FIND("_",$B449)-1),WP!$E$2:$E$23,0),2))),INDEX(WP!$A$2:$F$23,MATCH(Results!$B449,WP!$E$2:$E$23,0),2)),6)="Series",LEFT(IFERROR(IF(FIND("_",$B449)&gt;0,INDEX(WP!$A$2:$F$23,MATCH(LEFT($B449,FIND("_",$B449)-1),WP!$E$2:$E$23,0),2),IF(FIND("-",$B449)&gt;0,INDEX(WP!$A$2:$F$23,MATCH(LEFT($B449,FIND("_",$B449)-1),WP!$E$2:$E$23,0),2))),INDEX(WP!$A$2:$F$23,MATCH(Results!$B449,WP!$E$2:$E$23,0),2)),5),(IFERROR(IF(FIND("_",$B449)&gt;0,INDEX(WP!$A$2:$F$23,MATCH(LEFT($B449,FIND("_",$B449)-1),WP!$E$2:$E$23,0),2),IF(FIND("-",$B449)&gt;0,INDEX(WP!$A$2:$F$23,MATCH(LEFT($B449,FIND("_",$B449)-1),WP!$E$2:$E$23,0),2))),INDEX(WP!$A$2:$F$23,MATCH(Results!$B449,WP!$E$2:$E$23,0),2)))),IF(RIGHT(IFERROR(IF(FIND("_",$B449)&gt;0,INDEX(WP!$A$2:$F$23,MATCH(LEFT($B449,FIND("_",$B449)-1),WP!$E$2:$E$23,0),2),IF(FIND("-",$B449)&gt;0,INDEX(WP!$A$2:$F$23,MATCH(LEFT($B449,FIND("_",$B449)-1),WP!$E$2:$E$23,0),2))),INDEX(WP!$A$2:$F$23,MATCH(Results!$B449,WP!$E$2:$E$23,0),2)),6)="Series",LEFT(IFERROR(IF(FIND("_",$B449)&gt;0,INDEX(WP!$A$2:$F$23,MATCH(LEFT($B449,FIND("_",$B449)-1),WP!$E$2:$E$23,0),2),IF(FIND("-",$B449)&gt;0,INDEX(WP!$A$2:$F$23,MATCH(LEFT($B449,FIND("_",$B449)-1),WP!$E$2:$E$23,0),2))),INDEX(WP!$A$2:$F$23,MATCH(Results!$B449,WP!$E$2:$E$23,0),2)),5),(IFERROR(IF(FIND("_",$B449)&gt;0,INDEX(WP!$A$2:$F$23,MATCH(LEFT($B449,FIND("_",$B449)-1),WP!$E$2:$E$23,0),2),IF(FIND("-",$B449)&gt;0,INDEX(WP!$A$2:$F$23,MATCH(LEFT($B449,FIND("_",$B449)-1),WP!$E$2:$E$23,0),2))),INDEX(WP!$A$2:$F$23,MATCH(Results!$B449,WP!$E$2:$E$23,0),2))))&amp;"-"&amp;$I449),"")</f>
        <v/>
      </c>
      <c r="G449" s="17" t="str">
        <f>IF(LEN(_xlfn.IFNA(IF(IFERROR(IF(FIND("_",$B449)&gt;0,MID($B449,FIND("_",$B449)+1,LEN($B449)),IF(FIND("-",$B449)&gt;0,MID($B449,FIND("-",$B449)+1,LEN($B449)))),"")="",IFERROR(VLOOKUP($F449,WP!$B$2:$C$23,2,0),VLOOKUP($C449,Series!$A$3:$F$11,6,0)),IFERROR(VLOOKUP($F449,WP!$B$2:$C$23,2,0),VLOOKUP($C449,Series!$A$3:$F$11,6,0))&amp;" - "&amp;(IFERROR(IF(FIND("_",$B449)&gt;0,MID($B449,FIND("_",$B449)+1,LEN($B449)),IF(FIND("-",$B449)&gt;0,MID($B449,FIND("-",$B449)+1,LEN($B449)))),""))),""))&lt;64,_xlfn.IFNA(IF(IFERROR(IF(FIND("_",$B449)&gt;0,MID($B449,FIND("_",$B449)+1,LEN($B449)),IF(FIND("-",$B449)&gt;0,MID($B449,FIND("-",$B449)+1,LEN($B449)))),"")="",IFERROR(VLOOKUP($F449,WP!$B$2:$C$23,2,0),VLOOKUP($C449,Series!$A$3:$F$11,6,0)),IFERROR(VLOOKUP($F449,WP!$B$2:$C$23,2,0),VLOOKUP($C449,Series!$A$3:$F$11,6,0))&amp;" - "&amp;(IFERROR(IF(FIND("_",$B449)&gt;0,MID($B449,FIND("_",$B449)+1,LEN($B449)),IF(FIND("-",$B449)&gt;0,MID($B449,FIND("-",$B449)+1,LEN($B449)))),""))),""),LEFT((_xlfn.IFNA(IF(IFERROR(IF(FIND("_",$B449)&gt;0,MID($B449,FIND("_",$B449)+1,LEN($B449)),IF(FIND("-",$B449)&gt;0,MID($B449,FIND("-",$B449)+1,LEN($B449)))),"")="",IFERROR(VLOOKUP($F449,WP!$B$2:$C$23,2,0),VLOOKUP($C449,Series!$A$3:$F$11,6,0)),IFERROR(VLOOKUP($F449,WP!$B$2:$C$23,2,0),VLOOKUP($C449,Series!$A$3:$F$11,6,0))&amp;" - "&amp;(IFERROR(IF(FIND("_",$B449)&gt;0,MID($B449,FIND("_",$B449)+1,LEN($B449)),IF(FIND("-",$B449)&gt;0,MID($B449,FIND("-",$B449)+1,LEN($B449)))),""))),"")),64))</f>
        <v/>
      </c>
      <c r="H449" s="12"/>
      <c r="I449" s="12" t="str">
        <f>IF($D449&lt;&gt;"",COUNTIF($D$7:$D449,"="&amp;$D449),"")</f>
        <v/>
      </c>
      <c r="J449"/>
      <c r="K449" s="8"/>
      <c r="L449"/>
    </row>
    <row r="450" spans="1:12" x14ac:dyDescent="0.3">
      <c r="A450" s="1"/>
      <c r="B450" s="26"/>
      <c r="C450" s="12" t="str">
        <f>_xlfn.IFNA(IFERROR(IF(FIND("_",$B450)&gt;0,INDEX(WP!$A$2:$F$23,MATCH(LEFT($B450,FIND("_",$B450)-1),WP!$E$2:$E$23,0),1),IF(FIND("-",$B450)&gt;0,INDEX(WP!$A$2:$F$23,MATCH(LEFT($B450,FIND("_",$B450)-1),WP!$E$2:$E$23,0),1))),INDEX(WP!$A$2:$F$23,MATCH(Results!$B450,WP!$E$2:$E$23,0),1)),"")</f>
        <v/>
      </c>
      <c r="D450" s="12" t="str">
        <f>IFERROR(IFERROR(IF(RIGHT(INDEX(WP!$A$2:$F$23,MATCH(IF(FIND("_",$B450)&gt;0,LEFT($B450,FIND("_",$B450)-1)),WP!$E$2:$E$23,0),2),6)="Series",LEFT(INDEX(WP!$A$2:$F$23,MATCH(IF(FIND("_",$B450)&gt;0,LEFT($B450,FIND("_",$B450)-1)),WP!$E$2:$E$23,0),2),5),""),IF(RIGHT(INDEX(WP!$A$2:$F$23,MATCH($B450,WP!$E$2:$E$23,0),2),6)="Series",LEFT(INDEX(WP!$A$2:$F$23,MATCH($B450,WP!$E$2:$E$23,0),2),5),"")),"")</f>
        <v/>
      </c>
      <c r="E450" s="17" t="str">
        <f>IFERROR(VLOOKUP(VALUE($D450),Series!$B$3:$F$11,2,0),"")</f>
        <v/>
      </c>
      <c r="F450" s="12" t="str">
        <f>_xlfn.IFNA(IF(IF($D450&lt;&gt;"",COUNTIF($E:$E,"="&amp;$D450),"")="",IF(RIGHT(IFERROR(IF(FIND("_",$B450)&gt;0,INDEX(WP!$A$2:$F$23,MATCH(LEFT($B450,FIND("_",$B450)-1),WP!$E$2:$E$23,0),2),IF(FIND("-",$B450)&gt;0,INDEX(WP!$A$2:$F$23,MATCH(LEFT($B450,FIND("_",$B450)-1),WP!$E$2:$E$23,0),2))),INDEX(WP!$A$2:$F$23,MATCH(Results!$B450,WP!$E$2:$E$23,0),2)),6)="Series",LEFT(IFERROR(IF(FIND("_",$B450)&gt;0,INDEX(WP!$A$2:$F$23,MATCH(LEFT($B450,FIND("_",$B450)-1),WP!$E$2:$E$23,0),2),IF(FIND("-",$B450)&gt;0,INDEX(WP!$A$2:$F$23,MATCH(LEFT($B450,FIND("_",$B450)-1),WP!$E$2:$E$23,0),2))),INDEX(WP!$A$2:$F$23,MATCH(Results!$B450,WP!$E$2:$E$23,0),2)),5),(IFERROR(IF(FIND("_",$B450)&gt;0,INDEX(WP!$A$2:$F$23,MATCH(LEFT($B450,FIND("_",$B450)-1),WP!$E$2:$E$23,0),2),IF(FIND("-",$B450)&gt;0,INDEX(WP!$A$2:$F$23,MATCH(LEFT($B450,FIND("_",$B450)-1),WP!$E$2:$E$23,0),2))),INDEX(WP!$A$2:$F$23,MATCH(Results!$B450,WP!$E$2:$E$23,0),2)))),IF(RIGHT(IFERROR(IF(FIND("_",$B450)&gt;0,INDEX(WP!$A$2:$F$23,MATCH(LEFT($B450,FIND("_",$B450)-1),WP!$E$2:$E$23,0),2),IF(FIND("-",$B450)&gt;0,INDEX(WP!$A$2:$F$23,MATCH(LEFT($B450,FIND("_",$B450)-1),WP!$E$2:$E$23,0),2))),INDEX(WP!$A$2:$F$23,MATCH(Results!$B450,WP!$E$2:$E$23,0),2)),6)="Series",LEFT(IFERROR(IF(FIND("_",$B450)&gt;0,INDEX(WP!$A$2:$F$23,MATCH(LEFT($B450,FIND("_",$B450)-1),WP!$E$2:$E$23,0),2),IF(FIND("-",$B450)&gt;0,INDEX(WP!$A$2:$F$23,MATCH(LEFT($B450,FIND("_",$B450)-1),WP!$E$2:$E$23,0),2))),INDEX(WP!$A$2:$F$23,MATCH(Results!$B450,WP!$E$2:$E$23,0),2)),5),(IFERROR(IF(FIND("_",$B450)&gt;0,INDEX(WP!$A$2:$F$23,MATCH(LEFT($B450,FIND("_",$B450)-1),WP!$E$2:$E$23,0),2),IF(FIND("-",$B450)&gt;0,INDEX(WP!$A$2:$F$23,MATCH(LEFT($B450,FIND("_",$B450)-1),WP!$E$2:$E$23,0),2))),INDEX(WP!$A$2:$F$23,MATCH(Results!$B450,WP!$E$2:$E$23,0),2))))&amp;"-"&amp;$I450),"")</f>
        <v/>
      </c>
      <c r="G450" s="17" t="str">
        <f>IF(LEN(_xlfn.IFNA(IF(IFERROR(IF(FIND("_",$B450)&gt;0,MID($B450,FIND("_",$B450)+1,LEN($B450)),IF(FIND("-",$B450)&gt;0,MID($B450,FIND("-",$B450)+1,LEN($B450)))),"")="",IFERROR(VLOOKUP($F450,WP!$B$2:$C$23,2,0),VLOOKUP($C450,Series!$A$3:$F$11,6,0)),IFERROR(VLOOKUP($F450,WP!$B$2:$C$23,2,0),VLOOKUP($C450,Series!$A$3:$F$11,6,0))&amp;" - "&amp;(IFERROR(IF(FIND("_",$B450)&gt;0,MID($B450,FIND("_",$B450)+1,LEN($B450)),IF(FIND("-",$B450)&gt;0,MID($B450,FIND("-",$B450)+1,LEN($B450)))),""))),""))&lt;64,_xlfn.IFNA(IF(IFERROR(IF(FIND("_",$B450)&gt;0,MID($B450,FIND("_",$B450)+1,LEN($B450)),IF(FIND("-",$B450)&gt;0,MID($B450,FIND("-",$B450)+1,LEN($B450)))),"")="",IFERROR(VLOOKUP($F450,WP!$B$2:$C$23,2,0),VLOOKUP($C450,Series!$A$3:$F$11,6,0)),IFERROR(VLOOKUP($F450,WP!$B$2:$C$23,2,0),VLOOKUP($C450,Series!$A$3:$F$11,6,0))&amp;" - "&amp;(IFERROR(IF(FIND("_",$B450)&gt;0,MID($B450,FIND("_",$B450)+1,LEN($B450)),IF(FIND("-",$B450)&gt;0,MID($B450,FIND("-",$B450)+1,LEN($B450)))),""))),""),LEFT((_xlfn.IFNA(IF(IFERROR(IF(FIND("_",$B450)&gt;0,MID($B450,FIND("_",$B450)+1,LEN($B450)),IF(FIND("-",$B450)&gt;0,MID($B450,FIND("-",$B450)+1,LEN($B450)))),"")="",IFERROR(VLOOKUP($F450,WP!$B$2:$C$23,2,0),VLOOKUP($C450,Series!$A$3:$F$11,6,0)),IFERROR(VLOOKUP($F450,WP!$B$2:$C$23,2,0),VLOOKUP($C450,Series!$A$3:$F$11,6,0))&amp;" - "&amp;(IFERROR(IF(FIND("_",$B450)&gt;0,MID($B450,FIND("_",$B450)+1,LEN($B450)),IF(FIND("-",$B450)&gt;0,MID($B450,FIND("-",$B450)+1,LEN($B450)))),""))),"")),64))</f>
        <v/>
      </c>
      <c r="H450" s="12"/>
      <c r="I450" s="12" t="str">
        <f>IF($D450&lt;&gt;"",COUNTIF($D$7:$D450,"="&amp;$D450),"")</f>
        <v/>
      </c>
      <c r="J450"/>
      <c r="K450" s="8"/>
      <c r="L450"/>
    </row>
    <row r="451" spans="1:12" x14ac:dyDescent="0.3">
      <c r="A451" s="1"/>
      <c r="B451" s="26"/>
      <c r="C451" s="12" t="str">
        <f>_xlfn.IFNA(IFERROR(IF(FIND("_",$B451)&gt;0,INDEX(WP!$A$2:$F$23,MATCH(LEFT($B451,FIND("_",$B451)-1),WP!$E$2:$E$23,0),1),IF(FIND("-",$B451)&gt;0,INDEX(WP!$A$2:$F$23,MATCH(LEFT($B451,FIND("_",$B451)-1),WP!$E$2:$E$23,0),1))),INDEX(WP!$A$2:$F$23,MATCH(Results!$B451,WP!$E$2:$E$23,0),1)),"")</f>
        <v/>
      </c>
      <c r="D451" s="12" t="str">
        <f>IFERROR(IFERROR(IF(RIGHT(INDEX(WP!$A$2:$F$23,MATCH(IF(FIND("_",$B451)&gt;0,LEFT($B451,FIND("_",$B451)-1)),WP!$E$2:$E$23,0),2),6)="Series",LEFT(INDEX(WP!$A$2:$F$23,MATCH(IF(FIND("_",$B451)&gt;0,LEFT($B451,FIND("_",$B451)-1)),WP!$E$2:$E$23,0),2),5),""),IF(RIGHT(INDEX(WP!$A$2:$F$23,MATCH($B451,WP!$E$2:$E$23,0),2),6)="Series",LEFT(INDEX(WP!$A$2:$F$23,MATCH($B451,WP!$E$2:$E$23,0),2),5),"")),"")</f>
        <v/>
      </c>
      <c r="E451" s="17" t="str">
        <f>IFERROR(VLOOKUP(VALUE($D451),Series!$B$3:$F$11,2,0),"")</f>
        <v/>
      </c>
      <c r="F451" s="12" t="str">
        <f>_xlfn.IFNA(IF(IF($D451&lt;&gt;"",COUNTIF($E:$E,"="&amp;$D451),"")="",IF(RIGHT(IFERROR(IF(FIND("_",$B451)&gt;0,INDEX(WP!$A$2:$F$23,MATCH(LEFT($B451,FIND("_",$B451)-1),WP!$E$2:$E$23,0),2),IF(FIND("-",$B451)&gt;0,INDEX(WP!$A$2:$F$23,MATCH(LEFT($B451,FIND("_",$B451)-1),WP!$E$2:$E$23,0),2))),INDEX(WP!$A$2:$F$23,MATCH(Results!$B451,WP!$E$2:$E$23,0),2)),6)="Series",LEFT(IFERROR(IF(FIND("_",$B451)&gt;0,INDEX(WP!$A$2:$F$23,MATCH(LEFT($B451,FIND("_",$B451)-1),WP!$E$2:$E$23,0),2),IF(FIND("-",$B451)&gt;0,INDEX(WP!$A$2:$F$23,MATCH(LEFT($B451,FIND("_",$B451)-1),WP!$E$2:$E$23,0),2))),INDEX(WP!$A$2:$F$23,MATCH(Results!$B451,WP!$E$2:$E$23,0),2)),5),(IFERROR(IF(FIND("_",$B451)&gt;0,INDEX(WP!$A$2:$F$23,MATCH(LEFT($B451,FIND("_",$B451)-1),WP!$E$2:$E$23,0),2),IF(FIND("-",$B451)&gt;0,INDEX(WP!$A$2:$F$23,MATCH(LEFT($B451,FIND("_",$B451)-1),WP!$E$2:$E$23,0),2))),INDEX(WP!$A$2:$F$23,MATCH(Results!$B451,WP!$E$2:$E$23,0),2)))),IF(RIGHT(IFERROR(IF(FIND("_",$B451)&gt;0,INDEX(WP!$A$2:$F$23,MATCH(LEFT($B451,FIND("_",$B451)-1),WP!$E$2:$E$23,0),2),IF(FIND("-",$B451)&gt;0,INDEX(WP!$A$2:$F$23,MATCH(LEFT($B451,FIND("_",$B451)-1),WP!$E$2:$E$23,0),2))),INDEX(WP!$A$2:$F$23,MATCH(Results!$B451,WP!$E$2:$E$23,0),2)),6)="Series",LEFT(IFERROR(IF(FIND("_",$B451)&gt;0,INDEX(WP!$A$2:$F$23,MATCH(LEFT($B451,FIND("_",$B451)-1),WP!$E$2:$E$23,0),2),IF(FIND("-",$B451)&gt;0,INDEX(WP!$A$2:$F$23,MATCH(LEFT($B451,FIND("_",$B451)-1),WP!$E$2:$E$23,0),2))),INDEX(WP!$A$2:$F$23,MATCH(Results!$B451,WP!$E$2:$E$23,0),2)),5),(IFERROR(IF(FIND("_",$B451)&gt;0,INDEX(WP!$A$2:$F$23,MATCH(LEFT($B451,FIND("_",$B451)-1),WP!$E$2:$E$23,0),2),IF(FIND("-",$B451)&gt;0,INDEX(WP!$A$2:$F$23,MATCH(LEFT($B451,FIND("_",$B451)-1),WP!$E$2:$E$23,0),2))),INDEX(WP!$A$2:$F$23,MATCH(Results!$B451,WP!$E$2:$E$23,0),2))))&amp;"-"&amp;$I451),"")</f>
        <v/>
      </c>
      <c r="G451" s="17" t="str">
        <f>IF(LEN(_xlfn.IFNA(IF(IFERROR(IF(FIND("_",$B451)&gt;0,MID($B451,FIND("_",$B451)+1,LEN($B451)),IF(FIND("-",$B451)&gt;0,MID($B451,FIND("-",$B451)+1,LEN($B451)))),"")="",IFERROR(VLOOKUP($F451,WP!$B$2:$C$23,2,0),VLOOKUP($C451,Series!$A$3:$F$11,6,0)),IFERROR(VLOOKUP($F451,WP!$B$2:$C$23,2,0),VLOOKUP($C451,Series!$A$3:$F$11,6,0))&amp;" - "&amp;(IFERROR(IF(FIND("_",$B451)&gt;0,MID($B451,FIND("_",$B451)+1,LEN($B451)),IF(FIND("-",$B451)&gt;0,MID($B451,FIND("-",$B451)+1,LEN($B451)))),""))),""))&lt;64,_xlfn.IFNA(IF(IFERROR(IF(FIND("_",$B451)&gt;0,MID($B451,FIND("_",$B451)+1,LEN($B451)),IF(FIND("-",$B451)&gt;0,MID($B451,FIND("-",$B451)+1,LEN($B451)))),"")="",IFERROR(VLOOKUP($F451,WP!$B$2:$C$23,2,0),VLOOKUP($C451,Series!$A$3:$F$11,6,0)),IFERROR(VLOOKUP($F451,WP!$B$2:$C$23,2,0),VLOOKUP($C451,Series!$A$3:$F$11,6,0))&amp;" - "&amp;(IFERROR(IF(FIND("_",$B451)&gt;0,MID($B451,FIND("_",$B451)+1,LEN($B451)),IF(FIND("-",$B451)&gt;0,MID($B451,FIND("-",$B451)+1,LEN($B451)))),""))),""),LEFT((_xlfn.IFNA(IF(IFERROR(IF(FIND("_",$B451)&gt;0,MID($B451,FIND("_",$B451)+1,LEN($B451)),IF(FIND("-",$B451)&gt;0,MID($B451,FIND("-",$B451)+1,LEN($B451)))),"")="",IFERROR(VLOOKUP($F451,WP!$B$2:$C$23,2,0),VLOOKUP($C451,Series!$A$3:$F$11,6,0)),IFERROR(VLOOKUP($F451,WP!$B$2:$C$23,2,0),VLOOKUP($C451,Series!$A$3:$F$11,6,0))&amp;" - "&amp;(IFERROR(IF(FIND("_",$B451)&gt;0,MID($B451,FIND("_",$B451)+1,LEN($B451)),IF(FIND("-",$B451)&gt;0,MID($B451,FIND("-",$B451)+1,LEN($B451)))),""))),"")),64))</f>
        <v/>
      </c>
      <c r="H451" s="12"/>
      <c r="I451" s="12" t="str">
        <f>IF($D451&lt;&gt;"",COUNTIF($D$7:$D451,"="&amp;$D451),"")</f>
        <v/>
      </c>
      <c r="J451"/>
      <c r="K451" s="8"/>
      <c r="L451"/>
    </row>
    <row r="452" spans="1:12" x14ac:dyDescent="0.3">
      <c r="A452" s="1"/>
      <c r="B452" s="26"/>
      <c r="C452" s="12" t="str">
        <f>_xlfn.IFNA(IFERROR(IF(FIND("_",$B452)&gt;0,INDEX(WP!$A$2:$F$23,MATCH(LEFT($B452,FIND("_",$B452)-1),WP!$E$2:$E$23,0),1),IF(FIND("-",$B452)&gt;0,INDEX(WP!$A$2:$F$23,MATCH(LEFT($B452,FIND("_",$B452)-1),WP!$E$2:$E$23,0),1))),INDEX(WP!$A$2:$F$23,MATCH(Results!$B452,WP!$E$2:$E$23,0),1)),"")</f>
        <v/>
      </c>
      <c r="D452" s="12" t="str">
        <f>IFERROR(IFERROR(IF(RIGHT(INDEX(WP!$A$2:$F$23,MATCH(IF(FIND("_",$B452)&gt;0,LEFT($B452,FIND("_",$B452)-1)),WP!$E$2:$E$23,0),2),6)="Series",LEFT(INDEX(WP!$A$2:$F$23,MATCH(IF(FIND("_",$B452)&gt;0,LEFT($B452,FIND("_",$B452)-1)),WP!$E$2:$E$23,0),2),5),""),IF(RIGHT(INDEX(WP!$A$2:$F$23,MATCH($B452,WP!$E$2:$E$23,0),2),6)="Series",LEFT(INDEX(WP!$A$2:$F$23,MATCH($B452,WP!$E$2:$E$23,0),2),5),"")),"")</f>
        <v/>
      </c>
      <c r="E452" s="17" t="str">
        <f>IFERROR(VLOOKUP(VALUE($D452),Series!$B$3:$F$11,2,0),"")</f>
        <v/>
      </c>
      <c r="F452" s="12" t="str">
        <f>_xlfn.IFNA(IF(IF($D452&lt;&gt;"",COUNTIF($E:$E,"="&amp;$D452),"")="",IF(RIGHT(IFERROR(IF(FIND("_",$B452)&gt;0,INDEX(WP!$A$2:$F$23,MATCH(LEFT($B452,FIND("_",$B452)-1),WP!$E$2:$E$23,0),2),IF(FIND("-",$B452)&gt;0,INDEX(WP!$A$2:$F$23,MATCH(LEFT($B452,FIND("_",$B452)-1),WP!$E$2:$E$23,0),2))),INDEX(WP!$A$2:$F$23,MATCH(Results!$B452,WP!$E$2:$E$23,0),2)),6)="Series",LEFT(IFERROR(IF(FIND("_",$B452)&gt;0,INDEX(WP!$A$2:$F$23,MATCH(LEFT($B452,FIND("_",$B452)-1),WP!$E$2:$E$23,0),2),IF(FIND("-",$B452)&gt;0,INDEX(WP!$A$2:$F$23,MATCH(LEFT($B452,FIND("_",$B452)-1),WP!$E$2:$E$23,0),2))),INDEX(WP!$A$2:$F$23,MATCH(Results!$B452,WP!$E$2:$E$23,0),2)),5),(IFERROR(IF(FIND("_",$B452)&gt;0,INDEX(WP!$A$2:$F$23,MATCH(LEFT($B452,FIND("_",$B452)-1),WP!$E$2:$E$23,0),2),IF(FIND("-",$B452)&gt;0,INDEX(WP!$A$2:$F$23,MATCH(LEFT($B452,FIND("_",$B452)-1),WP!$E$2:$E$23,0),2))),INDEX(WP!$A$2:$F$23,MATCH(Results!$B452,WP!$E$2:$E$23,0),2)))),IF(RIGHT(IFERROR(IF(FIND("_",$B452)&gt;0,INDEX(WP!$A$2:$F$23,MATCH(LEFT($B452,FIND("_",$B452)-1),WP!$E$2:$E$23,0),2),IF(FIND("-",$B452)&gt;0,INDEX(WP!$A$2:$F$23,MATCH(LEFT($B452,FIND("_",$B452)-1),WP!$E$2:$E$23,0),2))),INDEX(WP!$A$2:$F$23,MATCH(Results!$B452,WP!$E$2:$E$23,0),2)),6)="Series",LEFT(IFERROR(IF(FIND("_",$B452)&gt;0,INDEX(WP!$A$2:$F$23,MATCH(LEFT($B452,FIND("_",$B452)-1),WP!$E$2:$E$23,0),2),IF(FIND("-",$B452)&gt;0,INDEX(WP!$A$2:$F$23,MATCH(LEFT($B452,FIND("_",$B452)-1),WP!$E$2:$E$23,0),2))),INDEX(WP!$A$2:$F$23,MATCH(Results!$B452,WP!$E$2:$E$23,0),2)),5),(IFERROR(IF(FIND("_",$B452)&gt;0,INDEX(WP!$A$2:$F$23,MATCH(LEFT($B452,FIND("_",$B452)-1),WP!$E$2:$E$23,0),2),IF(FIND("-",$B452)&gt;0,INDEX(WP!$A$2:$F$23,MATCH(LEFT($B452,FIND("_",$B452)-1),WP!$E$2:$E$23,0),2))),INDEX(WP!$A$2:$F$23,MATCH(Results!$B452,WP!$E$2:$E$23,0),2))))&amp;"-"&amp;$I452),"")</f>
        <v/>
      </c>
      <c r="G452" s="17" t="str">
        <f>IF(LEN(_xlfn.IFNA(IF(IFERROR(IF(FIND("_",$B452)&gt;0,MID($B452,FIND("_",$B452)+1,LEN($B452)),IF(FIND("-",$B452)&gt;0,MID($B452,FIND("-",$B452)+1,LEN($B452)))),"")="",IFERROR(VLOOKUP($F452,WP!$B$2:$C$23,2,0),VLOOKUP($C452,Series!$A$3:$F$11,6,0)),IFERROR(VLOOKUP($F452,WP!$B$2:$C$23,2,0),VLOOKUP($C452,Series!$A$3:$F$11,6,0))&amp;" - "&amp;(IFERROR(IF(FIND("_",$B452)&gt;0,MID($B452,FIND("_",$B452)+1,LEN($B452)),IF(FIND("-",$B452)&gt;0,MID($B452,FIND("-",$B452)+1,LEN($B452)))),""))),""))&lt;64,_xlfn.IFNA(IF(IFERROR(IF(FIND("_",$B452)&gt;0,MID($B452,FIND("_",$B452)+1,LEN($B452)),IF(FIND("-",$B452)&gt;0,MID($B452,FIND("-",$B452)+1,LEN($B452)))),"")="",IFERROR(VLOOKUP($F452,WP!$B$2:$C$23,2,0),VLOOKUP($C452,Series!$A$3:$F$11,6,0)),IFERROR(VLOOKUP($F452,WP!$B$2:$C$23,2,0),VLOOKUP($C452,Series!$A$3:$F$11,6,0))&amp;" - "&amp;(IFERROR(IF(FIND("_",$B452)&gt;0,MID($B452,FIND("_",$B452)+1,LEN($B452)),IF(FIND("-",$B452)&gt;0,MID($B452,FIND("-",$B452)+1,LEN($B452)))),""))),""),LEFT((_xlfn.IFNA(IF(IFERROR(IF(FIND("_",$B452)&gt;0,MID($B452,FIND("_",$B452)+1,LEN($B452)),IF(FIND("-",$B452)&gt;0,MID($B452,FIND("-",$B452)+1,LEN($B452)))),"")="",IFERROR(VLOOKUP($F452,WP!$B$2:$C$23,2,0),VLOOKUP($C452,Series!$A$3:$F$11,6,0)),IFERROR(VLOOKUP($F452,WP!$B$2:$C$23,2,0),VLOOKUP($C452,Series!$A$3:$F$11,6,0))&amp;" - "&amp;(IFERROR(IF(FIND("_",$B452)&gt;0,MID($B452,FIND("_",$B452)+1,LEN($B452)),IF(FIND("-",$B452)&gt;0,MID($B452,FIND("-",$B452)+1,LEN($B452)))),""))),"")),64))</f>
        <v/>
      </c>
      <c r="H452" s="12"/>
      <c r="I452" s="12" t="str">
        <f>IF($D452&lt;&gt;"",COUNTIF($D$7:$D452,"="&amp;$D452),"")</f>
        <v/>
      </c>
      <c r="J452"/>
      <c r="K452" s="8"/>
      <c r="L452"/>
    </row>
    <row r="453" spans="1:12" x14ac:dyDescent="0.3">
      <c r="A453" s="1"/>
      <c r="B453" s="26"/>
      <c r="C453" s="12" t="str">
        <f>_xlfn.IFNA(IFERROR(IF(FIND("_",$B453)&gt;0,INDEX(WP!$A$2:$F$23,MATCH(LEFT($B453,FIND("_",$B453)-1),WP!$E$2:$E$23,0),1),IF(FIND("-",$B453)&gt;0,INDEX(WP!$A$2:$F$23,MATCH(LEFT($B453,FIND("_",$B453)-1),WP!$E$2:$E$23,0),1))),INDEX(WP!$A$2:$F$23,MATCH(Results!$B453,WP!$E$2:$E$23,0),1)),"")</f>
        <v/>
      </c>
      <c r="D453" s="12" t="str">
        <f>IFERROR(IFERROR(IF(RIGHT(INDEX(WP!$A$2:$F$23,MATCH(IF(FIND("_",$B453)&gt;0,LEFT($B453,FIND("_",$B453)-1)),WP!$E$2:$E$23,0),2),6)="Series",LEFT(INDEX(WP!$A$2:$F$23,MATCH(IF(FIND("_",$B453)&gt;0,LEFT($B453,FIND("_",$B453)-1)),WP!$E$2:$E$23,0),2),5),""),IF(RIGHT(INDEX(WP!$A$2:$F$23,MATCH($B453,WP!$E$2:$E$23,0),2),6)="Series",LEFT(INDEX(WP!$A$2:$F$23,MATCH($B453,WP!$E$2:$E$23,0),2),5),"")),"")</f>
        <v/>
      </c>
      <c r="E453" s="17" t="str">
        <f>IFERROR(VLOOKUP(VALUE($D453),Series!$B$3:$F$11,2,0),"")</f>
        <v/>
      </c>
      <c r="F453" s="12" t="str">
        <f>_xlfn.IFNA(IF(IF($D453&lt;&gt;"",COUNTIF($E:$E,"="&amp;$D453),"")="",IF(RIGHT(IFERROR(IF(FIND("_",$B453)&gt;0,INDEX(WP!$A$2:$F$23,MATCH(LEFT($B453,FIND("_",$B453)-1),WP!$E$2:$E$23,0),2),IF(FIND("-",$B453)&gt;0,INDEX(WP!$A$2:$F$23,MATCH(LEFT($B453,FIND("_",$B453)-1),WP!$E$2:$E$23,0),2))),INDEX(WP!$A$2:$F$23,MATCH(Results!$B453,WP!$E$2:$E$23,0),2)),6)="Series",LEFT(IFERROR(IF(FIND("_",$B453)&gt;0,INDEX(WP!$A$2:$F$23,MATCH(LEFT($B453,FIND("_",$B453)-1),WP!$E$2:$E$23,0),2),IF(FIND("-",$B453)&gt;0,INDEX(WP!$A$2:$F$23,MATCH(LEFT($B453,FIND("_",$B453)-1),WP!$E$2:$E$23,0),2))),INDEX(WP!$A$2:$F$23,MATCH(Results!$B453,WP!$E$2:$E$23,0),2)),5),(IFERROR(IF(FIND("_",$B453)&gt;0,INDEX(WP!$A$2:$F$23,MATCH(LEFT($B453,FIND("_",$B453)-1),WP!$E$2:$E$23,0),2),IF(FIND("-",$B453)&gt;0,INDEX(WP!$A$2:$F$23,MATCH(LEFT($B453,FIND("_",$B453)-1),WP!$E$2:$E$23,0),2))),INDEX(WP!$A$2:$F$23,MATCH(Results!$B453,WP!$E$2:$E$23,0),2)))),IF(RIGHT(IFERROR(IF(FIND("_",$B453)&gt;0,INDEX(WP!$A$2:$F$23,MATCH(LEFT($B453,FIND("_",$B453)-1),WP!$E$2:$E$23,0),2),IF(FIND("-",$B453)&gt;0,INDEX(WP!$A$2:$F$23,MATCH(LEFT($B453,FIND("_",$B453)-1),WP!$E$2:$E$23,0),2))),INDEX(WP!$A$2:$F$23,MATCH(Results!$B453,WP!$E$2:$E$23,0),2)),6)="Series",LEFT(IFERROR(IF(FIND("_",$B453)&gt;0,INDEX(WP!$A$2:$F$23,MATCH(LEFT($B453,FIND("_",$B453)-1),WP!$E$2:$E$23,0),2),IF(FIND("-",$B453)&gt;0,INDEX(WP!$A$2:$F$23,MATCH(LEFT($B453,FIND("_",$B453)-1),WP!$E$2:$E$23,0),2))),INDEX(WP!$A$2:$F$23,MATCH(Results!$B453,WP!$E$2:$E$23,0),2)),5),(IFERROR(IF(FIND("_",$B453)&gt;0,INDEX(WP!$A$2:$F$23,MATCH(LEFT($B453,FIND("_",$B453)-1),WP!$E$2:$E$23,0),2),IF(FIND("-",$B453)&gt;0,INDEX(WP!$A$2:$F$23,MATCH(LEFT($B453,FIND("_",$B453)-1),WP!$E$2:$E$23,0),2))),INDEX(WP!$A$2:$F$23,MATCH(Results!$B453,WP!$E$2:$E$23,0),2))))&amp;"-"&amp;$I453),"")</f>
        <v/>
      </c>
      <c r="G453" s="17" t="str">
        <f>IF(LEN(_xlfn.IFNA(IF(IFERROR(IF(FIND("_",$B453)&gt;0,MID($B453,FIND("_",$B453)+1,LEN($B453)),IF(FIND("-",$B453)&gt;0,MID($B453,FIND("-",$B453)+1,LEN($B453)))),"")="",IFERROR(VLOOKUP($F453,WP!$B$2:$C$23,2,0),VLOOKUP($C453,Series!$A$3:$F$11,6,0)),IFERROR(VLOOKUP($F453,WP!$B$2:$C$23,2,0),VLOOKUP($C453,Series!$A$3:$F$11,6,0))&amp;" - "&amp;(IFERROR(IF(FIND("_",$B453)&gt;0,MID($B453,FIND("_",$B453)+1,LEN($B453)),IF(FIND("-",$B453)&gt;0,MID($B453,FIND("-",$B453)+1,LEN($B453)))),""))),""))&lt;64,_xlfn.IFNA(IF(IFERROR(IF(FIND("_",$B453)&gt;0,MID($B453,FIND("_",$B453)+1,LEN($B453)),IF(FIND("-",$B453)&gt;0,MID($B453,FIND("-",$B453)+1,LEN($B453)))),"")="",IFERROR(VLOOKUP($F453,WP!$B$2:$C$23,2,0),VLOOKUP($C453,Series!$A$3:$F$11,6,0)),IFERROR(VLOOKUP($F453,WP!$B$2:$C$23,2,0),VLOOKUP($C453,Series!$A$3:$F$11,6,0))&amp;" - "&amp;(IFERROR(IF(FIND("_",$B453)&gt;0,MID($B453,FIND("_",$B453)+1,LEN($B453)),IF(FIND("-",$B453)&gt;0,MID($B453,FIND("-",$B453)+1,LEN($B453)))),""))),""),LEFT((_xlfn.IFNA(IF(IFERROR(IF(FIND("_",$B453)&gt;0,MID($B453,FIND("_",$B453)+1,LEN($B453)),IF(FIND("-",$B453)&gt;0,MID($B453,FIND("-",$B453)+1,LEN($B453)))),"")="",IFERROR(VLOOKUP($F453,WP!$B$2:$C$23,2,0),VLOOKUP($C453,Series!$A$3:$F$11,6,0)),IFERROR(VLOOKUP($F453,WP!$B$2:$C$23,2,0),VLOOKUP($C453,Series!$A$3:$F$11,6,0))&amp;" - "&amp;(IFERROR(IF(FIND("_",$B453)&gt;0,MID($B453,FIND("_",$B453)+1,LEN($B453)),IF(FIND("-",$B453)&gt;0,MID($B453,FIND("-",$B453)+1,LEN($B453)))),""))),"")),64))</f>
        <v/>
      </c>
      <c r="H453" s="12"/>
      <c r="I453" s="12" t="str">
        <f>IF($D453&lt;&gt;"",COUNTIF($D$7:$D453,"="&amp;$D453),"")</f>
        <v/>
      </c>
      <c r="J453"/>
      <c r="K453" s="8"/>
      <c r="L453"/>
    </row>
    <row r="454" spans="1:12" x14ac:dyDescent="0.3">
      <c r="A454" s="1"/>
      <c r="B454" s="26"/>
      <c r="C454" s="12" t="str">
        <f>_xlfn.IFNA(IFERROR(IF(FIND("_",$B454)&gt;0,INDEX(WP!$A$2:$F$23,MATCH(LEFT($B454,FIND("_",$B454)-1),WP!$E$2:$E$23,0),1),IF(FIND("-",$B454)&gt;0,INDEX(WP!$A$2:$F$23,MATCH(LEFT($B454,FIND("_",$B454)-1),WP!$E$2:$E$23,0),1))),INDEX(WP!$A$2:$F$23,MATCH(Results!$B454,WP!$E$2:$E$23,0),1)),"")</f>
        <v/>
      </c>
      <c r="D454" s="12" t="str">
        <f>IFERROR(IFERROR(IF(RIGHT(INDEX(WP!$A$2:$F$23,MATCH(IF(FIND("_",$B454)&gt;0,LEFT($B454,FIND("_",$B454)-1)),WP!$E$2:$E$23,0),2),6)="Series",LEFT(INDEX(WP!$A$2:$F$23,MATCH(IF(FIND("_",$B454)&gt;0,LEFT($B454,FIND("_",$B454)-1)),WP!$E$2:$E$23,0),2),5),""),IF(RIGHT(INDEX(WP!$A$2:$F$23,MATCH($B454,WP!$E$2:$E$23,0),2),6)="Series",LEFT(INDEX(WP!$A$2:$F$23,MATCH($B454,WP!$E$2:$E$23,0),2),5),"")),"")</f>
        <v/>
      </c>
      <c r="E454" s="17" t="str">
        <f>IFERROR(VLOOKUP(VALUE($D454),Series!$B$3:$F$11,2,0),"")</f>
        <v/>
      </c>
      <c r="F454" s="12" t="str">
        <f>_xlfn.IFNA(IF(IF($D454&lt;&gt;"",COUNTIF($E:$E,"="&amp;$D454),"")="",IF(RIGHT(IFERROR(IF(FIND("_",$B454)&gt;0,INDEX(WP!$A$2:$F$23,MATCH(LEFT($B454,FIND("_",$B454)-1),WP!$E$2:$E$23,0),2),IF(FIND("-",$B454)&gt;0,INDEX(WP!$A$2:$F$23,MATCH(LEFT($B454,FIND("_",$B454)-1),WP!$E$2:$E$23,0),2))),INDEX(WP!$A$2:$F$23,MATCH(Results!$B454,WP!$E$2:$E$23,0),2)),6)="Series",LEFT(IFERROR(IF(FIND("_",$B454)&gt;0,INDEX(WP!$A$2:$F$23,MATCH(LEFT($B454,FIND("_",$B454)-1),WP!$E$2:$E$23,0),2),IF(FIND("-",$B454)&gt;0,INDEX(WP!$A$2:$F$23,MATCH(LEFT($B454,FIND("_",$B454)-1),WP!$E$2:$E$23,0),2))),INDEX(WP!$A$2:$F$23,MATCH(Results!$B454,WP!$E$2:$E$23,0),2)),5),(IFERROR(IF(FIND("_",$B454)&gt;0,INDEX(WP!$A$2:$F$23,MATCH(LEFT($B454,FIND("_",$B454)-1),WP!$E$2:$E$23,0),2),IF(FIND("-",$B454)&gt;0,INDEX(WP!$A$2:$F$23,MATCH(LEFT($B454,FIND("_",$B454)-1),WP!$E$2:$E$23,0),2))),INDEX(WP!$A$2:$F$23,MATCH(Results!$B454,WP!$E$2:$E$23,0),2)))),IF(RIGHT(IFERROR(IF(FIND("_",$B454)&gt;0,INDEX(WP!$A$2:$F$23,MATCH(LEFT($B454,FIND("_",$B454)-1),WP!$E$2:$E$23,0),2),IF(FIND("-",$B454)&gt;0,INDEX(WP!$A$2:$F$23,MATCH(LEFT($B454,FIND("_",$B454)-1),WP!$E$2:$E$23,0),2))),INDEX(WP!$A$2:$F$23,MATCH(Results!$B454,WP!$E$2:$E$23,0),2)),6)="Series",LEFT(IFERROR(IF(FIND("_",$B454)&gt;0,INDEX(WP!$A$2:$F$23,MATCH(LEFT($B454,FIND("_",$B454)-1),WP!$E$2:$E$23,0),2),IF(FIND("-",$B454)&gt;0,INDEX(WP!$A$2:$F$23,MATCH(LEFT($B454,FIND("_",$B454)-1),WP!$E$2:$E$23,0),2))),INDEX(WP!$A$2:$F$23,MATCH(Results!$B454,WP!$E$2:$E$23,0),2)),5),(IFERROR(IF(FIND("_",$B454)&gt;0,INDEX(WP!$A$2:$F$23,MATCH(LEFT($B454,FIND("_",$B454)-1),WP!$E$2:$E$23,0),2),IF(FIND("-",$B454)&gt;0,INDEX(WP!$A$2:$F$23,MATCH(LEFT($B454,FIND("_",$B454)-1),WP!$E$2:$E$23,0),2))),INDEX(WP!$A$2:$F$23,MATCH(Results!$B454,WP!$E$2:$E$23,0),2))))&amp;"-"&amp;$I454),"")</f>
        <v/>
      </c>
      <c r="G454" s="17" t="str">
        <f>IF(LEN(_xlfn.IFNA(IF(IFERROR(IF(FIND("_",$B454)&gt;0,MID($B454,FIND("_",$B454)+1,LEN($B454)),IF(FIND("-",$B454)&gt;0,MID($B454,FIND("-",$B454)+1,LEN($B454)))),"")="",IFERROR(VLOOKUP($F454,WP!$B$2:$C$23,2,0),VLOOKUP($C454,Series!$A$3:$F$11,6,0)),IFERROR(VLOOKUP($F454,WP!$B$2:$C$23,2,0),VLOOKUP($C454,Series!$A$3:$F$11,6,0))&amp;" - "&amp;(IFERROR(IF(FIND("_",$B454)&gt;0,MID($B454,FIND("_",$B454)+1,LEN($B454)),IF(FIND("-",$B454)&gt;0,MID($B454,FIND("-",$B454)+1,LEN($B454)))),""))),""))&lt;64,_xlfn.IFNA(IF(IFERROR(IF(FIND("_",$B454)&gt;0,MID($B454,FIND("_",$B454)+1,LEN($B454)),IF(FIND("-",$B454)&gt;0,MID($B454,FIND("-",$B454)+1,LEN($B454)))),"")="",IFERROR(VLOOKUP($F454,WP!$B$2:$C$23,2,0),VLOOKUP($C454,Series!$A$3:$F$11,6,0)),IFERROR(VLOOKUP($F454,WP!$B$2:$C$23,2,0),VLOOKUP($C454,Series!$A$3:$F$11,6,0))&amp;" - "&amp;(IFERROR(IF(FIND("_",$B454)&gt;0,MID($B454,FIND("_",$B454)+1,LEN($B454)),IF(FIND("-",$B454)&gt;0,MID($B454,FIND("-",$B454)+1,LEN($B454)))),""))),""),LEFT((_xlfn.IFNA(IF(IFERROR(IF(FIND("_",$B454)&gt;0,MID($B454,FIND("_",$B454)+1,LEN($B454)),IF(FIND("-",$B454)&gt;0,MID($B454,FIND("-",$B454)+1,LEN($B454)))),"")="",IFERROR(VLOOKUP($F454,WP!$B$2:$C$23,2,0),VLOOKUP($C454,Series!$A$3:$F$11,6,0)),IFERROR(VLOOKUP($F454,WP!$B$2:$C$23,2,0),VLOOKUP($C454,Series!$A$3:$F$11,6,0))&amp;" - "&amp;(IFERROR(IF(FIND("_",$B454)&gt;0,MID($B454,FIND("_",$B454)+1,LEN($B454)),IF(FIND("-",$B454)&gt;0,MID($B454,FIND("-",$B454)+1,LEN($B454)))),""))),"")),64))</f>
        <v/>
      </c>
      <c r="H454" s="12"/>
      <c r="I454" s="12" t="str">
        <f>IF($D454&lt;&gt;"",COUNTIF($D$7:$D454,"="&amp;$D454),"")</f>
        <v/>
      </c>
      <c r="J454"/>
      <c r="K454" s="8"/>
      <c r="L454"/>
    </row>
    <row r="455" spans="1:12" x14ac:dyDescent="0.3">
      <c r="A455" s="1"/>
      <c r="B455" s="26"/>
      <c r="C455" s="12" t="str">
        <f>_xlfn.IFNA(IFERROR(IF(FIND("_",$B455)&gt;0,INDEX(WP!$A$2:$F$23,MATCH(LEFT($B455,FIND("_",$B455)-1),WP!$E$2:$E$23,0),1),IF(FIND("-",$B455)&gt;0,INDEX(WP!$A$2:$F$23,MATCH(LEFT($B455,FIND("_",$B455)-1),WP!$E$2:$E$23,0),1))),INDEX(WP!$A$2:$F$23,MATCH(Results!$B455,WP!$E$2:$E$23,0),1)),"")</f>
        <v/>
      </c>
      <c r="D455" s="12" t="str">
        <f>IFERROR(IFERROR(IF(RIGHT(INDEX(WP!$A$2:$F$23,MATCH(IF(FIND("_",$B455)&gt;0,LEFT($B455,FIND("_",$B455)-1)),WP!$E$2:$E$23,0),2),6)="Series",LEFT(INDEX(WP!$A$2:$F$23,MATCH(IF(FIND("_",$B455)&gt;0,LEFT($B455,FIND("_",$B455)-1)),WP!$E$2:$E$23,0),2),5),""),IF(RIGHT(INDEX(WP!$A$2:$F$23,MATCH($B455,WP!$E$2:$E$23,0),2),6)="Series",LEFT(INDEX(WP!$A$2:$F$23,MATCH($B455,WP!$E$2:$E$23,0),2),5),"")),"")</f>
        <v/>
      </c>
      <c r="E455" s="17" t="str">
        <f>IFERROR(VLOOKUP(VALUE($D455),Series!$B$3:$F$11,2,0),"")</f>
        <v/>
      </c>
      <c r="F455" s="12" t="str">
        <f>_xlfn.IFNA(IF(IF($D455&lt;&gt;"",COUNTIF($E:$E,"="&amp;$D455),"")="",IF(RIGHT(IFERROR(IF(FIND("_",$B455)&gt;0,INDEX(WP!$A$2:$F$23,MATCH(LEFT($B455,FIND("_",$B455)-1),WP!$E$2:$E$23,0),2),IF(FIND("-",$B455)&gt;0,INDEX(WP!$A$2:$F$23,MATCH(LEFT($B455,FIND("_",$B455)-1),WP!$E$2:$E$23,0),2))),INDEX(WP!$A$2:$F$23,MATCH(Results!$B455,WP!$E$2:$E$23,0),2)),6)="Series",LEFT(IFERROR(IF(FIND("_",$B455)&gt;0,INDEX(WP!$A$2:$F$23,MATCH(LEFT($B455,FIND("_",$B455)-1),WP!$E$2:$E$23,0),2),IF(FIND("-",$B455)&gt;0,INDEX(WP!$A$2:$F$23,MATCH(LEFT($B455,FIND("_",$B455)-1),WP!$E$2:$E$23,0),2))),INDEX(WP!$A$2:$F$23,MATCH(Results!$B455,WP!$E$2:$E$23,0),2)),5),(IFERROR(IF(FIND("_",$B455)&gt;0,INDEX(WP!$A$2:$F$23,MATCH(LEFT($B455,FIND("_",$B455)-1),WP!$E$2:$E$23,0),2),IF(FIND("-",$B455)&gt;0,INDEX(WP!$A$2:$F$23,MATCH(LEFT($B455,FIND("_",$B455)-1),WP!$E$2:$E$23,0),2))),INDEX(WP!$A$2:$F$23,MATCH(Results!$B455,WP!$E$2:$E$23,0),2)))),IF(RIGHT(IFERROR(IF(FIND("_",$B455)&gt;0,INDEX(WP!$A$2:$F$23,MATCH(LEFT($B455,FIND("_",$B455)-1),WP!$E$2:$E$23,0),2),IF(FIND("-",$B455)&gt;0,INDEX(WP!$A$2:$F$23,MATCH(LEFT($B455,FIND("_",$B455)-1),WP!$E$2:$E$23,0),2))),INDEX(WP!$A$2:$F$23,MATCH(Results!$B455,WP!$E$2:$E$23,0),2)),6)="Series",LEFT(IFERROR(IF(FIND("_",$B455)&gt;0,INDEX(WP!$A$2:$F$23,MATCH(LEFT($B455,FIND("_",$B455)-1),WP!$E$2:$E$23,0),2),IF(FIND("-",$B455)&gt;0,INDEX(WP!$A$2:$F$23,MATCH(LEFT($B455,FIND("_",$B455)-1),WP!$E$2:$E$23,0),2))),INDEX(WP!$A$2:$F$23,MATCH(Results!$B455,WP!$E$2:$E$23,0),2)),5),(IFERROR(IF(FIND("_",$B455)&gt;0,INDEX(WP!$A$2:$F$23,MATCH(LEFT($B455,FIND("_",$B455)-1),WP!$E$2:$E$23,0),2),IF(FIND("-",$B455)&gt;0,INDEX(WP!$A$2:$F$23,MATCH(LEFT($B455,FIND("_",$B455)-1),WP!$E$2:$E$23,0),2))),INDEX(WP!$A$2:$F$23,MATCH(Results!$B455,WP!$E$2:$E$23,0),2))))&amp;"-"&amp;$I455),"")</f>
        <v/>
      </c>
      <c r="G455" s="17" t="str">
        <f>IF(LEN(_xlfn.IFNA(IF(IFERROR(IF(FIND("_",$B455)&gt;0,MID($B455,FIND("_",$B455)+1,LEN($B455)),IF(FIND("-",$B455)&gt;0,MID($B455,FIND("-",$B455)+1,LEN($B455)))),"")="",IFERROR(VLOOKUP($F455,WP!$B$2:$C$23,2,0),VLOOKUP($C455,Series!$A$3:$F$11,6,0)),IFERROR(VLOOKUP($F455,WP!$B$2:$C$23,2,0),VLOOKUP($C455,Series!$A$3:$F$11,6,0))&amp;" - "&amp;(IFERROR(IF(FIND("_",$B455)&gt;0,MID($B455,FIND("_",$B455)+1,LEN($B455)),IF(FIND("-",$B455)&gt;0,MID($B455,FIND("-",$B455)+1,LEN($B455)))),""))),""))&lt;64,_xlfn.IFNA(IF(IFERROR(IF(FIND("_",$B455)&gt;0,MID($B455,FIND("_",$B455)+1,LEN($B455)),IF(FIND("-",$B455)&gt;0,MID($B455,FIND("-",$B455)+1,LEN($B455)))),"")="",IFERROR(VLOOKUP($F455,WP!$B$2:$C$23,2,0),VLOOKUP($C455,Series!$A$3:$F$11,6,0)),IFERROR(VLOOKUP($F455,WP!$B$2:$C$23,2,0),VLOOKUP($C455,Series!$A$3:$F$11,6,0))&amp;" - "&amp;(IFERROR(IF(FIND("_",$B455)&gt;0,MID($B455,FIND("_",$B455)+1,LEN($B455)),IF(FIND("-",$B455)&gt;0,MID($B455,FIND("-",$B455)+1,LEN($B455)))),""))),""),LEFT((_xlfn.IFNA(IF(IFERROR(IF(FIND("_",$B455)&gt;0,MID($B455,FIND("_",$B455)+1,LEN($B455)),IF(FIND("-",$B455)&gt;0,MID($B455,FIND("-",$B455)+1,LEN($B455)))),"")="",IFERROR(VLOOKUP($F455,WP!$B$2:$C$23,2,0),VLOOKUP($C455,Series!$A$3:$F$11,6,0)),IFERROR(VLOOKUP($F455,WP!$B$2:$C$23,2,0),VLOOKUP($C455,Series!$A$3:$F$11,6,0))&amp;" - "&amp;(IFERROR(IF(FIND("_",$B455)&gt;0,MID($B455,FIND("_",$B455)+1,LEN($B455)),IF(FIND("-",$B455)&gt;0,MID($B455,FIND("-",$B455)+1,LEN($B455)))),""))),"")),64))</f>
        <v/>
      </c>
      <c r="H455" s="12"/>
      <c r="I455" s="12" t="str">
        <f>IF($D455&lt;&gt;"",COUNTIF($D$7:$D455,"="&amp;$D455),"")</f>
        <v/>
      </c>
      <c r="J455"/>
      <c r="K455" s="8"/>
      <c r="L455"/>
    </row>
    <row r="456" spans="1:12" x14ac:dyDescent="0.3">
      <c r="A456" s="1"/>
      <c r="B456" s="26"/>
      <c r="C456" s="12" t="str">
        <f>_xlfn.IFNA(IFERROR(IF(FIND("_",$B456)&gt;0,INDEX(WP!$A$2:$F$23,MATCH(LEFT($B456,FIND("_",$B456)-1),WP!$E$2:$E$23,0),1),IF(FIND("-",$B456)&gt;0,INDEX(WP!$A$2:$F$23,MATCH(LEFT($B456,FIND("_",$B456)-1),WP!$E$2:$E$23,0),1))),INDEX(WP!$A$2:$F$23,MATCH(Results!$B456,WP!$E$2:$E$23,0),1)),"")</f>
        <v/>
      </c>
      <c r="D456" s="12" t="str">
        <f>IFERROR(IFERROR(IF(RIGHT(INDEX(WP!$A$2:$F$23,MATCH(IF(FIND("_",$B456)&gt;0,LEFT($B456,FIND("_",$B456)-1)),WP!$E$2:$E$23,0),2),6)="Series",LEFT(INDEX(WP!$A$2:$F$23,MATCH(IF(FIND("_",$B456)&gt;0,LEFT($B456,FIND("_",$B456)-1)),WP!$E$2:$E$23,0),2),5),""),IF(RIGHT(INDEX(WP!$A$2:$F$23,MATCH($B456,WP!$E$2:$E$23,0),2),6)="Series",LEFT(INDEX(WP!$A$2:$F$23,MATCH($B456,WP!$E$2:$E$23,0),2),5),"")),"")</f>
        <v/>
      </c>
      <c r="E456" s="17" t="str">
        <f>IFERROR(VLOOKUP(VALUE($D456),Series!$B$3:$F$11,2,0),"")</f>
        <v/>
      </c>
      <c r="F456" s="12" t="str">
        <f>_xlfn.IFNA(IF(IF($D456&lt;&gt;"",COUNTIF($E:$E,"="&amp;$D456),"")="",IF(RIGHT(IFERROR(IF(FIND("_",$B456)&gt;0,INDEX(WP!$A$2:$F$23,MATCH(LEFT($B456,FIND("_",$B456)-1),WP!$E$2:$E$23,0),2),IF(FIND("-",$B456)&gt;0,INDEX(WP!$A$2:$F$23,MATCH(LEFT($B456,FIND("_",$B456)-1),WP!$E$2:$E$23,0),2))),INDEX(WP!$A$2:$F$23,MATCH(Results!$B456,WP!$E$2:$E$23,0),2)),6)="Series",LEFT(IFERROR(IF(FIND("_",$B456)&gt;0,INDEX(WP!$A$2:$F$23,MATCH(LEFT($B456,FIND("_",$B456)-1),WP!$E$2:$E$23,0),2),IF(FIND("-",$B456)&gt;0,INDEX(WP!$A$2:$F$23,MATCH(LEFT($B456,FIND("_",$B456)-1),WP!$E$2:$E$23,0),2))),INDEX(WP!$A$2:$F$23,MATCH(Results!$B456,WP!$E$2:$E$23,0),2)),5),(IFERROR(IF(FIND("_",$B456)&gt;0,INDEX(WP!$A$2:$F$23,MATCH(LEFT($B456,FIND("_",$B456)-1),WP!$E$2:$E$23,0),2),IF(FIND("-",$B456)&gt;0,INDEX(WP!$A$2:$F$23,MATCH(LEFT($B456,FIND("_",$B456)-1),WP!$E$2:$E$23,0),2))),INDEX(WP!$A$2:$F$23,MATCH(Results!$B456,WP!$E$2:$E$23,0),2)))),IF(RIGHT(IFERROR(IF(FIND("_",$B456)&gt;0,INDEX(WP!$A$2:$F$23,MATCH(LEFT($B456,FIND("_",$B456)-1),WP!$E$2:$E$23,0),2),IF(FIND("-",$B456)&gt;0,INDEX(WP!$A$2:$F$23,MATCH(LEFT($B456,FIND("_",$B456)-1),WP!$E$2:$E$23,0),2))),INDEX(WP!$A$2:$F$23,MATCH(Results!$B456,WP!$E$2:$E$23,0),2)),6)="Series",LEFT(IFERROR(IF(FIND("_",$B456)&gt;0,INDEX(WP!$A$2:$F$23,MATCH(LEFT($B456,FIND("_",$B456)-1),WP!$E$2:$E$23,0),2),IF(FIND("-",$B456)&gt;0,INDEX(WP!$A$2:$F$23,MATCH(LEFT($B456,FIND("_",$B456)-1),WP!$E$2:$E$23,0),2))),INDEX(WP!$A$2:$F$23,MATCH(Results!$B456,WP!$E$2:$E$23,0),2)),5),(IFERROR(IF(FIND("_",$B456)&gt;0,INDEX(WP!$A$2:$F$23,MATCH(LEFT($B456,FIND("_",$B456)-1),WP!$E$2:$E$23,0),2),IF(FIND("-",$B456)&gt;0,INDEX(WP!$A$2:$F$23,MATCH(LEFT($B456,FIND("_",$B456)-1),WP!$E$2:$E$23,0),2))),INDEX(WP!$A$2:$F$23,MATCH(Results!$B456,WP!$E$2:$E$23,0),2))))&amp;"-"&amp;$I456),"")</f>
        <v/>
      </c>
      <c r="G456" s="17" t="str">
        <f>IF(LEN(_xlfn.IFNA(IF(IFERROR(IF(FIND("_",$B456)&gt;0,MID($B456,FIND("_",$B456)+1,LEN($B456)),IF(FIND("-",$B456)&gt;0,MID($B456,FIND("-",$B456)+1,LEN($B456)))),"")="",IFERROR(VLOOKUP($F456,WP!$B$2:$C$23,2,0),VLOOKUP($C456,Series!$A$3:$F$11,6,0)),IFERROR(VLOOKUP($F456,WP!$B$2:$C$23,2,0),VLOOKUP($C456,Series!$A$3:$F$11,6,0))&amp;" - "&amp;(IFERROR(IF(FIND("_",$B456)&gt;0,MID($B456,FIND("_",$B456)+1,LEN($B456)),IF(FIND("-",$B456)&gt;0,MID($B456,FIND("-",$B456)+1,LEN($B456)))),""))),""))&lt;64,_xlfn.IFNA(IF(IFERROR(IF(FIND("_",$B456)&gt;0,MID($B456,FIND("_",$B456)+1,LEN($B456)),IF(FIND("-",$B456)&gt;0,MID($B456,FIND("-",$B456)+1,LEN($B456)))),"")="",IFERROR(VLOOKUP($F456,WP!$B$2:$C$23,2,0),VLOOKUP($C456,Series!$A$3:$F$11,6,0)),IFERROR(VLOOKUP($F456,WP!$B$2:$C$23,2,0),VLOOKUP($C456,Series!$A$3:$F$11,6,0))&amp;" - "&amp;(IFERROR(IF(FIND("_",$B456)&gt;0,MID($B456,FIND("_",$B456)+1,LEN($B456)),IF(FIND("-",$B456)&gt;0,MID($B456,FIND("-",$B456)+1,LEN($B456)))),""))),""),LEFT((_xlfn.IFNA(IF(IFERROR(IF(FIND("_",$B456)&gt;0,MID($B456,FIND("_",$B456)+1,LEN($B456)),IF(FIND("-",$B456)&gt;0,MID($B456,FIND("-",$B456)+1,LEN($B456)))),"")="",IFERROR(VLOOKUP($F456,WP!$B$2:$C$23,2,0),VLOOKUP($C456,Series!$A$3:$F$11,6,0)),IFERROR(VLOOKUP($F456,WP!$B$2:$C$23,2,0),VLOOKUP($C456,Series!$A$3:$F$11,6,0))&amp;" - "&amp;(IFERROR(IF(FIND("_",$B456)&gt;0,MID($B456,FIND("_",$B456)+1,LEN($B456)),IF(FIND("-",$B456)&gt;0,MID($B456,FIND("-",$B456)+1,LEN($B456)))),""))),"")),64))</f>
        <v/>
      </c>
      <c r="H456" s="12"/>
      <c r="I456" s="12" t="str">
        <f>IF($D456&lt;&gt;"",COUNTIF($D$7:$D456,"="&amp;$D456),"")</f>
        <v/>
      </c>
      <c r="J456"/>
      <c r="K456" s="8"/>
      <c r="L456"/>
    </row>
    <row r="457" spans="1:12" x14ac:dyDescent="0.3">
      <c r="A457" s="1"/>
      <c r="B457" s="26"/>
      <c r="C457" s="12" t="str">
        <f>_xlfn.IFNA(IFERROR(IF(FIND("_",$B457)&gt;0,INDEX(WP!$A$2:$F$23,MATCH(LEFT($B457,FIND("_",$B457)-1),WP!$E$2:$E$23,0),1),IF(FIND("-",$B457)&gt;0,INDEX(WP!$A$2:$F$23,MATCH(LEFT($B457,FIND("_",$B457)-1),WP!$E$2:$E$23,0),1))),INDEX(WP!$A$2:$F$23,MATCH(Results!$B457,WP!$E$2:$E$23,0),1)),"")</f>
        <v/>
      </c>
      <c r="D457" s="12" t="str">
        <f>IFERROR(IFERROR(IF(RIGHT(INDEX(WP!$A$2:$F$23,MATCH(IF(FIND("_",$B457)&gt;0,LEFT($B457,FIND("_",$B457)-1)),WP!$E$2:$E$23,0),2),6)="Series",LEFT(INDEX(WP!$A$2:$F$23,MATCH(IF(FIND("_",$B457)&gt;0,LEFT($B457,FIND("_",$B457)-1)),WP!$E$2:$E$23,0),2),5),""),IF(RIGHT(INDEX(WP!$A$2:$F$23,MATCH($B457,WP!$E$2:$E$23,0),2),6)="Series",LEFT(INDEX(WP!$A$2:$F$23,MATCH($B457,WP!$E$2:$E$23,0),2),5),"")),"")</f>
        <v/>
      </c>
      <c r="E457" s="17" t="str">
        <f>IFERROR(VLOOKUP(VALUE($D457),Series!$B$3:$F$11,2,0),"")</f>
        <v/>
      </c>
      <c r="F457" s="12" t="str">
        <f>_xlfn.IFNA(IF(IF($D457&lt;&gt;"",COUNTIF($E:$E,"="&amp;$D457),"")="",IF(RIGHT(IFERROR(IF(FIND("_",$B457)&gt;0,INDEX(WP!$A$2:$F$23,MATCH(LEFT($B457,FIND("_",$B457)-1),WP!$E$2:$E$23,0),2),IF(FIND("-",$B457)&gt;0,INDEX(WP!$A$2:$F$23,MATCH(LEFT($B457,FIND("_",$B457)-1),WP!$E$2:$E$23,0),2))),INDEX(WP!$A$2:$F$23,MATCH(Results!$B457,WP!$E$2:$E$23,0),2)),6)="Series",LEFT(IFERROR(IF(FIND("_",$B457)&gt;0,INDEX(WP!$A$2:$F$23,MATCH(LEFT($B457,FIND("_",$B457)-1),WP!$E$2:$E$23,0),2),IF(FIND("-",$B457)&gt;0,INDEX(WP!$A$2:$F$23,MATCH(LEFT($B457,FIND("_",$B457)-1),WP!$E$2:$E$23,0),2))),INDEX(WP!$A$2:$F$23,MATCH(Results!$B457,WP!$E$2:$E$23,0),2)),5),(IFERROR(IF(FIND("_",$B457)&gt;0,INDEX(WP!$A$2:$F$23,MATCH(LEFT($B457,FIND("_",$B457)-1),WP!$E$2:$E$23,0),2),IF(FIND("-",$B457)&gt;0,INDEX(WP!$A$2:$F$23,MATCH(LEFT($B457,FIND("_",$B457)-1),WP!$E$2:$E$23,0),2))),INDEX(WP!$A$2:$F$23,MATCH(Results!$B457,WP!$E$2:$E$23,0),2)))),IF(RIGHT(IFERROR(IF(FIND("_",$B457)&gt;0,INDEX(WP!$A$2:$F$23,MATCH(LEFT($B457,FIND("_",$B457)-1),WP!$E$2:$E$23,0),2),IF(FIND("-",$B457)&gt;0,INDEX(WP!$A$2:$F$23,MATCH(LEFT($B457,FIND("_",$B457)-1),WP!$E$2:$E$23,0),2))),INDEX(WP!$A$2:$F$23,MATCH(Results!$B457,WP!$E$2:$E$23,0),2)),6)="Series",LEFT(IFERROR(IF(FIND("_",$B457)&gt;0,INDEX(WP!$A$2:$F$23,MATCH(LEFT($B457,FIND("_",$B457)-1),WP!$E$2:$E$23,0),2),IF(FIND("-",$B457)&gt;0,INDEX(WP!$A$2:$F$23,MATCH(LEFT($B457,FIND("_",$B457)-1),WP!$E$2:$E$23,0),2))),INDEX(WP!$A$2:$F$23,MATCH(Results!$B457,WP!$E$2:$E$23,0),2)),5),(IFERROR(IF(FIND("_",$B457)&gt;0,INDEX(WP!$A$2:$F$23,MATCH(LEFT($B457,FIND("_",$B457)-1),WP!$E$2:$E$23,0),2),IF(FIND("-",$B457)&gt;0,INDEX(WP!$A$2:$F$23,MATCH(LEFT($B457,FIND("_",$B457)-1),WP!$E$2:$E$23,0),2))),INDEX(WP!$A$2:$F$23,MATCH(Results!$B457,WP!$E$2:$E$23,0),2))))&amp;"-"&amp;$I457),"")</f>
        <v/>
      </c>
      <c r="G457" s="17" t="str">
        <f>IF(LEN(_xlfn.IFNA(IF(IFERROR(IF(FIND("_",$B457)&gt;0,MID($B457,FIND("_",$B457)+1,LEN($B457)),IF(FIND("-",$B457)&gt;0,MID($B457,FIND("-",$B457)+1,LEN($B457)))),"")="",IFERROR(VLOOKUP($F457,WP!$B$2:$C$23,2,0),VLOOKUP($C457,Series!$A$3:$F$11,6,0)),IFERROR(VLOOKUP($F457,WP!$B$2:$C$23,2,0),VLOOKUP($C457,Series!$A$3:$F$11,6,0))&amp;" - "&amp;(IFERROR(IF(FIND("_",$B457)&gt;0,MID($B457,FIND("_",$B457)+1,LEN($B457)),IF(FIND("-",$B457)&gt;0,MID($B457,FIND("-",$B457)+1,LEN($B457)))),""))),""))&lt;64,_xlfn.IFNA(IF(IFERROR(IF(FIND("_",$B457)&gt;0,MID($B457,FIND("_",$B457)+1,LEN($B457)),IF(FIND("-",$B457)&gt;0,MID($B457,FIND("-",$B457)+1,LEN($B457)))),"")="",IFERROR(VLOOKUP($F457,WP!$B$2:$C$23,2,0),VLOOKUP($C457,Series!$A$3:$F$11,6,0)),IFERROR(VLOOKUP($F457,WP!$B$2:$C$23,2,0),VLOOKUP($C457,Series!$A$3:$F$11,6,0))&amp;" - "&amp;(IFERROR(IF(FIND("_",$B457)&gt;0,MID($B457,FIND("_",$B457)+1,LEN($B457)),IF(FIND("-",$B457)&gt;0,MID($B457,FIND("-",$B457)+1,LEN($B457)))),""))),""),LEFT((_xlfn.IFNA(IF(IFERROR(IF(FIND("_",$B457)&gt;0,MID($B457,FIND("_",$B457)+1,LEN($B457)),IF(FIND("-",$B457)&gt;0,MID($B457,FIND("-",$B457)+1,LEN($B457)))),"")="",IFERROR(VLOOKUP($F457,WP!$B$2:$C$23,2,0),VLOOKUP($C457,Series!$A$3:$F$11,6,0)),IFERROR(VLOOKUP($F457,WP!$B$2:$C$23,2,0),VLOOKUP($C457,Series!$A$3:$F$11,6,0))&amp;" - "&amp;(IFERROR(IF(FIND("_",$B457)&gt;0,MID($B457,FIND("_",$B457)+1,LEN($B457)),IF(FIND("-",$B457)&gt;0,MID($B457,FIND("-",$B457)+1,LEN($B457)))),""))),"")),64))</f>
        <v/>
      </c>
      <c r="H457" s="12"/>
      <c r="I457" s="12" t="str">
        <f>IF($D457&lt;&gt;"",COUNTIF($D$7:$D457,"="&amp;$D457),"")</f>
        <v/>
      </c>
      <c r="J457"/>
      <c r="K457" s="8"/>
      <c r="L457"/>
    </row>
    <row r="458" spans="1:12" x14ac:dyDescent="0.3">
      <c r="A458" s="1"/>
      <c r="B458" s="26"/>
      <c r="C458" s="12" t="str">
        <f>_xlfn.IFNA(IFERROR(IF(FIND("_",$B458)&gt;0,INDEX(WP!$A$2:$F$23,MATCH(LEFT($B458,FIND("_",$B458)-1),WP!$E$2:$E$23,0),1),IF(FIND("-",$B458)&gt;0,INDEX(WP!$A$2:$F$23,MATCH(LEFT($B458,FIND("_",$B458)-1),WP!$E$2:$E$23,0),1))),INDEX(WP!$A$2:$F$23,MATCH(Results!$B458,WP!$E$2:$E$23,0),1)),"")</f>
        <v/>
      </c>
      <c r="D458" s="12" t="str">
        <f>IFERROR(IFERROR(IF(RIGHT(INDEX(WP!$A$2:$F$23,MATCH(IF(FIND("_",$B458)&gt;0,LEFT($B458,FIND("_",$B458)-1)),WP!$E$2:$E$23,0),2),6)="Series",LEFT(INDEX(WP!$A$2:$F$23,MATCH(IF(FIND("_",$B458)&gt;0,LEFT($B458,FIND("_",$B458)-1)),WP!$E$2:$E$23,0),2),5),""),IF(RIGHT(INDEX(WP!$A$2:$F$23,MATCH($B458,WP!$E$2:$E$23,0),2),6)="Series",LEFT(INDEX(WP!$A$2:$F$23,MATCH($B458,WP!$E$2:$E$23,0),2),5),"")),"")</f>
        <v/>
      </c>
      <c r="E458" s="17" t="str">
        <f>IFERROR(VLOOKUP(VALUE($D458),Series!$B$3:$F$11,2,0),"")</f>
        <v/>
      </c>
      <c r="F458" s="12" t="str">
        <f>_xlfn.IFNA(IF(IF($D458&lt;&gt;"",COUNTIF($E:$E,"="&amp;$D458),"")="",IF(RIGHT(IFERROR(IF(FIND("_",$B458)&gt;0,INDEX(WP!$A$2:$F$23,MATCH(LEFT($B458,FIND("_",$B458)-1),WP!$E$2:$E$23,0),2),IF(FIND("-",$B458)&gt;0,INDEX(WP!$A$2:$F$23,MATCH(LEFT($B458,FIND("_",$B458)-1),WP!$E$2:$E$23,0),2))),INDEX(WP!$A$2:$F$23,MATCH(Results!$B458,WP!$E$2:$E$23,0),2)),6)="Series",LEFT(IFERROR(IF(FIND("_",$B458)&gt;0,INDEX(WP!$A$2:$F$23,MATCH(LEFT($B458,FIND("_",$B458)-1),WP!$E$2:$E$23,0),2),IF(FIND("-",$B458)&gt;0,INDEX(WP!$A$2:$F$23,MATCH(LEFT($B458,FIND("_",$B458)-1),WP!$E$2:$E$23,0),2))),INDEX(WP!$A$2:$F$23,MATCH(Results!$B458,WP!$E$2:$E$23,0),2)),5),(IFERROR(IF(FIND("_",$B458)&gt;0,INDEX(WP!$A$2:$F$23,MATCH(LEFT($B458,FIND("_",$B458)-1),WP!$E$2:$E$23,0),2),IF(FIND("-",$B458)&gt;0,INDEX(WP!$A$2:$F$23,MATCH(LEFT($B458,FIND("_",$B458)-1),WP!$E$2:$E$23,0),2))),INDEX(WP!$A$2:$F$23,MATCH(Results!$B458,WP!$E$2:$E$23,0),2)))),IF(RIGHT(IFERROR(IF(FIND("_",$B458)&gt;0,INDEX(WP!$A$2:$F$23,MATCH(LEFT($B458,FIND("_",$B458)-1),WP!$E$2:$E$23,0),2),IF(FIND("-",$B458)&gt;0,INDEX(WP!$A$2:$F$23,MATCH(LEFT($B458,FIND("_",$B458)-1),WP!$E$2:$E$23,0),2))),INDEX(WP!$A$2:$F$23,MATCH(Results!$B458,WP!$E$2:$E$23,0),2)),6)="Series",LEFT(IFERROR(IF(FIND("_",$B458)&gt;0,INDEX(WP!$A$2:$F$23,MATCH(LEFT($B458,FIND("_",$B458)-1),WP!$E$2:$E$23,0),2),IF(FIND("-",$B458)&gt;0,INDEX(WP!$A$2:$F$23,MATCH(LEFT($B458,FIND("_",$B458)-1),WP!$E$2:$E$23,0),2))),INDEX(WP!$A$2:$F$23,MATCH(Results!$B458,WP!$E$2:$E$23,0),2)),5),(IFERROR(IF(FIND("_",$B458)&gt;0,INDEX(WP!$A$2:$F$23,MATCH(LEFT($B458,FIND("_",$B458)-1),WP!$E$2:$E$23,0),2),IF(FIND("-",$B458)&gt;0,INDEX(WP!$A$2:$F$23,MATCH(LEFT($B458,FIND("_",$B458)-1),WP!$E$2:$E$23,0),2))),INDEX(WP!$A$2:$F$23,MATCH(Results!$B458,WP!$E$2:$E$23,0),2))))&amp;"-"&amp;$I458),"")</f>
        <v/>
      </c>
      <c r="G458" s="17" t="str">
        <f>IF(LEN(_xlfn.IFNA(IF(IFERROR(IF(FIND("_",$B458)&gt;0,MID($B458,FIND("_",$B458)+1,LEN($B458)),IF(FIND("-",$B458)&gt;0,MID($B458,FIND("-",$B458)+1,LEN($B458)))),"")="",IFERROR(VLOOKUP($F458,WP!$B$2:$C$23,2,0),VLOOKUP($C458,Series!$A$3:$F$11,6,0)),IFERROR(VLOOKUP($F458,WP!$B$2:$C$23,2,0),VLOOKUP($C458,Series!$A$3:$F$11,6,0))&amp;" - "&amp;(IFERROR(IF(FIND("_",$B458)&gt;0,MID($B458,FIND("_",$B458)+1,LEN($B458)),IF(FIND("-",$B458)&gt;0,MID($B458,FIND("-",$B458)+1,LEN($B458)))),""))),""))&lt;64,_xlfn.IFNA(IF(IFERROR(IF(FIND("_",$B458)&gt;0,MID($B458,FIND("_",$B458)+1,LEN($B458)),IF(FIND("-",$B458)&gt;0,MID($B458,FIND("-",$B458)+1,LEN($B458)))),"")="",IFERROR(VLOOKUP($F458,WP!$B$2:$C$23,2,0),VLOOKUP($C458,Series!$A$3:$F$11,6,0)),IFERROR(VLOOKUP($F458,WP!$B$2:$C$23,2,0),VLOOKUP($C458,Series!$A$3:$F$11,6,0))&amp;" - "&amp;(IFERROR(IF(FIND("_",$B458)&gt;0,MID($B458,FIND("_",$B458)+1,LEN($B458)),IF(FIND("-",$B458)&gt;0,MID($B458,FIND("-",$B458)+1,LEN($B458)))),""))),""),LEFT((_xlfn.IFNA(IF(IFERROR(IF(FIND("_",$B458)&gt;0,MID($B458,FIND("_",$B458)+1,LEN($B458)),IF(FIND("-",$B458)&gt;0,MID($B458,FIND("-",$B458)+1,LEN($B458)))),"")="",IFERROR(VLOOKUP($F458,WP!$B$2:$C$23,2,0),VLOOKUP($C458,Series!$A$3:$F$11,6,0)),IFERROR(VLOOKUP($F458,WP!$B$2:$C$23,2,0),VLOOKUP($C458,Series!$A$3:$F$11,6,0))&amp;" - "&amp;(IFERROR(IF(FIND("_",$B458)&gt;0,MID($B458,FIND("_",$B458)+1,LEN($B458)),IF(FIND("-",$B458)&gt;0,MID($B458,FIND("-",$B458)+1,LEN($B458)))),""))),"")),64))</f>
        <v/>
      </c>
      <c r="H458" s="12"/>
      <c r="I458" s="12" t="str">
        <f>IF($D458&lt;&gt;"",COUNTIF($D$7:$D458,"="&amp;$D458),"")</f>
        <v/>
      </c>
      <c r="J458"/>
      <c r="K458" s="8"/>
      <c r="L458"/>
    </row>
    <row r="459" spans="1:12" x14ac:dyDescent="0.3">
      <c r="A459" s="1"/>
      <c r="B459" s="26"/>
      <c r="C459" s="12" t="str">
        <f>_xlfn.IFNA(IFERROR(IF(FIND("_",$B459)&gt;0,INDEX(WP!$A$2:$F$23,MATCH(LEFT($B459,FIND("_",$B459)-1),WP!$E$2:$E$23,0),1),IF(FIND("-",$B459)&gt;0,INDEX(WP!$A$2:$F$23,MATCH(LEFT($B459,FIND("_",$B459)-1),WP!$E$2:$E$23,0),1))),INDEX(WP!$A$2:$F$23,MATCH(Results!$B459,WP!$E$2:$E$23,0),1)),"")</f>
        <v/>
      </c>
      <c r="D459" s="12" t="str">
        <f>IFERROR(IFERROR(IF(RIGHT(INDEX(WP!$A$2:$F$23,MATCH(IF(FIND("_",$B459)&gt;0,LEFT($B459,FIND("_",$B459)-1)),WP!$E$2:$E$23,0),2),6)="Series",LEFT(INDEX(WP!$A$2:$F$23,MATCH(IF(FIND("_",$B459)&gt;0,LEFT($B459,FIND("_",$B459)-1)),WP!$E$2:$E$23,0),2),5),""),IF(RIGHT(INDEX(WP!$A$2:$F$23,MATCH($B459,WP!$E$2:$E$23,0),2),6)="Series",LEFT(INDEX(WP!$A$2:$F$23,MATCH($B459,WP!$E$2:$E$23,0),2),5),"")),"")</f>
        <v/>
      </c>
      <c r="E459" s="17" t="str">
        <f>IFERROR(VLOOKUP(VALUE($D459),Series!$B$3:$F$11,2,0),"")</f>
        <v/>
      </c>
      <c r="F459" s="12" t="str">
        <f>_xlfn.IFNA(IF(IF($D459&lt;&gt;"",COUNTIF($E:$E,"="&amp;$D459),"")="",IF(RIGHT(IFERROR(IF(FIND("_",$B459)&gt;0,INDEX(WP!$A$2:$F$23,MATCH(LEFT($B459,FIND("_",$B459)-1),WP!$E$2:$E$23,0),2),IF(FIND("-",$B459)&gt;0,INDEX(WP!$A$2:$F$23,MATCH(LEFT($B459,FIND("_",$B459)-1),WP!$E$2:$E$23,0),2))),INDEX(WP!$A$2:$F$23,MATCH(Results!$B459,WP!$E$2:$E$23,0),2)),6)="Series",LEFT(IFERROR(IF(FIND("_",$B459)&gt;0,INDEX(WP!$A$2:$F$23,MATCH(LEFT($B459,FIND("_",$B459)-1),WP!$E$2:$E$23,0),2),IF(FIND("-",$B459)&gt;0,INDEX(WP!$A$2:$F$23,MATCH(LEFT($B459,FIND("_",$B459)-1),WP!$E$2:$E$23,0),2))),INDEX(WP!$A$2:$F$23,MATCH(Results!$B459,WP!$E$2:$E$23,0),2)),5),(IFERROR(IF(FIND("_",$B459)&gt;0,INDEX(WP!$A$2:$F$23,MATCH(LEFT($B459,FIND("_",$B459)-1),WP!$E$2:$E$23,0),2),IF(FIND("-",$B459)&gt;0,INDEX(WP!$A$2:$F$23,MATCH(LEFT($B459,FIND("_",$B459)-1),WP!$E$2:$E$23,0),2))),INDEX(WP!$A$2:$F$23,MATCH(Results!$B459,WP!$E$2:$E$23,0),2)))),IF(RIGHT(IFERROR(IF(FIND("_",$B459)&gt;0,INDEX(WP!$A$2:$F$23,MATCH(LEFT($B459,FIND("_",$B459)-1),WP!$E$2:$E$23,0),2),IF(FIND("-",$B459)&gt;0,INDEX(WP!$A$2:$F$23,MATCH(LEFT($B459,FIND("_",$B459)-1),WP!$E$2:$E$23,0),2))),INDEX(WP!$A$2:$F$23,MATCH(Results!$B459,WP!$E$2:$E$23,0),2)),6)="Series",LEFT(IFERROR(IF(FIND("_",$B459)&gt;0,INDEX(WP!$A$2:$F$23,MATCH(LEFT($B459,FIND("_",$B459)-1),WP!$E$2:$E$23,0),2),IF(FIND("-",$B459)&gt;0,INDEX(WP!$A$2:$F$23,MATCH(LEFT($B459,FIND("_",$B459)-1),WP!$E$2:$E$23,0),2))),INDEX(WP!$A$2:$F$23,MATCH(Results!$B459,WP!$E$2:$E$23,0),2)),5),(IFERROR(IF(FIND("_",$B459)&gt;0,INDEX(WP!$A$2:$F$23,MATCH(LEFT($B459,FIND("_",$B459)-1),WP!$E$2:$E$23,0),2),IF(FIND("-",$B459)&gt;0,INDEX(WP!$A$2:$F$23,MATCH(LEFT($B459,FIND("_",$B459)-1),WP!$E$2:$E$23,0),2))),INDEX(WP!$A$2:$F$23,MATCH(Results!$B459,WP!$E$2:$E$23,0),2))))&amp;"-"&amp;$I459),"")</f>
        <v/>
      </c>
      <c r="G459" s="17" t="str">
        <f>IF(LEN(_xlfn.IFNA(IF(IFERROR(IF(FIND("_",$B459)&gt;0,MID($B459,FIND("_",$B459)+1,LEN($B459)),IF(FIND("-",$B459)&gt;0,MID($B459,FIND("-",$B459)+1,LEN($B459)))),"")="",IFERROR(VLOOKUP($F459,WP!$B$2:$C$23,2,0),VLOOKUP($C459,Series!$A$3:$F$11,6,0)),IFERROR(VLOOKUP($F459,WP!$B$2:$C$23,2,0),VLOOKUP($C459,Series!$A$3:$F$11,6,0))&amp;" - "&amp;(IFERROR(IF(FIND("_",$B459)&gt;0,MID($B459,FIND("_",$B459)+1,LEN($B459)),IF(FIND("-",$B459)&gt;0,MID($B459,FIND("-",$B459)+1,LEN($B459)))),""))),""))&lt;64,_xlfn.IFNA(IF(IFERROR(IF(FIND("_",$B459)&gt;0,MID($B459,FIND("_",$B459)+1,LEN($B459)),IF(FIND("-",$B459)&gt;0,MID($B459,FIND("-",$B459)+1,LEN($B459)))),"")="",IFERROR(VLOOKUP($F459,WP!$B$2:$C$23,2,0),VLOOKUP($C459,Series!$A$3:$F$11,6,0)),IFERROR(VLOOKUP($F459,WP!$B$2:$C$23,2,0),VLOOKUP($C459,Series!$A$3:$F$11,6,0))&amp;" - "&amp;(IFERROR(IF(FIND("_",$B459)&gt;0,MID($B459,FIND("_",$B459)+1,LEN($B459)),IF(FIND("-",$B459)&gt;0,MID($B459,FIND("-",$B459)+1,LEN($B459)))),""))),""),LEFT((_xlfn.IFNA(IF(IFERROR(IF(FIND("_",$B459)&gt;0,MID($B459,FIND("_",$B459)+1,LEN($B459)),IF(FIND("-",$B459)&gt;0,MID($B459,FIND("-",$B459)+1,LEN($B459)))),"")="",IFERROR(VLOOKUP($F459,WP!$B$2:$C$23,2,0),VLOOKUP($C459,Series!$A$3:$F$11,6,0)),IFERROR(VLOOKUP($F459,WP!$B$2:$C$23,2,0),VLOOKUP($C459,Series!$A$3:$F$11,6,0))&amp;" - "&amp;(IFERROR(IF(FIND("_",$B459)&gt;0,MID($B459,FIND("_",$B459)+1,LEN($B459)),IF(FIND("-",$B459)&gt;0,MID($B459,FIND("-",$B459)+1,LEN($B459)))),""))),"")),64))</f>
        <v/>
      </c>
      <c r="H459" s="12"/>
      <c r="I459" s="12" t="str">
        <f>IF($D459&lt;&gt;"",COUNTIF($D$7:$D459,"="&amp;$D459),"")</f>
        <v/>
      </c>
      <c r="J459"/>
      <c r="K459" s="8"/>
      <c r="L459"/>
    </row>
    <row r="460" spans="1:12" x14ac:dyDescent="0.3">
      <c r="A460" s="1"/>
      <c r="B460" s="26"/>
      <c r="C460" s="12" t="str">
        <f>_xlfn.IFNA(IFERROR(IF(FIND("_",$B460)&gt;0,INDEX(WP!$A$2:$F$23,MATCH(LEFT($B460,FIND("_",$B460)-1),WP!$E$2:$E$23,0),1),IF(FIND("-",$B460)&gt;0,INDEX(WP!$A$2:$F$23,MATCH(LEFT($B460,FIND("_",$B460)-1),WP!$E$2:$E$23,0),1))),INDEX(WP!$A$2:$F$23,MATCH(Results!$B460,WP!$E$2:$E$23,0),1)),"")</f>
        <v/>
      </c>
      <c r="D460" s="12" t="str">
        <f>IFERROR(IFERROR(IF(RIGHT(INDEX(WP!$A$2:$F$23,MATCH(IF(FIND("_",$B460)&gt;0,LEFT($B460,FIND("_",$B460)-1)),WP!$E$2:$E$23,0),2),6)="Series",LEFT(INDEX(WP!$A$2:$F$23,MATCH(IF(FIND("_",$B460)&gt;0,LEFT($B460,FIND("_",$B460)-1)),WP!$E$2:$E$23,0),2),5),""),IF(RIGHT(INDEX(WP!$A$2:$F$23,MATCH($B460,WP!$E$2:$E$23,0),2),6)="Series",LEFT(INDEX(WP!$A$2:$F$23,MATCH($B460,WP!$E$2:$E$23,0),2),5),"")),"")</f>
        <v/>
      </c>
      <c r="E460" s="17" t="str">
        <f>IFERROR(VLOOKUP(VALUE($D460),Series!$B$3:$F$11,2,0),"")</f>
        <v/>
      </c>
      <c r="F460" s="12" t="str">
        <f>_xlfn.IFNA(IF(IF($D460&lt;&gt;"",COUNTIF($E:$E,"="&amp;$D460),"")="",IF(RIGHT(IFERROR(IF(FIND("_",$B460)&gt;0,INDEX(WP!$A$2:$F$23,MATCH(LEFT($B460,FIND("_",$B460)-1),WP!$E$2:$E$23,0),2),IF(FIND("-",$B460)&gt;0,INDEX(WP!$A$2:$F$23,MATCH(LEFT($B460,FIND("_",$B460)-1),WP!$E$2:$E$23,0),2))),INDEX(WP!$A$2:$F$23,MATCH(Results!$B460,WP!$E$2:$E$23,0),2)),6)="Series",LEFT(IFERROR(IF(FIND("_",$B460)&gt;0,INDEX(WP!$A$2:$F$23,MATCH(LEFT($B460,FIND("_",$B460)-1),WP!$E$2:$E$23,0),2),IF(FIND("-",$B460)&gt;0,INDEX(WP!$A$2:$F$23,MATCH(LEFT($B460,FIND("_",$B460)-1),WP!$E$2:$E$23,0),2))),INDEX(WP!$A$2:$F$23,MATCH(Results!$B460,WP!$E$2:$E$23,0),2)),5),(IFERROR(IF(FIND("_",$B460)&gt;0,INDEX(WP!$A$2:$F$23,MATCH(LEFT($B460,FIND("_",$B460)-1),WP!$E$2:$E$23,0),2),IF(FIND("-",$B460)&gt;0,INDEX(WP!$A$2:$F$23,MATCH(LEFT($B460,FIND("_",$B460)-1),WP!$E$2:$E$23,0),2))),INDEX(WP!$A$2:$F$23,MATCH(Results!$B460,WP!$E$2:$E$23,0),2)))),IF(RIGHT(IFERROR(IF(FIND("_",$B460)&gt;0,INDEX(WP!$A$2:$F$23,MATCH(LEFT($B460,FIND("_",$B460)-1),WP!$E$2:$E$23,0),2),IF(FIND("-",$B460)&gt;0,INDEX(WP!$A$2:$F$23,MATCH(LEFT($B460,FIND("_",$B460)-1),WP!$E$2:$E$23,0),2))),INDEX(WP!$A$2:$F$23,MATCH(Results!$B460,WP!$E$2:$E$23,0),2)),6)="Series",LEFT(IFERROR(IF(FIND("_",$B460)&gt;0,INDEX(WP!$A$2:$F$23,MATCH(LEFT($B460,FIND("_",$B460)-1),WP!$E$2:$E$23,0),2),IF(FIND("-",$B460)&gt;0,INDEX(WP!$A$2:$F$23,MATCH(LEFT($B460,FIND("_",$B460)-1),WP!$E$2:$E$23,0),2))),INDEX(WP!$A$2:$F$23,MATCH(Results!$B460,WP!$E$2:$E$23,0),2)),5),(IFERROR(IF(FIND("_",$B460)&gt;0,INDEX(WP!$A$2:$F$23,MATCH(LEFT($B460,FIND("_",$B460)-1),WP!$E$2:$E$23,0),2),IF(FIND("-",$B460)&gt;0,INDEX(WP!$A$2:$F$23,MATCH(LEFT($B460,FIND("_",$B460)-1),WP!$E$2:$E$23,0),2))),INDEX(WP!$A$2:$F$23,MATCH(Results!$B460,WP!$E$2:$E$23,0),2))))&amp;"-"&amp;$I460),"")</f>
        <v/>
      </c>
      <c r="G460" s="17" t="str">
        <f>IF(LEN(_xlfn.IFNA(IF(IFERROR(IF(FIND("_",$B460)&gt;0,MID($B460,FIND("_",$B460)+1,LEN($B460)),IF(FIND("-",$B460)&gt;0,MID($B460,FIND("-",$B460)+1,LEN($B460)))),"")="",IFERROR(VLOOKUP($F460,WP!$B$2:$C$23,2,0),VLOOKUP($C460,Series!$A$3:$F$11,6,0)),IFERROR(VLOOKUP($F460,WP!$B$2:$C$23,2,0),VLOOKUP($C460,Series!$A$3:$F$11,6,0))&amp;" - "&amp;(IFERROR(IF(FIND("_",$B460)&gt;0,MID($B460,FIND("_",$B460)+1,LEN($B460)),IF(FIND("-",$B460)&gt;0,MID($B460,FIND("-",$B460)+1,LEN($B460)))),""))),""))&lt;64,_xlfn.IFNA(IF(IFERROR(IF(FIND("_",$B460)&gt;0,MID($B460,FIND("_",$B460)+1,LEN($B460)),IF(FIND("-",$B460)&gt;0,MID($B460,FIND("-",$B460)+1,LEN($B460)))),"")="",IFERROR(VLOOKUP($F460,WP!$B$2:$C$23,2,0),VLOOKUP($C460,Series!$A$3:$F$11,6,0)),IFERROR(VLOOKUP($F460,WP!$B$2:$C$23,2,0),VLOOKUP($C460,Series!$A$3:$F$11,6,0))&amp;" - "&amp;(IFERROR(IF(FIND("_",$B460)&gt;0,MID($B460,FIND("_",$B460)+1,LEN($B460)),IF(FIND("-",$B460)&gt;0,MID($B460,FIND("-",$B460)+1,LEN($B460)))),""))),""),LEFT((_xlfn.IFNA(IF(IFERROR(IF(FIND("_",$B460)&gt;0,MID($B460,FIND("_",$B460)+1,LEN($B460)),IF(FIND("-",$B460)&gt;0,MID($B460,FIND("-",$B460)+1,LEN($B460)))),"")="",IFERROR(VLOOKUP($F460,WP!$B$2:$C$23,2,0),VLOOKUP($C460,Series!$A$3:$F$11,6,0)),IFERROR(VLOOKUP($F460,WP!$B$2:$C$23,2,0),VLOOKUP($C460,Series!$A$3:$F$11,6,0))&amp;" - "&amp;(IFERROR(IF(FIND("_",$B460)&gt;0,MID($B460,FIND("_",$B460)+1,LEN($B460)),IF(FIND("-",$B460)&gt;0,MID($B460,FIND("-",$B460)+1,LEN($B460)))),""))),"")),64))</f>
        <v/>
      </c>
      <c r="H460" s="12"/>
      <c r="I460" s="12" t="str">
        <f>IF($D460&lt;&gt;"",COUNTIF($D$7:$D460,"="&amp;$D460),"")</f>
        <v/>
      </c>
      <c r="J460"/>
      <c r="K460" s="8"/>
      <c r="L460"/>
    </row>
    <row r="461" spans="1:12" x14ac:dyDescent="0.3">
      <c r="A461" s="1"/>
      <c r="B461" s="26"/>
      <c r="C461" s="12" t="str">
        <f>_xlfn.IFNA(IFERROR(IF(FIND("_",$B461)&gt;0,INDEX(WP!$A$2:$F$23,MATCH(LEFT($B461,FIND("_",$B461)-1),WP!$E$2:$E$23,0),1),IF(FIND("-",$B461)&gt;0,INDEX(WP!$A$2:$F$23,MATCH(LEFT($B461,FIND("_",$B461)-1),WP!$E$2:$E$23,0),1))),INDEX(WP!$A$2:$F$23,MATCH(Results!$B461,WP!$E$2:$E$23,0),1)),"")</f>
        <v/>
      </c>
      <c r="D461" s="12" t="str">
        <f>IFERROR(IFERROR(IF(RIGHT(INDEX(WP!$A$2:$F$23,MATCH(IF(FIND("_",$B461)&gt;0,LEFT($B461,FIND("_",$B461)-1)),WP!$E$2:$E$23,0),2),6)="Series",LEFT(INDEX(WP!$A$2:$F$23,MATCH(IF(FIND("_",$B461)&gt;0,LEFT($B461,FIND("_",$B461)-1)),WP!$E$2:$E$23,0),2),5),""),IF(RIGHT(INDEX(WP!$A$2:$F$23,MATCH($B461,WP!$E$2:$E$23,0),2),6)="Series",LEFT(INDEX(WP!$A$2:$F$23,MATCH($B461,WP!$E$2:$E$23,0),2),5),"")),"")</f>
        <v/>
      </c>
      <c r="E461" s="17" t="str">
        <f>IFERROR(VLOOKUP(VALUE($D461),Series!$B$3:$F$11,2,0),"")</f>
        <v/>
      </c>
      <c r="F461" s="12" t="str">
        <f>_xlfn.IFNA(IF(IF($D461&lt;&gt;"",COUNTIF($E:$E,"="&amp;$D461),"")="",IF(RIGHT(IFERROR(IF(FIND("_",$B461)&gt;0,INDEX(WP!$A$2:$F$23,MATCH(LEFT($B461,FIND("_",$B461)-1),WP!$E$2:$E$23,0),2),IF(FIND("-",$B461)&gt;0,INDEX(WP!$A$2:$F$23,MATCH(LEFT($B461,FIND("_",$B461)-1),WP!$E$2:$E$23,0),2))),INDEX(WP!$A$2:$F$23,MATCH(Results!$B461,WP!$E$2:$E$23,0),2)),6)="Series",LEFT(IFERROR(IF(FIND("_",$B461)&gt;0,INDEX(WP!$A$2:$F$23,MATCH(LEFT($B461,FIND("_",$B461)-1),WP!$E$2:$E$23,0),2),IF(FIND("-",$B461)&gt;0,INDEX(WP!$A$2:$F$23,MATCH(LEFT($B461,FIND("_",$B461)-1),WP!$E$2:$E$23,0),2))),INDEX(WP!$A$2:$F$23,MATCH(Results!$B461,WP!$E$2:$E$23,0),2)),5),(IFERROR(IF(FIND("_",$B461)&gt;0,INDEX(WP!$A$2:$F$23,MATCH(LEFT($B461,FIND("_",$B461)-1),WP!$E$2:$E$23,0),2),IF(FIND("-",$B461)&gt;0,INDEX(WP!$A$2:$F$23,MATCH(LEFT($B461,FIND("_",$B461)-1),WP!$E$2:$E$23,0),2))),INDEX(WP!$A$2:$F$23,MATCH(Results!$B461,WP!$E$2:$E$23,0),2)))),IF(RIGHT(IFERROR(IF(FIND("_",$B461)&gt;0,INDEX(WP!$A$2:$F$23,MATCH(LEFT($B461,FIND("_",$B461)-1),WP!$E$2:$E$23,0),2),IF(FIND("-",$B461)&gt;0,INDEX(WP!$A$2:$F$23,MATCH(LEFT($B461,FIND("_",$B461)-1),WP!$E$2:$E$23,0),2))),INDEX(WP!$A$2:$F$23,MATCH(Results!$B461,WP!$E$2:$E$23,0),2)),6)="Series",LEFT(IFERROR(IF(FIND("_",$B461)&gt;0,INDEX(WP!$A$2:$F$23,MATCH(LEFT($B461,FIND("_",$B461)-1),WP!$E$2:$E$23,0),2),IF(FIND("-",$B461)&gt;0,INDEX(WP!$A$2:$F$23,MATCH(LEFT($B461,FIND("_",$B461)-1),WP!$E$2:$E$23,0),2))),INDEX(WP!$A$2:$F$23,MATCH(Results!$B461,WP!$E$2:$E$23,0),2)),5),(IFERROR(IF(FIND("_",$B461)&gt;0,INDEX(WP!$A$2:$F$23,MATCH(LEFT($B461,FIND("_",$B461)-1),WP!$E$2:$E$23,0),2),IF(FIND("-",$B461)&gt;0,INDEX(WP!$A$2:$F$23,MATCH(LEFT($B461,FIND("_",$B461)-1),WP!$E$2:$E$23,0),2))),INDEX(WP!$A$2:$F$23,MATCH(Results!$B461,WP!$E$2:$E$23,0),2))))&amp;"-"&amp;$I461),"")</f>
        <v/>
      </c>
      <c r="G461" s="17" t="str">
        <f>IF(LEN(_xlfn.IFNA(IF(IFERROR(IF(FIND("_",$B461)&gt;0,MID($B461,FIND("_",$B461)+1,LEN($B461)),IF(FIND("-",$B461)&gt;0,MID($B461,FIND("-",$B461)+1,LEN($B461)))),"")="",IFERROR(VLOOKUP($F461,WP!$B$2:$C$23,2,0),VLOOKUP($C461,Series!$A$3:$F$11,6,0)),IFERROR(VLOOKUP($F461,WP!$B$2:$C$23,2,0),VLOOKUP($C461,Series!$A$3:$F$11,6,0))&amp;" - "&amp;(IFERROR(IF(FIND("_",$B461)&gt;0,MID($B461,FIND("_",$B461)+1,LEN($B461)),IF(FIND("-",$B461)&gt;0,MID($B461,FIND("-",$B461)+1,LEN($B461)))),""))),""))&lt;64,_xlfn.IFNA(IF(IFERROR(IF(FIND("_",$B461)&gt;0,MID($B461,FIND("_",$B461)+1,LEN($B461)),IF(FIND("-",$B461)&gt;0,MID($B461,FIND("-",$B461)+1,LEN($B461)))),"")="",IFERROR(VLOOKUP($F461,WP!$B$2:$C$23,2,0),VLOOKUP($C461,Series!$A$3:$F$11,6,0)),IFERROR(VLOOKUP($F461,WP!$B$2:$C$23,2,0),VLOOKUP($C461,Series!$A$3:$F$11,6,0))&amp;" - "&amp;(IFERROR(IF(FIND("_",$B461)&gt;0,MID($B461,FIND("_",$B461)+1,LEN($B461)),IF(FIND("-",$B461)&gt;0,MID($B461,FIND("-",$B461)+1,LEN($B461)))),""))),""),LEFT((_xlfn.IFNA(IF(IFERROR(IF(FIND("_",$B461)&gt;0,MID($B461,FIND("_",$B461)+1,LEN($B461)),IF(FIND("-",$B461)&gt;0,MID($B461,FIND("-",$B461)+1,LEN($B461)))),"")="",IFERROR(VLOOKUP($F461,WP!$B$2:$C$23,2,0),VLOOKUP($C461,Series!$A$3:$F$11,6,0)),IFERROR(VLOOKUP($F461,WP!$B$2:$C$23,2,0),VLOOKUP($C461,Series!$A$3:$F$11,6,0))&amp;" - "&amp;(IFERROR(IF(FIND("_",$B461)&gt;0,MID($B461,FIND("_",$B461)+1,LEN($B461)),IF(FIND("-",$B461)&gt;0,MID($B461,FIND("-",$B461)+1,LEN($B461)))),""))),"")),64))</f>
        <v/>
      </c>
      <c r="H461" s="12"/>
      <c r="I461" s="12" t="str">
        <f>IF($D461&lt;&gt;"",COUNTIF($D$7:$D461,"="&amp;$D461),"")</f>
        <v/>
      </c>
      <c r="J461"/>
      <c r="K461" s="8"/>
      <c r="L461"/>
    </row>
    <row r="462" spans="1:12" x14ac:dyDescent="0.3">
      <c r="A462" s="1"/>
      <c r="B462" s="26"/>
      <c r="C462" s="12" t="str">
        <f>_xlfn.IFNA(IFERROR(IF(FIND("_",$B462)&gt;0,INDEX(WP!$A$2:$F$23,MATCH(LEFT($B462,FIND("_",$B462)-1),WP!$E$2:$E$23,0),1),IF(FIND("-",$B462)&gt;0,INDEX(WP!$A$2:$F$23,MATCH(LEFT($B462,FIND("_",$B462)-1),WP!$E$2:$E$23,0),1))),INDEX(WP!$A$2:$F$23,MATCH(Results!$B462,WP!$E$2:$E$23,0),1)),"")</f>
        <v/>
      </c>
      <c r="D462" s="12" t="str">
        <f>IFERROR(IFERROR(IF(RIGHT(INDEX(WP!$A$2:$F$23,MATCH(IF(FIND("_",$B462)&gt;0,LEFT($B462,FIND("_",$B462)-1)),WP!$E$2:$E$23,0),2),6)="Series",LEFT(INDEX(WP!$A$2:$F$23,MATCH(IF(FIND("_",$B462)&gt;0,LEFT($B462,FIND("_",$B462)-1)),WP!$E$2:$E$23,0),2),5),""),IF(RIGHT(INDEX(WP!$A$2:$F$23,MATCH($B462,WP!$E$2:$E$23,0),2),6)="Series",LEFT(INDEX(WP!$A$2:$F$23,MATCH($B462,WP!$E$2:$E$23,0),2),5),"")),"")</f>
        <v/>
      </c>
      <c r="E462" s="17" t="str">
        <f>IFERROR(VLOOKUP(VALUE($D462),Series!$B$3:$F$11,2,0),"")</f>
        <v/>
      </c>
      <c r="F462" s="12" t="str">
        <f>_xlfn.IFNA(IF(IF($D462&lt;&gt;"",COUNTIF($E:$E,"="&amp;$D462),"")="",IF(RIGHT(IFERROR(IF(FIND("_",$B462)&gt;0,INDEX(WP!$A$2:$F$23,MATCH(LEFT($B462,FIND("_",$B462)-1),WP!$E$2:$E$23,0),2),IF(FIND("-",$B462)&gt;0,INDEX(WP!$A$2:$F$23,MATCH(LEFT($B462,FIND("_",$B462)-1),WP!$E$2:$E$23,0),2))),INDEX(WP!$A$2:$F$23,MATCH(Results!$B462,WP!$E$2:$E$23,0),2)),6)="Series",LEFT(IFERROR(IF(FIND("_",$B462)&gt;0,INDEX(WP!$A$2:$F$23,MATCH(LEFT($B462,FIND("_",$B462)-1),WP!$E$2:$E$23,0),2),IF(FIND("-",$B462)&gt;0,INDEX(WP!$A$2:$F$23,MATCH(LEFT($B462,FIND("_",$B462)-1),WP!$E$2:$E$23,0),2))),INDEX(WP!$A$2:$F$23,MATCH(Results!$B462,WP!$E$2:$E$23,0),2)),5),(IFERROR(IF(FIND("_",$B462)&gt;0,INDEX(WP!$A$2:$F$23,MATCH(LEFT($B462,FIND("_",$B462)-1),WP!$E$2:$E$23,0),2),IF(FIND("-",$B462)&gt;0,INDEX(WP!$A$2:$F$23,MATCH(LEFT($B462,FIND("_",$B462)-1),WP!$E$2:$E$23,0),2))),INDEX(WP!$A$2:$F$23,MATCH(Results!$B462,WP!$E$2:$E$23,0),2)))),IF(RIGHT(IFERROR(IF(FIND("_",$B462)&gt;0,INDEX(WP!$A$2:$F$23,MATCH(LEFT($B462,FIND("_",$B462)-1),WP!$E$2:$E$23,0),2),IF(FIND("-",$B462)&gt;0,INDEX(WP!$A$2:$F$23,MATCH(LEFT($B462,FIND("_",$B462)-1),WP!$E$2:$E$23,0),2))),INDEX(WP!$A$2:$F$23,MATCH(Results!$B462,WP!$E$2:$E$23,0),2)),6)="Series",LEFT(IFERROR(IF(FIND("_",$B462)&gt;0,INDEX(WP!$A$2:$F$23,MATCH(LEFT($B462,FIND("_",$B462)-1),WP!$E$2:$E$23,0),2),IF(FIND("-",$B462)&gt;0,INDEX(WP!$A$2:$F$23,MATCH(LEFT($B462,FIND("_",$B462)-1),WP!$E$2:$E$23,0),2))),INDEX(WP!$A$2:$F$23,MATCH(Results!$B462,WP!$E$2:$E$23,0),2)),5),(IFERROR(IF(FIND("_",$B462)&gt;0,INDEX(WP!$A$2:$F$23,MATCH(LEFT($B462,FIND("_",$B462)-1),WP!$E$2:$E$23,0),2),IF(FIND("-",$B462)&gt;0,INDEX(WP!$A$2:$F$23,MATCH(LEFT($B462,FIND("_",$B462)-1),WP!$E$2:$E$23,0),2))),INDEX(WP!$A$2:$F$23,MATCH(Results!$B462,WP!$E$2:$E$23,0),2))))&amp;"-"&amp;$I462),"")</f>
        <v/>
      </c>
      <c r="G462" s="17" t="str">
        <f>IF(LEN(_xlfn.IFNA(IF(IFERROR(IF(FIND("_",$B462)&gt;0,MID($B462,FIND("_",$B462)+1,LEN($B462)),IF(FIND("-",$B462)&gt;0,MID($B462,FIND("-",$B462)+1,LEN($B462)))),"")="",IFERROR(VLOOKUP($F462,WP!$B$2:$C$23,2,0),VLOOKUP($C462,Series!$A$3:$F$11,6,0)),IFERROR(VLOOKUP($F462,WP!$B$2:$C$23,2,0),VLOOKUP($C462,Series!$A$3:$F$11,6,0))&amp;" - "&amp;(IFERROR(IF(FIND("_",$B462)&gt;0,MID($B462,FIND("_",$B462)+1,LEN($B462)),IF(FIND("-",$B462)&gt;0,MID($B462,FIND("-",$B462)+1,LEN($B462)))),""))),""))&lt;64,_xlfn.IFNA(IF(IFERROR(IF(FIND("_",$B462)&gt;0,MID($B462,FIND("_",$B462)+1,LEN($B462)),IF(FIND("-",$B462)&gt;0,MID($B462,FIND("-",$B462)+1,LEN($B462)))),"")="",IFERROR(VLOOKUP($F462,WP!$B$2:$C$23,2,0),VLOOKUP($C462,Series!$A$3:$F$11,6,0)),IFERROR(VLOOKUP($F462,WP!$B$2:$C$23,2,0),VLOOKUP($C462,Series!$A$3:$F$11,6,0))&amp;" - "&amp;(IFERROR(IF(FIND("_",$B462)&gt;0,MID($B462,FIND("_",$B462)+1,LEN($B462)),IF(FIND("-",$B462)&gt;0,MID($B462,FIND("-",$B462)+1,LEN($B462)))),""))),""),LEFT((_xlfn.IFNA(IF(IFERROR(IF(FIND("_",$B462)&gt;0,MID($B462,FIND("_",$B462)+1,LEN($B462)),IF(FIND("-",$B462)&gt;0,MID($B462,FIND("-",$B462)+1,LEN($B462)))),"")="",IFERROR(VLOOKUP($F462,WP!$B$2:$C$23,2,0),VLOOKUP($C462,Series!$A$3:$F$11,6,0)),IFERROR(VLOOKUP($F462,WP!$B$2:$C$23,2,0),VLOOKUP($C462,Series!$A$3:$F$11,6,0))&amp;" - "&amp;(IFERROR(IF(FIND("_",$B462)&gt;0,MID($B462,FIND("_",$B462)+1,LEN($B462)),IF(FIND("-",$B462)&gt;0,MID($B462,FIND("-",$B462)+1,LEN($B462)))),""))),"")),64))</f>
        <v/>
      </c>
      <c r="H462" s="12"/>
      <c r="I462" s="12" t="str">
        <f>IF($D462&lt;&gt;"",COUNTIF($D$7:$D462,"="&amp;$D462),"")</f>
        <v/>
      </c>
      <c r="J462"/>
      <c r="K462" s="8"/>
      <c r="L462"/>
    </row>
    <row r="463" spans="1:12" x14ac:dyDescent="0.3">
      <c r="A463" s="1"/>
      <c r="B463" s="26"/>
      <c r="C463" s="12" t="str">
        <f>_xlfn.IFNA(IFERROR(IF(FIND("_",$B463)&gt;0,INDEX(WP!$A$2:$F$23,MATCH(LEFT($B463,FIND("_",$B463)-1),WP!$E$2:$E$23,0),1),IF(FIND("-",$B463)&gt;0,INDEX(WP!$A$2:$F$23,MATCH(LEFT($B463,FIND("_",$B463)-1),WP!$E$2:$E$23,0),1))),INDEX(WP!$A$2:$F$23,MATCH(Results!$B463,WP!$E$2:$E$23,0),1)),"")</f>
        <v/>
      </c>
      <c r="D463" s="12" t="str">
        <f>IFERROR(IFERROR(IF(RIGHT(INDEX(WP!$A$2:$F$23,MATCH(IF(FIND("_",$B463)&gt;0,LEFT($B463,FIND("_",$B463)-1)),WP!$E$2:$E$23,0),2),6)="Series",LEFT(INDEX(WP!$A$2:$F$23,MATCH(IF(FIND("_",$B463)&gt;0,LEFT($B463,FIND("_",$B463)-1)),WP!$E$2:$E$23,0),2),5),""),IF(RIGHT(INDEX(WP!$A$2:$F$23,MATCH($B463,WP!$E$2:$E$23,0),2),6)="Series",LEFT(INDEX(WP!$A$2:$F$23,MATCH($B463,WP!$E$2:$E$23,0),2),5),"")),"")</f>
        <v/>
      </c>
      <c r="E463" s="17" t="str">
        <f>IFERROR(VLOOKUP(VALUE($D463),Series!$B$3:$F$11,2,0),"")</f>
        <v/>
      </c>
      <c r="F463" s="12" t="str">
        <f>_xlfn.IFNA(IF(IF($D463&lt;&gt;"",COUNTIF($E:$E,"="&amp;$D463),"")="",IF(RIGHT(IFERROR(IF(FIND("_",$B463)&gt;0,INDEX(WP!$A$2:$F$23,MATCH(LEFT($B463,FIND("_",$B463)-1),WP!$E$2:$E$23,0),2),IF(FIND("-",$B463)&gt;0,INDEX(WP!$A$2:$F$23,MATCH(LEFT($B463,FIND("_",$B463)-1),WP!$E$2:$E$23,0),2))),INDEX(WP!$A$2:$F$23,MATCH(Results!$B463,WP!$E$2:$E$23,0),2)),6)="Series",LEFT(IFERROR(IF(FIND("_",$B463)&gt;0,INDEX(WP!$A$2:$F$23,MATCH(LEFT($B463,FIND("_",$B463)-1),WP!$E$2:$E$23,0),2),IF(FIND("-",$B463)&gt;0,INDEX(WP!$A$2:$F$23,MATCH(LEFT($B463,FIND("_",$B463)-1),WP!$E$2:$E$23,0),2))),INDEX(WP!$A$2:$F$23,MATCH(Results!$B463,WP!$E$2:$E$23,0),2)),5),(IFERROR(IF(FIND("_",$B463)&gt;0,INDEX(WP!$A$2:$F$23,MATCH(LEFT($B463,FIND("_",$B463)-1),WP!$E$2:$E$23,0),2),IF(FIND("-",$B463)&gt;0,INDEX(WP!$A$2:$F$23,MATCH(LEFT($B463,FIND("_",$B463)-1),WP!$E$2:$E$23,0),2))),INDEX(WP!$A$2:$F$23,MATCH(Results!$B463,WP!$E$2:$E$23,0),2)))),IF(RIGHT(IFERROR(IF(FIND("_",$B463)&gt;0,INDEX(WP!$A$2:$F$23,MATCH(LEFT($B463,FIND("_",$B463)-1),WP!$E$2:$E$23,0),2),IF(FIND("-",$B463)&gt;0,INDEX(WP!$A$2:$F$23,MATCH(LEFT($B463,FIND("_",$B463)-1),WP!$E$2:$E$23,0),2))),INDEX(WP!$A$2:$F$23,MATCH(Results!$B463,WP!$E$2:$E$23,0),2)),6)="Series",LEFT(IFERROR(IF(FIND("_",$B463)&gt;0,INDEX(WP!$A$2:$F$23,MATCH(LEFT($B463,FIND("_",$B463)-1),WP!$E$2:$E$23,0),2),IF(FIND("-",$B463)&gt;0,INDEX(WP!$A$2:$F$23,MATCH(LEFT($B463,FIND("_",$B463)-1),WP!$E$2:$E$23,0),2))),INDEX(WP!$A$2:$F$23,MATCH(Results!$B463,WP!$E$2:$E$23,0),2)),5),(IFERROR(IF(FIND("_",$B463)&gt;0,INDEX(WP!$A$2:$F$23,MATCH(LEFT($B463,FIND("_",$B463)-1),WP!$E$2:$E$23,0),2),IF(FIND("-",$B463)&gt;0,INDEX(WP!$A$2:$F$23,MATCH(LEFT($B463,FIND("_",$B463)-1),WP!$E$2:$E$23,0),2))),INDEX(WP!$A$2:$F$23,MATCH(Results!$B463,WP!$E$2:$E$23,0),2))))&amp;"-"&amp;$I463),"")</f>
        <v/>
      </c>
      <c r="G463" s="17" t="str">
        <f>IF(LEN(_xlfn.IFNA(IF(IFERROR(IF(FIND("_",$B463)&gt;0,MID($B463,FIND("_",$B463)+1,LEN($B463)),IF(FIND("-",$B463)&gt;0,MID($B463,FIND("-",$B463)+1,LEN($B463)))),"")="",IFERROR(VLOOKUP($F463,WP!$B$2:$C$23,2,0),VLOOKUP($C463,Series!$A$3:$F$11,6,0)),IFERROR(VLOOKUP($F463,WP!$B$2:$C$23,2,0),VLOOKUP($C463,Series!$A$3:$F$11,6,0))&amp;" - "&amp;(IFERROR(IF(FIND("_",$B463)&gt;0,MID($B463,FIND("_",$B463)+1,LEN($B463)),IF(FIND("-",$B463)&gt;0,MID($B463,FIND("-",$B463)+1,LEN($B463)))),""))),""))&lt;64,_xlfn.IFNA(IF(IFERROR(IF(FIND("_",$B463)&gt;0,MID($B463,FIND("_",$B463)+1,LEN($B463)),IF(FIND("-",$B463)&gt;0,MID($B463,FIND("-",$B463)+1,LEN($B463)))),"")="",IFERROR(VLOOKUP($F463,WP!$B$2:$C$23,2,0),VLOOKUP($C463,Series!$A$3:$F$11,6,0)),IFERROR(VLOOKUP($F463,WP!$B$2:$C$23,2,0),VLOOKUP($C463,Series!$A$3:$F$11,6,0))&amp;" - "&amp;(IFERROR(IF(FIND("_",$B463)&gt;0,MID($B463,FIND("_",$B463)+1,LEN($B463)),IF(FIND("-",$B463)&gt;0,MID($B463,FIND("-",$B463)+1,LEN($B463)))),""))),""),LEFT((_xlfn.IFNA(IF(IFERROR(IF(FIND("_",$B463)&gt;0,MID($B463,FIND("_",$B463)+1,LEN($B463)),IF(FIND("-",$B463)&gt;0,MID($B463,FIND("-",$B463)+1,LEN($B463)))),"")="",IFERROR(VLOOKUP($F463,WP!$B$2:$C$23,2,0),VLOOKUP($C463,Series!$A$3:$F$11,6,0)),IFERROR(VLOOKUP($F463,WP!$B$2:$C$23,2,0),VLOOKUP($C463,Series!$A$3:$F$11,6,0))&amp;" - "&amp;(IFERROR(IF(FIND("_",$B463)&gt;0,MID($B463,FIND("_",$B463)+1,LEN($B463)),IF(FIND("-",$B463)&gt;0,MID($B463,FIND("-",$B463)+1,LEN($B463)))),""))),"")),64))</f>
        <v/>
      </c>
      <c r="H463" s="12"/>
      <c r="I463" s="12" t="str">
        <f>IF($D463&lt;&gt;"",COUNTIF($D$7:$D463,"="&amp;$D463),"")</f>
        <v/>
      </c>
      <c r="J463"/>
      <c r="K463" s="8"/>
      <c r="L463"/>
    </row>
    <row r="464" spans="1:12" x14ac:dyDescent="0.3">
      <c r="A464" s="1"/>
      <c r="B464" s="26"/>
      <c r="C464" s="12" t="str">
        <f>_xlfn.IFNA(IFERROR(IF(FIND("_",$B464)&gt;0,INDEX(WP!$A$2:$F$23,MATCH(LEFT($B464,FIND("_",$B464)-1),WP!$E$2:$E$23,0),1),IF(FIND("-",$B464)&gt;0,INDEX(WP!$A$2:$F$23,MATCH(LEFT($B464,FIND("_",$B464)-1),WP!$E$2:$E$23,0),1))),INDEX(WP!$A$2:$F$23,MATCH(Results!$B464,WP!$E$2:$E$23,0),1)),"")</f>
        <v/>
      </c>
      <c r="D464" s="12" t="str">
        <f>IFERROR(IFERROR(IF(RIGHT(INDEX(WP!$A$2:$F$23,MATCH(IF(FIND("_",$B464)&gt;0,LEFT($B464,FIND("_",$B464)-1)),WP!$E$2:$E$23,0),2),6)="Series",LEFT(INDEX(WP!$A$2:$F$23,MATCH(IF(FIND("_",$B464)&gt;0,LEFT($B464,FIND("_",$B464)-1)),WP!$E$2:$E$23,0),2),5),""),IF(RIGHT(INDEX(WP!$A$2:$F$23,MATCH($B464,WP!$E$2:$E$23,0),2),6)="Series",LEFT(INDEX(WP!$A$2:$F$23,MATCH($B464,WP!$E$2:$E$23,0),2),5),"")),"")</f>
        <v/>
      </c>
      <c r="E464" s="17" t="str">
        <f>IFERROR(VLOOKUP(VALUE($D464),Series!$B$3:$F$11,2,0),"")</f>
        <v/>
      </c>
      <c r="F464" s="12" t="str">
        <f>_xlfn.IFNA(IF(IF($D464&lt;&gt;"",COUNTIF($E:$E,"="&amp;$D464),"")="",IF(RIGHT(IFERROR(IF(FIND("_",$B464)&gt;0,INDEX(WP!$A$2:$F$23,MATCH(LEFT($B464,FIND("_",$B464)-1),WP!$E$2:$E$23,0),2),IF(FIND("-",$B464)&gt;0,INDEX(WP!$A$2:$F$23,MATCH(LEFT($B464,FIND("_",$B464)-1),WP!$E$2:$E$23,0),2))),INDEX(WP!$A$2:$F$23,MATCH(Results!$B464,WP!$E$2:$E$23,0),2)),6)="Series",LEFT(IFERROR(IF(FIND("_",$B464)&gt;0,INDEX(WP!$A$2:$F$23,MATCH(LEFT($B464,FIND("_",$B464)-1),WP!$E$2:$E$23,0),2),IF(FIND("-",$B464)&gt;0,INDEX(WP!$A$2:$F$23,MATCH(LEFT($B464,FIND("_",$B464)-1),WP!$E$2:$E$23,0),2))),INDEX(WP!$A$2:$F$23,MATCH(Results!$B464,WP!$E$2:$E$23,0),2)),5),(IFERROR(IF(FIND("_",$B464)&gt;0,INDEX(WP!$A$2:$F$23,MATCH(LEFT($B464,FIND("_",$B464)-1),WP!$E$2:$E$23,0),2),IF(FIND("-",$B464)&gt;0,INDEX(WP!$A$2:$F$23,MATCH(LEFT($B464,FIND("_",$B464)-1),WP!$E$2:$E$23,0),2))),INDEX(WP!$A$2:$F$23,MATCH(Results!$B464,WP!$E$2:$E$23,0),2)))),IF(RIGHT(IFERROR(IF(FIND("_",$B464)&gt;0,INDEX(WP!$A$2:$F$23,MATCH(LEFT($B464,FIND("_",$B464)-1),WP!$E$2:$E$23,0),2),IF(FIND("-",$B464)&gt;0,INDEX(WP!$A$2:$F$23,MATCH(LEFT($B464,FIND("_",$B464)-1),WP!$E$2:$E$23,0),2))),INDEX(WP!$A$2:$F$23,MATCH(Results!$B464,WP!$E$2:$E$23,0),2)),6)="Series",LEFT(IFERROR(IF(FIND("_",$B464)&gt;0,INDEX(WP!$A$2:$F$23,MATCH(LEFT($B464,FIND("_",$B464)-1),WP!$E$2:$E$23,0),2),IF(FIND("-",$B464)&gt;0,INDEX(WP!$A$2:$F$23,MATCH(LEFT($B464,FIND("_",$B464)-1),WP!$E$2:$E$23,0),2))),INDEX(WP!$A$2:$F$23,MATCH(Results!$B464,WP!$E$2:$E$23,0),2)),5),(IFERROR(IF(FIND("_",$B464)&gt;0,INDEX(WP!$A$2:$F$23,MATCH(LEFT($B464,FIND("_",$B464)-1),WP!$E$2:$E$23,0),2),IF(FIND("-",$B464)&gt;0,INDEX(WP!$A$2:$F$23,MATCH(LEFT($B464,FIND("_",$B464)-1),WP!$E$2:$E$23,0),2))),INDEX(WP!$A$2:$F$23,MATCH(Results!$B464,WP!$E$2:$E$23,0),2))))&amp;"-"&amp;$I464),"")</f>
        <v/>
      </c>
      <c r="G464" s="17" t="str">
        <f>IF(LEN(_xlfn.IFNA(IF(IFERROR(IF(FIND("_",$B464)&gt;0,MID($B464,FIND("_",$B464)+1,LEN($B464)),IF(FIND("-",$B464)&gt;0,MID($B464,FIND("-",$B464)+1,LEN($B464)))),"")="",IFERROR(VLOOKUP($F464,WP!$B$2:$C$23,2,0),VLOOKUP($C464,Series!$A$3:$F$11,6,0)),IFERROR(VLOOKUP($F464,WP!$B$2:$C$23,2,0),VLOOKUP($C464,Series!$A$3:$F$11,6,0))&amp;" - "&amp;(IFERROR(IF(FIND("_",$B464)&gt;0,MID($B464,FIND("_",$B464)+1,LEN($B464)),IF(FIND("-",$B464)&gt;0,MID($B464,FIND("-",$B464)+1,LEN($B464)))),""))),""))&lt;64,_xlfn.IFNA(IF(IFERROR(IF(FIND("_",$B464)&gt;0,MID($B464,FIND("_",$B464)+1,LEN($B464)),IF(FIND("-",$B464)&gt;0,MID($B464,FIND("-",$B464)+1,LEN($B464)))),"")="",IFERROR(VLOOKUP($F464,WP!$B$2:$C$23,2,0),VLOOKUP($C464,Series!$A$3:$F$11,6,0)),IFERROR(VLOOKUP($F464,WP!$B$2:$C$23,2,0),VLOOKUP($C464,Series!$A$3:$F$11,6,0))&amp;" - "&amp;(IFERROR(IF(FIND("_",$B464)&gt;0,MID($B464,FIND("_",$B464)+1,LEN($B464)),IF(FIND("-",$B464)&gt;0,MID($B464,FIND("-",$B464)+1,LEN($B464)))),""))),""),LEFT((_xlfn.IFNA(IF(IFERROR(IF(FIND("_",$B464)&gt;0,MID($B464,FIND("_",$B464)+1,LEN($B464)),IF(FIND("-",$B464)&gt;0,MID($B464,FIND("-",$B464)+1,LEN($B464)))),"")="",IFERROR(VLOOKUP($F464,WP!$B$2:$C$23,2,0),VLOOKUP($C464,Series!$A$3:$F$11,6,0)),IFERROR(VLOOKUP($F464,WP!$B$2:$C$23,2,0),VLOOKUP($C464,Series!$A$3:$F$11,6,0))&amp;" - "&amp;(IFERROR(IF(FIND("_",$B464)&gt;0,MID($B464,FIND("_",$B464)+1,LEN($B464)),IF(FIND("-",$B464)&gt;0,MID($B464,FIND("-",$B464)+1,LEN($B464)))),""))),"")),64))</f>
        <v/>
      </c>
      <c r="H464" s="12"/>
      <c r="I464" s="12" t="str">
        <f>IF($D464&lt;&gt;"",COUNTIF($D$7:$D464,"="&amp;$D464),"")</f>
        <v/>
      </c>
      <c r="J464"/>
      <c r="K464" s="8"/>
      <c r="L464"/>
    </row>
    <row r="465" spans="1:12" x14ac:dyDescent="0.3">
      <c r="A465" s="1"/>
      <c r="B465" s="26"/>
      <c r="C465" s="12" t="str">
        <f>_xlfn.IFNA(IFERROR(IF(FIND("_",$B465)&gt;0,INDEX(WP!$A$2:$F$23,MATCH(LEFT($B465,FIND("_",$B465)-1),WP!$E$2:$E$23,0),1),IF(FIND("-",$B465)&gt;0,INDEX(WP!$A$2:$F$23,MATCH(LEFT($B465,FIND("_",$B465)-1),WP!$E$2:$E$23,0),1))),INDEX(WP!$A$2:$F$23,MATCH(Results!$B465,WP!$E$2:$E$23,0),1)),"")</f>
        <v/>
      </c>
      <c r="D465" s="12" t="str">
        <f>IFERROR(IFERROR(IF(RIGHT(INDEX(WP!$A$2:$F$23,MATCH(IF(FIND("_",$B465)&gt;0,LEFT($B465,FIND("_",$B465)-1)),WP!$E$2:$E$23,0),2),6)="Series",LEFT(INDEX(WP!$A$2:$F$23,MATCH(IF(FIND("_",$B465)&gt;0,LEFT($B465,FIND("_",$B465)-1)),WP!$E$2:$E$23,0),2),5),""),IF(RIGHT(INDEX(WP!$A$2:$F$23,MATCH($B465,WP!$E$2:$E$23,0),2),6)="Series",LEFT(INDEX(WP!$A$2:$F$23,MATCH($B465,WP!$E$2:$E$23,0),2),5),"")),"")</f>
        <v/>
      </c>
      <c r="E465" s="17" t="str">
        <f>IFERROR(VLOOKUP(VALUE($D465),Series!$B$3:$F$11,2,0),"")</f>
        <v/>
      </c>
      <c r="F465" s="12" t="str">
        <f>_xlfn.IFNA(IF(IF($D465&lt;&gt;"",COUNTIF($E:$E,"="&amp;$D465),"")="",IF(RIGHT(IFERROR(IF(FIND("_",$B465)&gt;0,INDEX(WP!$A$2:$F$23,MATCH(LEFT($B465,FIND("_",$B465)-1),WP!$E$2:$E$23,0),2),IF(FIND("-",$B465)&gt;0,INDEX(WP!$A$2:$F$23,MATCH(LEFT($B465,FIND("_",$B465)-1),WP!$E$2:$E$23,0),2))),INDEX(WP!$A$2:$F$23,MATCH(Results!$B465,WP!$E$2:$E$23,0),2)),6)="Series",LEFT(IFERROR(IF(FIND("_",$B465)&gt;0,INDEX(WP!$A$2:$F$23,MATCH(LEFT($B465,FIND("_",$B465)-1),WP!$E$2:$E$23,0),2),IF(FIND("-",$B465)&gt;0,INDEX(WP!$A$2:$F$23,MATCH(LEFT($B465,FIND("_",$B465)-1),WP!$E$2:$E$23,0),2))),INDEX(WP!$A$2:$F$23,MATCH(Results!$B465,WP!$E$2:$E$23,0),2)),5),(IFERROR(IF(FIND("_",$B465)&gt;0,INDEX(WP!$A$2:$F$23,MATCH(LEFT($B465,FIND("_",$B465)-1),WP!$E$2:$E$23,0),2),IF(FIND("-",$B465)&gt;0,INDEX(WP!$A$2:$F$23,MATCH(LEFT($B465,FIND("_",$B465)-1),WP!$E$2:$E$23,0),2))),INDEX(WP!$A$2:$F$23,MATCH(Results!$B465,WP!$E$2:$E$23,0),2)))),IF(RIGHT(IFERROR(IF(FIND("_",$B465)&gt;0,INDEX(WP!$A$2:$F$23,MATCH(LEFT($B465,FIND("_",$B465)-1),WP!$E$2:$E$23,0),2),IF(FIND("-",$B465)&gt;0,INDEX(WP!$A$2:$F$23,MATCH(LEFT($B465,FIND("_",$B465)-1),WP!$E$2:$E$23,0),2))),INDEX(WP!$A$2:$F$23,MATCH(Results!$B465,WP!$E$2:$E$23,0),2)),6)="Series",LEFT(IFERROR(IF(FIND("_",$B465)&gt;0,INDEX(WP!$A$2:$F$23,MATCH(LEFT($B465,FIND("_",$B465)-1),WP!$E$2:$E$23,0),2),IF(FIND("-",$B465)&gt;0,INDEX(WP!$A$2:$F$23,MATCH(LEFT($B465,FIND("_",$B465)-1),WP!$E$2:$E$23,0),2))),INDEX(WP!$A$2:$F$23,MATCH(Results!$B465,WP!$E$2:$E$23,0),2)),5),(IFERROR(IF(FIND("_",$B465)&gt;0,INDEX(WP!$A$2:$F$23,MATCH(LEFT($B465,FIND("_",$B465)-1),WP!$E$2:$E$23,0),2),IF(FIND("-",$B465)&gt;0,INDEX(WP!$A$2:$F$23,MATCH(LEFT($B465,FIND("_",$B465)-1),WP!$E$2:$E$23,0),2))),INDEX(WP!$A$2:$F$23,MATCH(Results!$B465,WP!$E$2:$E$23,0),2))))&amp;"-"&amp;$I465),"")</f>
        <v/>
      </c>
      <c r="G465" s="17" t="str">
        <f>IF(LEN(_xlfn.IFNA(IF(IFERROR(IF(FIND("_",$B465)&gt;0,MID($B465,FIND("_",$B465)+1,LEN($B465)),IF(FIND("-",$B465)&gt;0,MID($B465,FIND("-",$B465)+1,LEN($B465)))),"")="",IFERROR(VLOOKUP($F465,WP!$B$2:$C$23,2,0),VLOOKUP($C465,Series!$A$3:$F$11,6,0)),IFERROR(VLOOKUP($F465,WP!$B$2:$C$23,2,0),VLOOKUP($C465,Series!$A$3:$F$11,6,0))&amp;" - "&amp;(IFERROR(IF(FIND("_",$B465)&gt;0,MID($B465,FIND("_",$B465)+1,LEN($B465)),IF(FIND("-",$B465)&gt;0,MID($B465,FIND("-",$B465)+1,LEN($B465)))),""))),""))&lt;64,_xlfn.IFNA(IF(IFERROR(IF(FIND("_",$B465)&gt;0,MID($B465,FIND("_",$B465)+1,LEN($B465)),IF(FIND("-",$B465)&gt;0,MID($B465,FIND("-",$B465)+1,LEN($B465)))),"")="",IFERROR(VLOOKUP($F465,WP!$B$2:$C$23,2,0),VLOOKUP($C465,Series!$A$3:$F$11,6,0)),IFERROR(VLOOKUP($F465,WP!$B$2:$C$23,2,0),VLOOKUP($C465,Series!$A$3:$F$11,6,0))&amp;" - "&amp;(IFERROR(IF(FIND("_",$B465)&gt;0,MID($B465,FIND("_",$B465)+1,LEN($B465)),IF(FIND("-",$B465)&gt;0,MID($B465,FIND("-",$B465)+1,LEN($B465)))),""))),""),LEFT((_xlfn.IFNA(IF(IFERROR(IF(FIND("_",$B465)&gt;0,MID($B465,FIND("_",$B465)+1,LEN($B465)),IF(FIND("-",$B465)&gt;0,MID($B465,FIND("-",$B465)+1,LEN($B465)))),"")="",IFERROR(VLOOKUP($F465,WP!$B$2:$C$23,2,0),VLOOKUP($C465,Series!$A$3:$F$11,6,0)),IFERROR(VLOOKUP($F465,WP!$B$2:$C$23,2,0),VLOOKUP($C465,Series!$A$3:$F$11,6,0))&amp;" - "&amp;(IFERROR(IF(FIND("_",$B465)&gt;0,MID($B465,FIND("_",$B465)+1,LEN($B465)),IF(FIND("-",$B465)&gt;0,MID($B465,FIND("-",$B465)+1,LEN($B465)))),""))),"")),64))</f>
        <v/>
      </c>
      <c r="H465" s="12"/>
      <c r="I465" s="12" t="str">
        <f>IF($D465&lt;&gt;"",COUNTIF($D$7:$D465,"="&amp;$D465),"")</f>
        <v/>
      </c>
      <c r="J465"/>
      <c r="K465" s="8"/>
      <c r="L465"/>
    </row>
    <row r="466" spans="1:12" x14ac:dyDescent="0.3">
      <c r="A466" s="1"/>
      <c r="B466" s="26"/>
      <c r="C466" s="12" t="str">
        <f>_xlfn.IFNA(IFERROR(IF(FIND("_",$B466)&gt;0,INDEX(WP!$A$2:$F$23,MATCH(LEFT($B466,FIND("_",$B466)-1),WP!$E$2:$E$23,0),1),IF(FIND("-",$B466)&gt;0,INDEX(WP!$A$2:$F$23,MATCH(LEFT($B466,FIND("_",$B466)-1),WP!$E$2:$E$23,0),1))),INDEX(WP!$A$2:$F$23,MATCH(Results!$B466,WP!$E$2:$E$23,0),1)),"")</f>
        <v/>
      </c>
      <c r="D466" s="12" t="str">
        <f>IFERROR(IFERROR(IF(RIGHT(INDEX(WP!$A$2:$F$23,MATCH(IF(FIND("_",$B466)&gt;0,LEFT($B466,FIND("_",$B466)-1)),WP!$E$2:$E$23,0),2),6)="Series",LEFT(INDEX(WP!$A$2:$F$23,MATCH(IF(FIND("_",$B466)&gt;0,LEFT($B466,FIND("_",$B466)-1)),WP!$E$2:$E$23,0),2),5),""),IF(RIGHT(INDEX(WP!$A$2:$F$23,MATCH($B466,WP!$E$2:$E$23,0),2),6)="Series",LEFT(INDEX(WP!$A$2:$F$23,MATCH($B466,WP!$E$2:$E$23,0),2),5),"")),"")</f>
        <v/>
      </c>
      <c r="E466" s="17" t="str">
        <f>IFERROR(VLOOKUP(VALUE($D466),Series!$B$3:$F$11,2,0),"")</f>
        <v/>
      </c>
      <c r="F466" s="12" t="str">
        <f>_xlfn.IFNA(IF(IF($D466&lt;&gt;"",COUNTIF($E:$E,"="&amp;$D466),"")="",IF(RIGHT(IFERROR(IF(FIND("_",$B466)&gt;0,INDEX(WP!$A$2:$F$23,MATCH(LEFT($B466,FIND("_",$B466)-1),WP!$E$2:$E$23,0),2),IF(FIND("-",$B466)&gt;0,INDEX(WP!$A$2:$F$23,MATCH(LEFT($B466,FIND("_",$B466)-1),WP!$E$2:$E$23,0),2))),INDEX(WP!$A$2:$F$23,MATCH(Results!$B466,WP!$E$2:$E$23,0),2)),6)="Series",LEFT(IFERROR(IF(FIND("_",$B466)&gt;0,INDEX(WP!$A$2:$F$23,MATCH(LEFT($B466,FIND("_",$B466)-1),WP!$E$2:$E$23,0),2),IF(FIND("-",$B466)&gt;0,INDEX(WP!$A$2:$F$23,MATCH(LEFT($B466,FIND("_",$B466)-1),WP!$E$2:$E$23,0),2))),INDEX(WP!$A$2:$F$23,MATCH(Results!$B466,WP!$E$2:$E$23,0),2)),5),(IFERROR(IF(FIND("_",$B466)&gt;0,INDEX(WP!$A$2:$F$23,MATCH(LEFT($B466,FIND("_",$B466)-1),WP!$E$2:$E$23,0),2),IF(FIND("-",$B466)&gt;0,INDEX(WP!$A$2:$F$23,MATCH(LEFT($B466,FIND("_",$B466)-1),WP!$E$2:$E$23,0),2))),INDEX(WP!$A$2:$F$23,MATCH(Results!$B466,WP!$E$2:$E$23,0),2)))),IF(RIGHT(IFERROR(IF(FIND("_",$B466)&gt;0,INDEX(WP!$A$2:$F$23,MATCH(LEFT($B466,FIND("_",$B466)-1),WP!$E$2:$E$23,0),2),IF(FIND("-",$B466)&gt;0,INDEX(WP!$A$2:$F$23,MATCH(LEFT($B466,FIND("_",$B466)-1),WP!$E$2:$E$23,0),2))),INDEX(WP!$A$2:$F$23,MATCH(Results!$B466,WP!$E$2:$E$23,0),2)),6)="Series",LEFT(IFERROR(IF(FIND("_",$B466)&gt;0,INDEX(WP!$A$2:$F$23,MATCH(LEFT($B466,FIND("_",$B466)-1),WP!$E$2:$E$23,0),2),IF(FIND("-",$B466)&gt;0,INDEX(WP!$A$2:$F$23,MATCH(LEFT($B466,FIND("_",$B466)-1),WP!$E$2:$E$23,0),2))),INDEX(WP!$A$2:$F$23,MATCH(Results!$B466,WP!$E$2:$E$23,0),2)),5),(IFERROR(IF(FIND("_",$B466)&gt;0,INDEX(WP!$A$2:$F$23,MATCH(LEFT($B466,FIND("_",$B466)-1),WP!$E$2:$E$23,0),2),IF(FIND("-",$B466)&gt;0,INDEX(WP!$A$2:$F$23,MATCH(LEFT($B466,FIND("_",$B466)-1),WP!$E$2:$E$23,0),2))),INDEX(WP!$A$2:$F$23,MATCH(Results!$B466,WP!$E$2:$E$23,0),2))))&amp;"-"&amp;$I466),"")</f>
        <v/>
      </c>
      <c r="G466" s="17" t="str">
        <f>IF(LEN(_xlfn.IFNA(IF(IFERROR(IF(FIND("_",$B466)&gt;0,MID($B466,FIND("_",$B466)+1,LEN($B466)),IF(FIND("-",$B466)&gt;0,MID($B466,FIND("-",$B466)+1,LEN($B466)))),"")="",IFERROR(VLOOKUP($F466,WP!$B$2:$C$23,2,0),VLOOKUP($C466,Series!$A$3:$F$11,6,0)),IFERROR(VLOOKUP($F466,WP!$B$2:$C$23,2,0),VLOOKUP($C466,Series!$A$3:$F$11,6,0))&amp;" - "&amp;(IFERROR(IF(FIND("_",$B466)&gt;0,MID($B466,FIND("_",$B466)+1,LEN($B466)),IF(FIND("-",$B466)&gt;0,MID($B466,FIND("-",$B466)+1,LEN($B466)))),""))),""))&lt;64,_xlfn.IFNA(IF(IFERROR(IF(FIND("_",$B466)&gt;0,MID($B466,FIND("_",$B466)+1,LEN($B466)),IF(FIND("-",$B466)&gt;0,MID($B466,FIND("-",$B466)+1,LEN($B466)))),"")="",IFERROR(VLOOKUP($F466,WP!$B$2:$C$23,2,0),VLOOKUP($C466,Series!$A$3:$F$11,6,0)),IFERROR(VLOOKUP($F466,WP!$B$2:$C$23,2,0),VLOOKUP($C466,Series!$A$3:$F$11,6,0))&amp;" - "&amp;(IFERROR(IF(FIND("_",$B466)&gt;0,MID($B466,FIND("_",$B466)+1,LEN($B466)),IF(FIND("-",$B466)&gt;0,MID($B466,FIND("-",$B466)+1,LEN($B466)))),""))),""),LEFT((_xlfn.IFNA(IF(IFERROR(IF(FIND("_",$B466)&gt;0,MID($B466,FIND("_",$B466)+1,LEN($B466)),IF(FIND("-",$B466)&gt;0,MID($B466,FIND("-",$B466)+1,LEN($B466)))),"")="",IFERROR(VLOOKUP($F466,WP!$B$2:$C$23,2,0),VLOOKUP($C466,Series!$A$3:$F$11,6,0)),IFERROR(VLOOKUP($F466,WP!$B$2:$C$23,2,0),VLOOKUP($C466,Series!$A$3:$F$11,6,0))&amp;" - "&amp;(IFERROR(IF(FIND("_",$B466)&gt;0,MID($B466,FIND("_",$B466)+1,LEN($B466)),IF(FIND("-",$B466)&gt;0,MID($B466,FIND("-",$B466)+1,LEN($B466)))),""))),"")),64))</f>
        <v/>
      </c>
      <c r="H466" s="12"/>
      <c r="I466" s="12" t="str">
        <f>IF($D466&lt;&gt;"",COUNTIF($D$7:$D466,"="&amp;$D466),"")</f>
        <v/>
      </c>
      <c r="J466"/>
      <c r="K466" s="8"/>
      <c r="L466"/>
    </row>
    <row r="467" spans="1:12" x14ac:dyDescent="0.3">
      <c r="A467" s="1"/>
      <c r="B467" s="26"/>
      <c r="C467" s="12" t="str">
        <f>_xlfn.IFNA(IFERROR(IF(FIND("_",$B467)&gt;0,INDEX(WP!$A$2:$F$23,MATCH(LEFT($B467,FIND("_",$B467)-1),WP!$E$2:$E$23,0),1),IF(FIND("-",$B467)&gt;0,INDEX(WP!$A$2:$F$23,MATCH(LEFT($B467,FIND("_",$B467)-1),WP!$E$2:$E$23,0),1))),INDEX(WP!$A$2:$F$23,MATCH(Results!$B467,WP!$E$2:$E$23,0),1)),"")</f>
        <v/>
      </c>
      <c r="D467" s="12" t="str">
        <f>IFERROR(IFERROR(IF(RIGHT(INDEX(WP!$A$2:$F$23,MATCH(IF(FIND("_",$B467)&gt;0,LEFT($B467,FIND("_",$B467)-1)),WP!$E$2:$E$23,0),2),6)="Series",LEFT(INDEX(WP!$A$2:$F$23,MATCH(IF(FIND("_",$B467)&gt;0,LEFT($B467,FIND("_",$B467)-1)),WP!$E$2:$E$23,0),2),5),""),IF(RIGHT(INDEX(WP!$A$2:$F$23,MATCH($B467,WP!$E$2:$E$23,0),2),6)="Series",LEFT(INDEX(WP!$A$2:$F$23,MATCH($B467,WP!$E$2:$E$23,0),2),5),"")),"")</f>
        <v/>
      </c>
      <c r="E467" s="17" t="str">
        <f>IFERROR(VLOOKUP(VALUE($D467),Series!$B$3:$F$11,2,0),"")</f>
        <v/>
      </c>
      <c r="F467" s="12" t="str">
        <f>_xlfn.IFNA(IF(IF($D467&lt;&gt;"",COUNTIF($E:$E,"="&amp;$D467),"")="",IF(RIGHT(IFERROR(IF(FIND("_",$B467)&gt;0,INDEX(WP!$A$2:$F$23,MATCH(LEFT($B467,FIND("_",$B467)-1),WP!$E$2:$E$23,0),2),IF(FIND("-",$B467)&gt;0,INDEX(WP!$A$2:$F$23,MATCH(LEFT($B467,FIND("_",$B467)-1),WP!$E$2:$E$23,0),2))),INDEX(WP!$A$2:$F$23,MATCH(Results!$B467,WP!$E$2:$E$23,0),2)),6)="Series",LEFT(IFERROR(IF(FIND("_",$B467)&gt;0,INDEX(WP!$A$2:$F$23,MATCH(LEFT($B467,FIND("_",$B467)-1),WP!$E$2:$E$23,0),2),IF(FIND("-",$B467)&gt;0,INDEX(WP!$A$2:$F$23,MATCH(LEFT($B467,FIND("_",$B467)-1),WP!$E$2:$E$23,0),2))),INDEX(WP!$A$2:$F$23,MATCH(Results!$B467,WP!$E$2:$E$23,0),2)),5),(IFERROR(IF(FIND("_",$B467)&gt;0,INDEX(WP!$A$2:$F$23,MATCH(LEFT($B467,FIND("_",$B467)-1),WP!$E$2:$E$23,0),2),IF(FIND("-",$B467)&gt;0,INDEX(WP!$A$2:$F$23,MATCH(LEFT($B467,FIND("_",$B467)-1),WP!$E$2:$E$23,0),2))),INDEX(WP!$A$2:$F$23,MATCH(Results!$B467,WP!$E$2:$E$23,0),2)))),IF(RIGHT(IFERROR(IF(FIND("_",$B467)&gt;0,INDEX(WP!$A$2:$F$23,MATCH(LEFT($B467,FIND("_",$B467)-1),WP!$E$2:$E$23,0),2),IF(FIND("-",$B467)&gt;0,INDEX(WP!$A$2:$F$23,MATCH(LEFT($B467,FIND("_",$B467)-1),WP!$E$2:$E$23,0),2))),INDEX(WP!$A$2:$F$23,MATCH(Results!$B467,WP!$E$2:$E$23,0),2)),6)="Series",LEFT(IFERROR(IF(FIND("_",$B467)&gt;0,INDEX(WP!$A$2:$F$23,MATCH(LEFT($B467,FIND("_",$B467)-1),WP!$E$2:$E$23,0),2),IF(FIND("-",$B467)&gt;0,INDEX(WP!$A$2:$F$23,MATCH(LEFT($B467,FIND("_",$B467)-1),WP!$E$2:$E$23,0),2))),INDEX(WP!$A$2:$F$23,MATCH(Results!$B467,WP!$E$2:$E$23,0),2)),5),(IFERROR(IF(FIND("_",$B467)&gt;0,INDEX(WP!$A$2:$F$23,MATCH(LEFT($B467,FIND("_",$B467)-1),WP!$E$2:$E$23,0),2),IF(FIND("-",$B467)&gt;0,INDEX(WP!$A$2:$F$23,MATCH(LEFT($B467,FIND("_",$B467)-1),WP!$E$2:$E$23,0),2))),INDEX(WP!$A$2:$F$23,MATCH(Results!$B467,WP!$E$2:$E$23,0),2))))&amp;"-"&amp;$I467),"")</f>
        <v/>
      </c>
      <c r="G467" s="17" t="str">
        <f>IF(LEN(_xlfn.IFNA(IF(IFERROR(IF(FIND("_",$B467)&gt;0,MID($B467,FIND("_",$B467)+1,LEN($B467)),IF(FIND("-",$B467)&gt;0,MID($B467,FIND("-",$B467)+1,LEN($B467)))),"")="",IFERROR(VLOOKUP($F467,WP!$B$2:$C$23,2,0),VLOOKUP($C467,Series!$A$3:$F$11,6,0)),IFERROR(VLOOKUP($F467,WP!$B$2:$C$23,2,0),VLOOKUP($C467,Series!$A$3:$F$11,6,0))&amp;" - "&amp;(IFERROR(IF(FIND("_",$B467)&gt;0,MID($B467,FIND("_",$B467)+1,LEN($B467)),IF(FIND("-",$B467)&gt;0,MID($B467,FIND("-",$B467)+1,LEN($B467)))),""))),""))&lt;64,_xlfn.IFNA(IF(IFERROR(IF(FIND("_",$B467)&gt;0,MID($B467,FIND("_",$B467)+1,LEN($B467)),IF(FIND("-",$B467)&gt;0,MID($B467,FIND("-",$B467)+1,LEN($B467)))),"")="",IFERROR(VLOOKUP($F467,WP!$B$2:$C$23,2,0),VLOOKUP($C467,Series!$A$3:$F$11,6,0)),IFERROR(VLOOKUP($F467,WP!$B$2:$C$23,2,0),VLOOKUP($C467,Series!$A$3:$F$11,6,0))&amp;" - "&amp;(IFERROR(IF(FIND("_",$B467)&gt;0,MID($B467,FIND("_",$B467)+1,LEN($B467)),IF(FIND("-",$B467)&gt;0,MID($B467,FIND("-",$B467)+1,LEN($B467)))),""))),""),LEFT((_xlfn.IFNA(IF(IFERROR(IF(FIND("_",$B467)&gt;0,MID($B467,FIND("_",$B467)+1,LEN($B467)),IF(FIND("-",$B467)&gt;0,MID($B467,FIND("-",$B467)+1,LEN($B467)))),"")="",IFERROR(VLOOKUP($F467,WP!$B$2:$C$23,2,0),VLOOKUP($C467,Series!$A$3:$F$11,6,0)),IFERROR(VLOOKUP($F467,WP!$B$2:$C$23,2,0),VLOOKUP($C467,Series!$A$3:$F$11,6,0))&amp;" - "&amp;(IFERROR(IF(FIND("_",$B467)&gt;0,MID($B467,FIND("_",$B467)+1,LEN($B467)),IF(FIND("-",$B467)&gt;0,MID($B467,FIND("-",$B467)+1,LEN($B467)))),""))),"")),64))</f>
        <v/>
      </c>
      <c r="H467" s="12"/>
      <c r="I467" s="12" t="str">
        <f>IF($D467&lt;&gt;"",COUNTIF($D$7:$D467,"="&amp;$D467),"")</f>
        <v/>
      </c>
      <c r="J467"/>
      <c r="K467" s="8"/>
      <c r="L467"/>
    </row>
    <row r="468" spans="1:12" x14ac:dyDescent="0.3">
      <c r="A468" s="1"/>
      <c r="B468" s="26"/>
      <c r="C468" s="12" t="str">
        <f>_xlfn.IFNA(IFERROR(IF(FIND("_",$B468)&gt;0,INDEX(WP!$A$2:$F$23,MATCH(LEFT($B468,FIND("_",$B468)-1),WP!$E$2:$E$23,0),1),IF(FIND("-",$B468)&gt;0,INDEX(WP!$A$2:$F$23,MATCH(LEFT($B468,FIND("_",$B468)-1),WP!$E$2:$E$23,0),1))),INDEX(WP!$A$2:$F$23,MATCH(Results!$B468,WP!$E$2:$E$23,0),1)),"")</f>
        <v/>
      </c>
      <c r="D468" s="12" t="str">
        <f>IFERROR(IFERROR(IF(RIGHT(INDEX(WP!$A$2:$F$23,MATCH(IF(FIND("_",$B468)&gt;0,LEFT($B468,FIND("_",$B468)-1)),WP!$E$2:$E$23,0),2),6)="Series",LEFT(INDEX(WP!$A$2:$F$23,MATCH(IF(FIND("_",$B468)&gt;0,LEFT($B468,FIND("_",$B468)-1)),WP!$E$2:$E$23,0),2),5),""),IF(RIGHT(INDEX(WP!$A$2:$F$23,MATCH($B468,WP!$E$2:$E$23,0),2),6)="Series",LEFT(INDEX(WP!$A$2:$F$23,MATCH($B468,WP!$E$2:$E$23,0),2),5),"")),"")</f>
        <v/>
      </c>
      <c r="E468" s="17" t="str">
        <f>IFERROR(VLOOKUP(VALUE($D468),Series!$B$3:$F$11,2,0),"")</f>
        <v/>
      </c>
      <c r="F468" s="12" t="str">
        <f>_xlfn.IFNA(IF(IF($D468&lt;&gt;"",COUNTIF($E:$E,"="&amp;$D468),"")="",IF(RIGHT(IFERROR(IF(FIND("_",$B468)&gt;0,INDEX(WP!$A$2:$F$23,MATCH(LEFT($B468,FIND("_",$B468)-1),WP!$E$2:$E$23,0),2),IF(FIND("-",$B468)&gt;0,INDEX(WP!$A$2:$F$23,MATCH(LEFT($B468,FIND("_",$B468)-1),WP!$E$2:$E$23,0),2))),INDEX(WP!$A$2:$F$23,MATCH(Results!$B468,WP!$E$2:$E$23,0),2)),6)="Series",LEFT(IFERROR(IF(FIND("_",$B468)&gt;0,INDEX(WP!$A$2:$F$23,MATCH(LEFT($B468,FIND("_",$B468)-1),WP!$E$2:$E$23,0),2),IF(FIND("-",$B468)&gt;0,INDEX(WP!$A$2:$F$23,MATCH(LEFT($B468,FIND("_",$B468)-1),WP!$E$2:$E$23,0),2))),INDEX(WP!$A$2:$F$23,MATCH(Results!$B468,WP!$E$2:$E$23,0),2)),5),(IFERROR(IF(FIND("_",$B468)&gt;0,INDEX(WP!$A$2:$F$23,MATCH(LEFT($B468,FIND("_",$B468)-1),WP!$E$2:$E$23,0),2),IF(FIND("-",$B468)&gt;0,INDEX(WP!$A$2:$F$23,MATCH(LEFT($B468,FIND("_",$B468)-1),WP!$E$2:$E$23,0),2))),INDEX(WP!$A$2:$F$23,MATCH(Results!$B468,WP!$E$2:$E$23,0),2)))),IF(RIGHT(IFERROR(IF(FIND("_",$B468)&gt;0,INDEX(WP!$A$2:$F$23,MATCH(LEFT($B468,FIND("_",$B468)-1),WP!$E$2:$E$23,0),2),IF(FIND("-",$B468)&gt;0,INDEX(WP!$A$2:$F$23,MATCH(LEFT($B468,FIND("_",$B468)-1),WP!$E$2:$E$23,0),2))),INDEX(WP!$A$2:$F$23,MATCH(Results!$B468,WP!$E$2:$E$23,0),2)),6)="Series",LEFT(IFERROR(IF(FIND("_",$B468)&gt;0,INDEX(WP!$A$2:$F$23,MATCH(LEFT($B468,FIND("_",$B468)-1),WP!$E$2:$E$23,0),2),IF(FIND("-",$B468)&gt;0,INDEX(WP!$A$2:$F$23,MATCH(LEFT($B468,FIND("_",$B468)-1),WP!$E$2:$E$23,0),2))),INDEX(WP!$A$2:$F$23,MATCH(Results!$B468,WP!$E$2:$E$23,0),2)),5),(IFERROR(IF(FIND("_",$B468)&gt;0,INDEX(WP!$A$2:$F$23,MATCH(LEFT($B468,FIND("_",$B468)-1),WP!$E$2:$E$23,0),2),IF(FIND("-",$B468)&gt;0,INDEX(WP!$A$2:$F$23,MATCH(LEFT($B468,FIND("_",$B468)-1),WP!$E$2:$E$23,0),2))),INDEX(WP!$A$2:$F$23,MATCH(Results!$B468,WP!$E$2:$E$23,0),2))))&amp;"-"&amp;$I468),"")</f>
        <v/>
      </c>
      <c r="G468" s="17" t="str">
        <f>IF(LEN(_xlfn.IFNA(IF(IFERROR(IF(FIND("_",$B468)&gt;0,MID($B468,FIND("_",$B468)+1,LEN($B468)),IF(FIND("-",$B468)&gt;0,MID($B468,FIND("-",$B468)+1,LEN($B468)))),"")="",IFERROR(VLOOKUP($F468,WP!$B$2:$C$23,2,0),VLOOKUP($C468,Series!$A$3:$F$11,6,0)),IFERROR(VLOOKUP($F468,WP!$B$2:$C$23,2,0),VLOOKUP($C468,Series!$A$3:$F$11,6,0))&amp;" - "&amp;(IFERROR(IF(FIND("_",$B468)&gt;0,MID($B468,FIND("_",$B468)+1,LEN($B468)),IF(FIND("-",$B468)&gt;0,MID($B468,FIND("-",$B468)+1,LEN($B468)))),""))),""))&lt;64,_xlfn.IFNA(IF(IFERROR(IF(FIND("_",$B468)&gt;0,MID($B468,FIND("_",$B468)+1,LEN($B468)),IF(FIND("-",$B468)&gt;0,MID($B468,FIND("-",$B468)+1,LEN($B468)))),"")="",IFERROR(VLOOKUP($F468,WP!$B$2:$C$23,2,0),VLOOKUP($C468,Series!$A$3:$F$11,6,0)),IFERROR(VLOOKUP($F468,WP!$B$2:$C$23,2,0),VLOOKUP($C468,Series!$A$3:$F$11,6,0))&amp;" - "&amp;(IFERROR(IF(FIND("_",$B468)&gt;0,MID($B468,FIND("_",$B468)+1,LEN($B468)),IF(FIND("-",$B468)&gt;0,MID($B468,FIND("-",$B468)+1,LEN($B468)))),""))),""),LEFT((_xlfn.IFNA(IF(IFERROR(IF(FIND("_",$B468)&gt;0,MID($B468,FIND("_",$B468)+1,LEN($B468)),IF(FIND("-",$B468)&gt;0,MID($B468,FIND("-",$B468)+1,LEN($B468)))),"")="",IFERROR(VLOOKUP($F468,WP!$B$2:$C$23,2,0),VLOOKUP($C468,Series!$A$3:$F$11,6,0)),IFERROR(VLOOKUP($F468,WP!$B$2:$C$23,2,0),VLOOKUP($C468,Series!$A$3:$F$11,6,0))&amp;" - "&amp;(IFERROR(IF(FIND("_",$B468)&gt;0,MID($B468,FIND("_",$B468)+1,LEN($B468)),IF(FIND("-",$B468)&gt;0,MID($B468,FIND("-",$B468)+1,LEN($B468)))),""))),"")),64))</f>
        <v/>
      </c>
      <c r="H468" s="12"/>
      <c r="I468" s="12" t="str">
        <f>IF($D468&lt;&gt;"",COUNTIF($D$7:$D468,"="&amp;$D468),"")</f>
        <v/>
      </c>
      <c r="J468"/>
      <c r="K468" s="8"/>
      <c r="L468"/>
    </row>
    <row r="469" spans="1:12" x14ac:dyDescent="0.3">
      <c r="A469" s="1"/>
      <c r="B469" s="26"/>
      <c r="C469" s="12" t="str">
        <f>_xlfn.IFNA(IFERROR(IF(FIND("_",$B469)&gt;0,INDEX(WP!$A$2:$F$23,MATCH(LEFT($B469,FIND("_",$B469)-1),WP!$E$2:$E$23,0),1),IF(FIND("-",$B469)&gt;0,INDEX(WP!$A$2:$F$23,MATCH(LEFT($B469,FIND("_",$B469)-1),WP!$E$2:$E$23,0),1))),INDEX(WP!$A$2:$F$23,MATCH(Results!$B469,WP!$E$2:$E$23,0),1)),"")</f>
        <v/>
      </c>
      <c r="D469" s="12" t="str">
        <f>IFERROR(IFERROR(IF(RIGHT(INDEX(WP!$A$2:$F$23,MATCH(IF(FIND("_",$B469)&gt;0,LEFT($B469,FIND("_",$B469)-1)),WP!$E$2:$E$23,0),2),6)="Series",LEFT(INDEX(WP!$A$2:$F$23,MATCH(IF(FIND("_",$B469)&gt;0,LEFT($B469,FIND("_",$B469)-1)),WP!$E$2:$E$23,0),2),5),""),IF(RIGHT(INDEX(WP!$A$2:$F$23,MATCH($B469,WP!$E$2:$E$23,0),2),6)="Series",LEFT(INDEX(WP!$A$2:$F$23,MATCH($B469,WP!$E$2:$E$23,0),2),5),"")),"")</f>
        <v/>
      </c>
      <c r="E469" s="17" t="str">
        <f>IFERROR(VLOOKUP(VALUE($D469),Series!$B$3:$F$11,2,0),"")</f>
        <v/>
      </c>
      <c r="F469" s="12" t="str">
        <f>_xlfn.IFNA(IF(IF($D469&lt;&gt;"",COUNTIF($E:$E,"="&amp;$D469),"")="",IF(RIGHT(IFERROR(IF(FIND("_",$B469)&gt;0,INDEX(WP!$A$2:$F$23,MATCH(LEFT($B469,FIND("_",$B469)-1),WP!$E$2:$E$23,0),2),IF(FIND("-",$B469)&gt;0,INDEX(WP!$A$2:$F$23,MATCH(LEFT($B469,FIND("_",$B469)-1),WP!$E$2:$E$23,0),2))),INDEX(WP!$A$2:$F$23,MATCH(Results!$B469,WP!$E$2:$E$23,0),2)),6)="Series",LEFT(IFERROR(IF(FIND("_",$B469)&gt;0,INDEX(WP!$A$2:$F$23,MATCH(LEFT($B469,FIND("_",$B469)-1),WP!$E$2:$E$23,0),2),IF(FIND("-",$B469)&gt;0,INDEX(WP!$A$2:$F$23,MATCH(LEFT($B469,FIND("_",$B469)-1),WP!$E$2:$E$23,0),2))),INDEX(WP!$A$2:$F$23,MATCH(Results!$B469,WP!$E$2:$E$23,0),2)),5),(IFERROR(IF(FIND("_",$B469)&gt;0,INDEX(WP!$A$2:$F$23,MATCH(LEFT($B469,FIND("_",$B469)-1),WP!$E$2:$E$23,0),2),IF(FIND("-",$B469)&gt;0,INDEX(WP!$A$2:$F$23,MATCH(LEFT($B469,FIND("_",$B469)-1),WP!$E$2:$E$23,0),2))),INDEX(WP!$A$2:$F$23,MATCH(Results!$B469,WP!$E$2:$E$23,0),2)))),IF(RIGHT(IFERROR(IF(FIND("_",$B469)&gt;0,INDEX(WP!$A$2:$F$23,MATCH(LEFT($B469,FIND("_",$B469)-1),WP!$E$2:$E$23,0),2),IF(FIND("-",$B469)&gt;0,INDEX(WP!$A$2:$F$23,MATCH(LEFT($B469,FIND("_",$B469)-1),WP!$E$2:$E$23,0),2))),INDEX(WP!$A$2:$F$23,MATCH(Results!$B469,WP!$E$2:$E$23,0),2)),6)="Series",LEFT(IFERROR(IF(FIND("_",$B469)&gt;0,INDEX(WP!$A$2:$F$23,MATCH(LEFT($B469,FIND("_",$B469)-1),WP!$E$2:$E$23,0),2),IF(FIND("-",$B469)&gt;0,INDEX(WP!$A$2:$F$23,MATCH(LEFT($B469,FIND("_",$B469)-1),WP!$E$2:$E$23,0),2))),INDEX(WP!$A$2:$F$23,MATCH(Results!$B469,WP!$E$2:$E$23,0),2)),5),(IFERROR(IF(FIND("_",$B469)&gt;0,INDEX(WP!$A$2:$F$23,MATCH(LEFT($B469,FIND("_",$B469)-1),WP!$E$2:$E$23,0),2),IF(FIND("-",$B469)&gt;0,INDEX(WP!$A$2:$F$23,MATCH(LEFT($B469,FIND("_",$B469)-1),WP!$E$2:$E$23,0),2))),INDEX(WP!$A$2:$F$23,MATCH(Results!$B469,WP!$E$2:$E$23,0),2))))&amp;"-"&amp;$I469),"")</f>
        <v/>
      </c>
      <c r="G469" s="17" t="str">
        <f>IF(LEN(_xlfn.IFNA(IF(IFERROR(IF(FIND("_",$B469)&gt;0,MID($B469,FIND("_",$B469)+1,LEN($B469)),IF(FIND("-",$B469)&gt;0,MID($B469,FIND("-",$B469)+1,LEN($B469)))),"")="",IFERROR(VLOOKUP($F469,WP!$B$2:$C$23,2,0),VLOOKUP($C469,Series!$A$3:$F$11,6,0)),IFERROR(VLOOKUP($F469,WP!$B$2:$C$23,2,0),VLOOKUP($C469,Series!$A$3:$F$11,6,0))&amp;" - "&amp;(IFERROR(IF(FIND("_",$B469)&gt;0,MID($B469,FIND("_",$B469)+1,LEN($B469)),IF(FIND("-",$B469)&gt;0,MID($B469,FIND("-",$B469)+1,LEN($B469)))),""))),""))&lt;64,_xlfn.IFNA(IF(IFERROR(IF(FIND("_",$B469)&gt;0,MID($B469,FIND("_",$B469)+1,LEN($B469)),IF(FIND("-",$B469)&gt;0,MID($B469,FIND("-",$B469)+1,LEN($B469)))),"")="",IFERROR(VLOOKUP($F469,WP!$B$2:$C$23,2,0),VLOOKUP($C469,Series!$A$3:$F$11,6,0)),IFERROR(VLOOKUP($F469,WP!$B$2:$C$23,2,0),VLOOKUP($C469,Series!$A$3:$F$11,6,0))&amp;" - "&amp;(IFERROR(IF(FIND("_",$B469)&gt;0,MID($B469,FIND("_",$B469)+1,LEN($B469)),IF(FIND("-",$B469)&gt;0,MID($B469,FIND("-",$B469)+1,LEN($B469)))),""))),""),LEFT((_xlfn.IFNA(IF(IFERROR(IF(FIND("_",$B469)&gt;0,MID($B469,FIND("_",$B469)+1,LEN($B469)),IF(FIND("-",$B469)&gt;0,MID($B469,FIND("-",$B469)+1,LEN($B469)))),"")="",IFERROR(VLOOKUP($F469,WP!$B$2:$C$23,2,0),VLOOKUP($C469,Series!$A$3:$F$11,6,0)),IFERROR(VLOOKUP($F469,WP!$B$2:$C$23,2,0),VLOOKUP($C469,Series!$A$3:$F$11,6,0))&amp;" - "&amp;(IFERROR(IF(FIND("_",$B469)&gt;0,MID($B469,FIND("_",$B469)+1,LEN($B469)),IF(FIND("-",$B469)&gt;0,MID($B469,FIND("-",$B469)+1,LEN($B469)))),""))),"")),64))</f>
        <v/>
      </c>
      <c r="H469" s="12"/>
      <c r="I469" s="12" t="str">
        <f>IF($D469&lt;&gt;"",COUNTIF($D$7:$D469,"="&amp;$D469),"")</f>
        <v/>
      </c>
      <c r="J469"/>
      <c r="K469" s="8"/>
      <c r="L469"/>
    </row>
    <row r="470" spans="1:12" x14ac:dyDescent="0.3">
      <c r="A470" s="1"/>
      <c r="B470" s="26"/>
      <c r="C470" s="12" t="str">
        <f>_xlfn.IFNA(IFERROR(IF(FIND("_",$B470)&gt;0,INDEX(WP!$A$2:$F$23,MATCH(LEFT($B470,FIND("_",$B470)-1),WP!$E$2:$E$23,0),1),IF(FIND("-",$B470)&gt;0,INDEX(WP!$A$2:$F$23,MATCH(LEFT($B470,FIND("_",$B470)-1),WP!$E$2:$E$23,0),1))),INDEX(WP!$A$2:$F$23,MATCH(Results!$B470,WP!$E$2:$E$23,0),1)),"")</f>
        <v/>
      </c>
      <c r="D470" s="12" t="str">
        <f>IFERROR(IFERROR(IF(RIGHT(INDEX(WP!$A$2:$F$23,MATCH(IF(FIND("_",$B470)&gt;0,LEFT($B470,FIND("_",$B470)-1)),WP!$E$2:$E$23,0),2),6)="Series",LEFT(INDEX(WP!$A$2:$F$23,MATCH(IF(FIND("_",$B470)&gt;0,LEFT($B470,FIND("_",$B470)-1)),WP!$E$2:$E$23,0),2),5),""),IF(RIGHT(INDEX(WP!$A$2:$F$23,MATCH($B470,WP!$E$2:$E$23,0),2),6)="Series",LEFT(INDEX(WP!$A$2:$F$23,MATCH($B470,WP!$E$2:$E$23,0),2),5),"")),"")</f>
        <v/>
      </c>
      <c r="E470" s="17" t="str">
        <f>IFERROR(VLOOKUP(VALUE($D470),Series!$B$3:$F$11,2,0),"")</f>
        <v/>
      </c>
      <c r="F470" s="12" t="str">
        <f>_xlfn.IFNA(IF(IF($D470&lt;&gt;"",COUNTIF($E:$E,"="&amp;$D470),"")="",IF(RIGHT(IFERROR(IF(FIND("_",$B470)&gt;0,INDEX(WP!$A$2:$F$23,MATCH(LEFT($B470,FIND("_",$B470)-1),WP!$E$2:$E$23,0),2),IF(FIND("-",$B470)&gt;0,INDEX(WP!$A$2:$F$23,MATCH(LEFT($B470,FIND("_",$B470)-1),WP!$E$2:$E$23,0),2))),INDEX(WP!$A$2:$F$23,MATCH(Results!$B470,WP!$E$2:$E$23,0),2)),6)="Series",LEFT(IFERROR(IF(FIND("_",$B470)&gt;0,INDEX(WP!$A$2:$F$23,MATCH(LEFT($B470,FIND("_",$B470)-1),WP!$E$2:$E$23,0),2),IF(FIND("-",$B470)&gt;0,INDEX(WP!$A$2:$F$23,MATCH(LEFT($B470,FIND("_",$B470)-1),WP!$E$2:$E$23,0),2))),INDEX(WP!$A$2:$F$23,MATCH(Results!$B470,WP!$E$2:$E$23,0),2)),5),(IFERROR(IF(FIND("_",$B470)&gt;0,INDEX(WP!$A$2:$F$23,MATCH(LEFT($B470,FIND("_",$B470)-1),WP!$E$2:$E$23,0),2),IF(FIND("-",$B470)&gt;0,INDEX(WP!$A$2:$F$23,MATCH(LEFT($B470,FIND("_",$B470)-1),WP!$E$2:$E$23,0),2))),INDEX(WP!$A$2:$F$23,MATCH(Results!$B470,WP!$E$2:$E$23,0),2)))),IF(RIGHT(IFERROR(IF(FIND("_",$B470)&gt;0,INDEX(WP!$A$2:$F$23,MATCH(LEFT($B470,FIND("_",$B470)-1),WP!$E$2:$E$23,0),2),IF(FIND("-",$B470)&gt;0,INDEX(WP!$A$2:$F$23,MATCH(LEFT($B470,FIND("_",$B470)-1),WP!$E$2:$E$23,0),2))),INDEX(WP!$A$2:$F$23,MATCH(Results!$B470,WP!$E$2:$E$23,0),2)),6)="Series",LEFT(IFERROR(IF(FIND("_",$B470)&gt;0,INDEX(WP!$A$2:$F$23,MATCH(LEFT($B470,FIND("_",$B470)-1),WP!$E$2:$E$23,0),2),IF(FIND("-",$B470)&gt;0,INDEX(WP!$A$2:$F$23,MATCH(LEFT($B470,FIND("_",$B470)-1),WP!$E$2:$E$23,0),2))),INDEX(WP!$A$2:$F$23,MATCH(Results!$B470,WP!$E$2:$E$23,0),2)),5),(IFERROR(IF(FIND("_",$B470)&gt;0,INDEX(WP!$A$2:$F$23,MATCH(LEFT($B470,FIND("_",$B470)-1),WP!$E$2:$E$23,0),2),IF(FIND("-",$B470)&gt;0,INDEX(WP!$A$2:$F$23,MATCH(LEFT($B470,FIND("_",$B470)-1),WP!$E$2:$E$23,0),2))),INDEX(WP!$A$2:$F$23,MATCH(Results!$B470,WP!$E$2:$E$23,0),2))))&amp;"-"&amp;$I470),"")</f>
        <v/>
      </c>
      <c r="G470" s="17" t="str">
        <f>IF(LEN(_xlfn.IFNA(IF(IFERROR(IF(FIND("_",$B470)&gt;0,MID($B470,FIND("_",$B470)+1,LEN($B470)),IF(FIND("-",$B470)&gt;0,MID($B470,FIND("-",$B470)+1,LEN($B470)))),"")="",IFERROR(VLOOKUP($F470,WP!$B$2:$C$23,2,0),VLOOKUP($C470,Series!$A$3:$F$11,6,0)),IFERROR(VLOOKUP($F470,WP!$B$2:$C$23,2,0),VLOOKUP($C470,Series!$A$3:$F$11,6,0))&amp;" - "&amp;(IFERROR(IF(FIND("_",$B470)&gt;0,MID($B470,FIND("_",$B470)+1,LEN($B470)),IF(FIND("-",$B470)&gt;0,MID($B470,FIND("-",$B470)+1,LEN($B470)))),""))),""))&lt;64,_xlfn.IFNA(IF(IFERROR(IF(FIND("_",$B470)&gt;0,MID($B470,FIND("_",$B470)+1,LEN($B470)),IF(FIND("-",$B470)&gt;0,MID($B470,FIND("-",$B470)+1,LEN($B470)))),"")="",IFERROR(VLOOKUP($F470,WP!$B$2:$C$23,2,0),VLOOKUP($C470,Series!$A$3:$F$11,6,0)),IFERROR(VLOOKUP($F470,WP!$B$2:$C$23,2,0),VLOOKUP($C470,Series!$A$3:$F$11,6,0))&amp;" - "&amp;(IFERROR(IF(FIND("_",$B470)&gt;0,MID($B470,FIND("_",$B470)+1,LEN($B470)),IF(FIND("-",$B470)&gt;0,MID($B470,FIND("-",$B470)+1,LEN($B470)))),""))),""),LEFT((_xlfn.IFNA(IF(IFERROR(IF(FIND("_",$B470)&gt;0,MID($B470,FIND("_",$B470)+1,LEN($B470)),IF(FIND("-",$B470)&gt;0,MID($B470,FIND("-",$B470)+1,LEN($B470)))),"")="",IFERROR(VLOOKUP($F470,WP!$B$2:$C$23,2,0),VLOOKUP($C470,Series!$A$3:$F$11,6,0)),IFERROR(VLOOKUP($F470,WP!$B$2:$C$23,2,0),VLOOKUP($C470,Series!$A$3:$F$11,6,0))&amp;" - "&amp;(IFERROR(IF(FIND("_",$B470)&gt;0,MID($B470,FIND("_",$B470)+1,LEN($B470)),IF(FIND("-",$B470)&gt;0,MID($B470,FIND("-",$B470)+1,LEN($B470)))),""))),"")),64))</f>
        <v/>
      </c>
      <c r="H470" s="12"/>
      <c r="I470" s="12" t="str">
        <f>IF($D470&lt;&gt;"",COUNTIF($D$7:$D470,"="&amp;$D470),"")</f>
        <v/>
      </c>
      <c r="J470"/>
      <c r="K470" s="8"/>
      <c r="L470"/>
    </row>
    <row r="471" spans="1:12" x14ac:dyDescent="0.3">
      <c r="A471" s="1"/>
      <c r="B471" s="26"/>
      <c r="C471" s="12" t="str">
        <f>_xlfn.IFNA(IFERROR(IF(FIND("_",$B471)&gt;0,INDEX(WP!$A$2:$F$23,MATCH(LEFT($B471,FIND("_",$B471)-1),WP!$E$2:$E$23,0),1),IF(FIND("-",$B471)&gt;0,INDEX(WP!$A$2:$F$23,MATCH(LEFT($B471,FIND("_",$B471)-1),WP!$E$2:$E$23,0),1))),INDEX(WP!$A$2:$F$23,MATCH(Results!$B471,WP!$E$2:$E$23,0),1)),"")</f>
        <v/>
      </c>
      <c r="D471" s="12" t="str">
        <f>IFERROR(IFERROR(IF(RIGHT(INDEX(WP!$A$2:$F$23,MATCH(IF(FIND("_",$B471)&gt;0,LEFT($B471,FIND("_",$B471)-1)),WP!$E$2:$E$23,0),2),6)="Series",LEFT(INDEX(WP!$A$2:$F$23,MATCH(IF(FIND("_",$B471)&gt;0,LEFT($B471,FIND("_",$B471)-1)),WP!$E$2:$E$23,0),2),5),""),IF(RIGHT(INDEX(WP!$A$2:$F$23,MATCH($B471,WP!$E$2:$E$23,0),2),6)="Series",LEFT(INDEX(WP!$A$2:$F$23,MATCH($B471,WP!$E$2:$E$23,0),2),5),"")),"")</f>
        <v/>
      </c>
      <c r="E471" s="17" t="str">
        <f>IFERROR(VLOOKUP(VALUE($D471),Series!$B$3:$F$11,2,0),"")</f>
        <v/>
      </c>
      <c r="F471" s="12" t="str">
        <f>_xlfn.IFNA(IF(IF($D471&lt;&gt;"",COUNTIF($E:$E,"="&amp;$D471),"")="",IF(RIGHT(IFERROR(IF(FIND("_",$B471)&gt;0,INDEX(WP!$A$2:$F$23,MATCH(LEFT($B471,FIND("_",$B471)-1),WP!$E$2:$E$23,0),2),IF(FIND("-",$B471)&gt;0,INDEX(WP!$A$2:$F$23,MATCH(LEFT($B471,FIND("_",$B471)-1),WP!$E$2:$E$23,0),2))),INDEX(WP!$A$2:$F$23,MATCH(Results!$B471,WP!$E$2:$E$23,0),2)),6)="Series",LEFT(IFERROR(IF(FIND("_",$B471)&gt;0,INDEX(WP!$A$2:$F$23,MATCH(LEFT($B471,FIND("_",$B471)-1),WP!$E$2:$E$23,0),2),IF(FIND("-",$B471)&gt;0,INDEX(WP!$A$2:$F$23,MATCH(LEFT($B471,FIND("_",$B471)-1),WP!$E$2:$E$23,0),2))),INDEX(WP!$A$2:$F$23,MATCH(Results!$B471,WP!$E$2:$E$23,0),2)),5),(IFERROR(IF(FIND("_",$B471)&gt;0,INDEX(WP!$A$2:$F$23,MATCH(LEFT($B471,FIND("_",$B471)-1),WP!$E$2:$E$23,0),2),IF(FIND("-",$B471)&gt;0,INDEX(WP!$A$2:$F$23,MATCH(LEFT($B471,FIND("_",$B471)-1),WP!$E$2:$E$23,0),2))),INDEX(WP!$A$2:$F$23,MATCH(Results!$B471,WP!$E$2:$E$23,0),2)))),IF(RIGHT(IFERROR(IF(FIND("_",$B471)&gt;0,INDEX(WP!$A$2:$F$23,MATCH(LEFT($B471,FIND("_",$B471)-1),WP!$E$2:$E$23,0),2),IF(FIND("-",$B471)&gt;0,INDEX(WP!$A$2:$F$23,MATCH(LEFT($B471,FIND("_",$B471)-1),WP!$E$2:$E$23,0),2))),INDEX(WP!$A$2:$F$23,MATCH(Results!$B471,WP!$E$2:$E$23,0),2)),6)="Series",LEFT(IFERROR(IF(FIND("_",$B471)&gt;0,INDEX(WP!$A$2:$F$23,MATCH(LEFT($B471,FIND("_",$B471)-1),WP!$E$2:$E$23,0),2),IF(FIND("-",$B471)&gt;0,INDEX(WP!$A$2:$F$23,MATCH(LEFT($B471,FIND("_",$B471)-1),WP!$E$2:$E$23,0),2))),INDEX(WP!$A$2:$F$23,MATCH(Results!$B471,WP!$E$2:$E$23,0),2)),5),(IFERROR(IF(FIND("_",$B471)&gt;0,INDEX(WP!$A$2:$F$23,MATCH(LEFT($B471,FIND("_",$B471)-1),WP!$E$2:$E$23,0),2),IF(FIND("-",$B471)&gt;0,INDEX(WP!$A$2:$F$23,MATCH(LEFT($B471,FIND("_",$B471)-1),WP!$E$2:$E$23,0),2))),INDEX(WP!$A$2:$F$23,MATCH(Results!$B471,WP!$E$2:$E$23,0),2))))&amp;"-"&amp;$I471),"")</f>
        <v/>
      </c>
      <c r="G471" s="17" t="str">
        <f>IF(LEN(_xlfn.IFNA(IF(IFERROR(IF(FIND("_",$B471)&gt;0,MID($B471,FIND("_",$B471)+1,LEN($B471)),IF(FIND("-",$B471)&gt;0,MID($B471,FIND("-",$B471)+1,LEN($B471)))),"")="",IFERROR(VLOOKUP($F471,WP!$B$2:$C$23,2,0),VLOOKUP($C471,Series!$A$3:$F$11,6,0)),IFERROR(VLOOKUP($F471,WP!$B$2:$C$23,2,0),VLOOKUP($C471,Series!$A$3:$F$11,6,0))&amp;" - "&amp;(IFERROR(IF(FIND("_",$B471)&gt;0,MID($B471,FIND("_",$B471)+1,LEN($B471)),IF(FIND("-",$B471)&gt;0,MID($B471,FIND("-",$B471)+1,LEN($B471)))),""))),""))&lt;64,_xlfn.IFNA(IF(IFERROR(IF(FIND("_",$B471)&gt;0,MID($B471,FIND("_",$B471)+1,LEN($B471)),IF(FIND("-",$B471)&gt;0,MID($B471,FIND("-",$B471)+1,LEN($B471)))),"")="",IFERROR(VLOOKUP($F471,WP!$B$2:$C$23,2,0),VLOOKUP($C471,Series!$A$3:$F$11,6,0)),IFERROR(VLOOKUP($F471,WP!$B$2:$C$23,2,0),VLOOKUP($C471,Series!$A$3:$F$11,6,0))&amp;" - "&amp;(IFERROR(IF(FIND("_",$B471)&gt;0,MID($B471,FIND("_",$B471)+1,LEN($B471)),IF(FIND("-",$B471)&gt;0,MID($B471,FIND("-",$B471)+1,LEN($B471)))),""))),""),LEFT((_xlfn.IFNA(IF(IFERROR(IF(FIND("_",$B471)&gt;0,MID($B471,FIND("_",$B471)+1,LEN($B471)),IF(FIND("-",$B471)&gt;0,MID($B471,FIND("-",$B471)+1,LEN($B471)))),"")="",IFERROR(VLOOKUP($F471,WP!$B$2:$C$23,2,0),VLOOKUP($C471,Series!$A$3:$F$11,6,0)),IFERROR(VLOOKUP($F471,WP!$B$2:$C$23,2,0),VLOOKUP($C471,Series!$A$3:$F$11,6,0))&amp;" - "&amp;(IFERROR(IF(FIND("_",$B471)&gt;0,MID($B471,FIND("_",$B471)+1,LEN($B471)),IF(FIND("-",$B471)&gt;0,MID($B471,FIND("-",$B471)+1,LEN($B471)))),""))),"")),64))</f>
        <v/>
      </c>
      <c r="H471" s="12"/>
      <c r="I471" s="12" t="str">
        <f>IF($D471&lt;&gt;"",COUNTIF($D$7:$D471,"="&amp;$D471),"")</f>
        <v/>
      </c>
      <c r="J471"/>
      <c r="K471" s="8"/>
      <c r="L471"/>
    </row>
    <row r="472" spans="1:12" x14ac:dyDescent="0.3">
      <c r="A472" s="1"/>
      <c r="B472" s="26"/>
      <c r="C472" s="12" t="str">
        <f>_xlfn.IFNA(IFERROR(IF(FIND("_",$B472)&gt;0,INDEX(WP!$A$2:$F$23,MATCH(LEFT($B472,FIND("_",$B472)-1),WP!$E$2:$E$23,0),1),IF(FIND("-",$B472)&gt;0,INDEX(WP!$A$2:$F$23,MATCH(LEFT($B472,FIND("_",$B472)-1),WP!$E$2:$E$23,0),1))),INDEX(WP!$A$2:$F$23,MATCH(Results!$B472,WP!$E$2:$E$23,0),1)),"")</f>
        <v/>
      </c>
      <c r="D472" s="12" t="str">
        <f>IFERROR(IFERROR(IF(RIGHT(INDEX(WP!$A$2:$F$23,MATCH(IF(FIND("_",$B472)&gt;0,LEFT($B472,FIND("_",$B472)-1)),WP!$E$2:$E$23,0),2),6)="Series",LEFT(INDEX(WP!$A$2:$F$23,MATCH(IF(FIND("_",$B472)&gt;0,LEFT($B472,FIND("_",$B472)-1)),WP!$E$2:$E$23,0),2),5),""),IF(RIGHT(INDEX(WP!$A$2:$F$23,MATCH($B472,WP!$E$2:$E$23,0),2),6)="Series",LEFT(INDEX(WP!$A$2:$F$23,MATCH($B472,WP!$E$2:$E$23,0),2),5),"")),"")</f>
        <v/>
      </c>
      <c r="E472" s="17" t="str">
        <f>IFERROR(VLOOKUP(VALUE($D472),Series!$B$3:$F$11,2,0),"")</f>
        <v/>
      </c>
      <c r="F472" s="12" t="str">
        <f>_xlfn.IFNA(IF(IF($D472&lt;&gt;"",COUNTIF($E:$E,"="&amp;$D472),"")="",IF(RIGHT(IFERROR(IF(FIND("_",$B472)&gt;0,INDEX(WP!$A$2:$F$23,MATCH(LEFT($B472,FIND("_",$B472)-1),WP!$E$2:$E$23,0),2),IF(FIND("-",$B472)&gt;0,INDEX(WP!$A$2:$F$23,MATCH(LEFT($B472,FIND("_",$B472)-1),WP!$E$2:$E$23,0),2))),INDEX(WP!$A$2:$F$23,MATCH(Results!$B472,WP!$E$2:$E$23,0),2)),6)="Series",LEFT(IFERROR(IF(FIND("_",$B472)&gt;0,INDEX(WP!$A$2:$F$23,MATCH(LEFT($B472,FIND("_",$B472)-1),WP!$E$2:$E$23,0),2),IF(FIND("-",$B472)&gt;0,INDEX(WP!$A$2:$F$23,MATCH(LEFT($B472,FIND("_",$B472)-1),WP!$E$2:$E$23,0),2))),INDEX(WP!$A$2:$F$23,MATCH(Results!$B472,WP!$E$2:$E$23,0),2)),5),(IFERROR(IF(FIND("_",$B472)&gt;0,INDEX(WP!$A$2:$F$23,MATCH(LEFT($B472,FIND("_",$B472)-1),WP!$E$2:$E$23,0),2),IF(FIND("-",$B472)&gt;0,INDEX(WP!$A$2:$F$23,MATCH(LEFT($B472,FIND("_",$B472)-1),WP!$E$2:$E$23,0),2))),INDEX(WP!$A$2:$F$23,MATCH(Results!$B472,WP!$E$2:$E$23,0),2)))),IF(RIGHT(IFERROR(IF(FIND("_",$B472)&gt;0,INDEX(WP!$A$2:$F$23,MATCH(LEFT($B472,FIND("_",$B472)-1),WP!$E$2:$E$23,0),2),IF(FIND("-",$B472)&gt;0,INDEX(WP!$A$2:$F$23,MATCH(LEFT($B472,FIND("_",$B472)-1),WP!$E$2:$E$23,0),2))),INDEX(WP!$A$2:$F$23,MATCH(Results!$B472,WP!$E$2:$E$23,0),2)),6)="Series",LEFT(IFERROR(IF(FIND("_",$B472)&gt;0,INDEX(WP!$A$2:$F$23,MATCH(LEFT($B472,FIND("_",$B472)-1),WP!$E$2:$E$23,0),2),IF(FIND("-",$B472)&gt;0,INDEX(WP!$A$2:$F$23,MATCH(LEFT($B472,FIND("_",$B472)-1),WP!$E$2:$E$23,0),2))),INDEX(WP!$A$2:$F$23,MATCH(Results!$B472,WP!$E$2:$E$23,0),2)),5),(IFERROR(IF(FIND("_",$B472)&gt;0,INDEX(WP!$A$2:$F$23,MATCH(LEFT($B472,FIND("_",$B472)-1),WP!$E$2:$E$23,0),2),IF(FIND("-",$B472)&gt;0,INDEX(WP!$A$2:$F$23,MATCH(LEFT($B472,FIND("_",$B472)-1),WP!$E$2:$E$23,0),2))),INDEX(WP!$A$2:$F$23,MATCH(Results!$B472,WP!$E$2:$E$23,0),2))))&amp;"-"&amp;$I472),"")</f>
        <v/>
      </c>
      <c r="G472" s="17" t="str">
        <f>IF(LEN(_xlfn.IFNA(IF(IFERROR(IF(FIND("_",$B472)&gt;0,MID($B472,FIND("_",$B472)+1,LEN($B472)),IF(FIND("-",$B472)&gt;0,MID($B472,FIND("-",$B472)+1,LEN($B472)))),"")="",IFERROR(VLOOKUP($F472,WP!$B$2:$C$23,2,0),VLOOKUP($C472,Series!$A$3:$F$11,6,0)),IFERROR(VLOOKUP($F472,WP!$B$2:$C$23,2,0),VLOOKUP($C472,Series!$A$3:$F$11,6,0))&amp;" - "&amp;(IFERROR(IF(FIND("_",$B472)&gt;0,MID($B472,FIND("_",$B472)+1,LEN($B472)),IF(FIND("-",$B472)&gt;0,MID($B472,FIND("-",$B472)+1,LEN($B472)))),""))),""))&lt;64,_xlfn.IFNA(IF(IFERROR(IF(FIND("_",$B472)&gt;0,MID($B472,FIND("_",$B472)+1,LEN($B472)),IF(FIND("-",$B472)&gt;0,MID($B472,FIND("-",$B472)+1,LEN($B472)))),"")="",IFERROR(VLOOKUP($F472,WP!$B$2:$C$23,2,0),VLOOKUP($C472,Series!$A$3:$F$11,6,0)),IFERROR(VLOOKUP($F472,WP!$B$2:$C$23,2,0),VLOOKUP($C472,Series!$A$3:$F$11,6,0))&amp;" - "&amp;(IFERROR(IF(FIND("_",$B472)&gt;0,MID($B472,FIND("_",$B472)+1,LEN($B472)),IF(FIND("-",$B472)&gt;0,MID($B472,FIND("-",$B472)+1,LEN($B472)))),""))),""),LEFT((_xlfn.IFNA(IF(IFERROR(IF(FIND("_",$B472)&gt;0,MID($B472,FIND("_",$B472)+1,LEN($B472)),IF(FIND("-",$B472)&gt;0,MID($B472,FIND("-",$B472)+1,LEN($B472)))),"")="",IFERROR(VLOOKUP($F472,WP!$B$2:$C$23,2,0),VLOOKUP($C472,Series!$A$3:$F$11,6,0)),IFERROR(VLOOKUP($F472,WP!$B$2:$C$23,2,0),VLOOKUP($C472,Series!$A$3:$F$11,6,0))&amp;" - "&amp;(IFERROR(IF(FIND("_",$B472)&gt;0,MID($B472,FIND("_",$B472)+1,LEN($B472)),IF(FIND("-",$B472)&gt;0,MID($B472,FIND("-",$B472)+1,LEN($B472)))),""))),"")),64))</f>
        <v/>
      </c>
      <c r="H472" s="12"/>
      <c r="I472" s="12" t="str">
        <f>IF($D472&lt;&gt;"",COUNTIF($D$7:$D472,"="&amp;$D472),"")</f>
        <v/>
      </c>
      <c r="J472"/>
      <c r="K472" s="8"/>
      <c r="L472"/>
    </row>
    <row r="473" spans="1:12" x14ac:dyDescent="0.3">
      <c r="A473" s="1"/>
      <c r="B473" s="26"/>
      <c r="C473" s="12" t="str">
        <f>_xlfn.IFNA(IFERROR(IF(FIND("_",$B473)&gt;0,INDEX(WP!$A$2:$F$23,MATCH(LEFT($B473,FIND("_",$B473)-1),WP!$E$2:$E$23,0),1),IF(FIND("-",$B473)&gt;0,INDEX(WP!$A$2:$F$23,MATCH(LEFT($B473,FIND("_",$B473)-1),WP!$E$2:$E$23,0),1))),INDEX(WP!$A$2:$F$23,MATCH(Results!$B473,WP!$E$2:$E$23,0),1)),"")</f>
        <v/>
      </c>
      <c r="D473" s="12" t="str">
        <f>IFERROR(IFERROR(IF(RIGHT(INDEX(WP!$A$2:$F$23,MATCH(IF(FIND("_",$B473)&gt;0,LEFT($B473,FIND("_",$B473)-1)),WP!$E$2:$E$23,0),2),6)="Series",LEFT(INDEX(WP!$A$2:$F$23,MATCH(IF(FIND("_",$B473)&gt;0,LEFT($B473,FIND("_",$B473)-1)),WP!$E$2:$E$23,0),2),5),""),IF(RIGHT(INDEX(WP!$A$2:$F$23,MATCH($B473,WP!$E$2:$E$23,0),2),6)="Series",LEFT(INDEX(WP!$A$2:$F$23,MATCH($B473,WP!$E$2:$E$23,0),2),5),"")),"")</f>
        <v/>
      </c>
      <c r="E473" s="17" t="str">
        <f>IFERROR(VLOOKUP(VALUE($D473),Series!$B$3:$F$11,2,0),"")</f>
        <v/>
      </c>
      <c r="F473" s="12" t="str">
        <f>_xlfn.IFNA(IF(IF($D473&lt;&gt;"",COUNTIF($E:$E,"="&amp;$D473),"")="",IF(RIGHT(IFERROR(IF(FIND("_",$B473)&gt;0,INDEX(WP!$A$2:$F$23,MATCH(LEFT($B473,FIND("_",$B473)-1),WP!$E$2:$E$23,0),2),IF(FIND("-",$B473)&gt;0,INDEX(WP!$A$2:$F$23,MATCH(LEFT($B473,FIND("_",$B473)-1),WP!$E$2:$E$23,0),2))),INDEX(WP!$A$2:$F$23,MATCH(Results!$B473,WP!$E$2:$E$23,0),2)),6)="Series",LEFT(IFERROR(IF(FIND("_",$B473)&gt;0,INDEX(WP!$A$2:$F$23,MATCH(LEFT($B473,FIND("_",$B473)-1),WP!$E$2:$E$23,0),2),IF(FIND("-",$B473)&gt;0,INDEX(WP!$A$2:$F$23,MATCH(LEFT($B473,FIND("_",$B473)-1),WP!$E$2:$E$23,0),2))),INDEX(WP!$A$2:$F$23,MATCH(Results!$B473,WP!$E$2:$E$23,0),2)),5),(IFERROR(IF(FIND("_",$B473)&gt;0,INDEX(WP!$A$2:$F$23,MATCH(LEFT($B473,FIND("_",$B473)-1),WP!$E$2:$E$23,0),2),IF(FIND("-",$B473)&gt;0,INDEX(WP!$A$2:$F$23,MATCH(LEFT($B473,FIND("_",$B473)-1),WP!$E$2:$E$23,0),2))),INDEX(WP!$A$2:$F$23,MATCH(Results!$B473,WP!$E$2:$E$23,0),2)))),IF(RIGHT(IFERROR(IF(FIND("_",$B473)&gt;0,INDEX(WP!$A$2:$F$23,MATCH(LEFT($B473,FIND("_",$B473)-1),WP!$E$2:$E$23,0),2),IF(FIND("-",$B473)&gt;0,INDEX(WP!$A$2:$F$23,MATCH(LEFT($B473,FIND("_",$B473)-1),WP!$E$2:$E$23,0),2))),INDEX(WP!$A$2:$F$23,MATCH(Results!$B473,WP!$E$2:$E$23,0),2)),6)="Series",LEFT(IFERROR(IF(FIND("_",$B473)&gt;0,INDEX(WP!$A$2:$F$23,MATCH(LEFT($B473,FIND("_",$B473)-1),WP!$E$2:$E$23,0),2),IF(FIND("-",$B473)&gt;0,INDEX(WP!$A$2:$F$23,MATCH(LEFT($B473,FIND("_",$B473)-1),WP!$E$2:$E$23,0),2))),INDEX(WP!$A$2:$F$23,MATCH(Results!$B473,WP!$E$2:$E$23,0),2)),5),(IFERROR(IF(FIND("_",$B473)&gt;0,INDEX(WP!$A$2:$F$23,MATCH(LEFT($B473,FIND("_",$B473)-1),WP!$E$2:$E$23,0),2),IF(FIND("-",$B473)&gt;0,INDEX(WP!$A$2:$F$23,MATCH(LEFT($B473,FIND("_",$B473)-1),WP!$E$2:$E$23,0),2))),INDEX(WP!$A$2:$F$23,MATCH(Results!$B473,WP!$E$2:$E$23,0),2))))&amp;"-"&amp;$I473),"")</f>
        <v/>
      </c>
      <c r="G473" s="17" t="str">
        <f>IF(LEN(_xlfn.IFNA(IF(IFERROR(IF(FIND("_",$B473)&gt;0,MID($B473,FIND("_",$B473)+1,LEN($B473)),IF(FIND("-",$B473)&gt;0,MID($B473,FIND("-",$B473)+1,LEN($B473)))),"")="",IFERROR(VLOOKUP($F473,WP!$B$2:$C$23,2,0),VLOOKUP($C473,Series!$A$3:$F$11,6,0)),IFERROR(VLOOKUP($F473,WP!$B$2:$C$23,2,0),VLOOKUP($C473,Series!$A$3:$F$11,6,0))&amp;" - "&amp;(IFERROR(IF(FIND("_",$B473)&gt;0,MID($B473,FIND("_",$B473)+1,LEN($B473)),IF(FIND("-",$B473)&gt;0,MID($B473,FIND("-",$B473)+1,LEN($B473)))),""))),""))&lt;64,_xlfn.IFNA(IF(IFERROR(IF(FIND("_",$B473)&gt;0,MID($B473,FIND("_",$B473)+1,LEN($B473)),IF(FIND("-",$B473)&gt;0,MID($B473,FIND("-",$B473)+1,LEN($B473)))),"")="",IFERROR(VLOOKUP($F473,WP!$B$2:$C$23,2,0),VLOOKUP($C473,Series!$A$3:$F$11,6,0)),IFERROR(VLOOKUP($F473,WP!$B$2:$C$23,2,0),VLOOKUP($C473,Series!$A$3:$F$11,6,0))&amp;" - "&amp;(IFERROR(IF(FIND("_",$B473)&gt;0,MID($B473,FIND("_",$B473)+1,LEN($B473)),IF(FIND("-",$B473)&gt;0,MID($B473,FIND("-",$B473)+1,LEN($B473)))),""))),""),LEFT((_xlfn.IFNA(IF(IFERROR(IF(FIND("_",$B473)&gt;0,MID($B473,FIND("_",$B473)+1,LEN($B473)),IF(FIND("-",$B473)&gt;0,MID($B473,FIND("-",$B473)+1,LEN($B473)))),"")="",IFERROR(VLOOKUP($F473,WP!$B$2:$C$23,2,0),VLOOKUP($C473,Series!$A$3:$F$11,6,0)),IFERROR(VLOOKUP($F473,WP!$B$2:$C$23,2,0),VLOOKUP($C473,Series!$A$3:$F$11,6,0))&amp;" - "&amp;(IFERROR(IF(FIND("_",$B473)&gt;0,MID($B473,FIND("_",$B473)+1,LEN($B473)),IF(FIND("-",$B473)&gt;0,MID($B473,FIND("-",$B473)+1,LEN($B473)))),""))),"")),64))</f>
        <v/>
      </c>
      <c r="H473" s="12"/>
      <c r="I473" s="12" t="str">
        <f>IF($D473&lt;&gt;"",COUNTIF($D$7:$D473,"="&amp;$D473),"")</f>
        <v/>
      </c>
      <c r="J473"/>
      <c r="K473" s="8"/>
      <c r="L473"/>
    </row>
    <row r="474" spans="1:12" x14ac:dyDescent="0.3">
      <c r="A474" s="1"/>
      <c r="B474" s="26"/>
      <c r="C474" s="12" t="str">
        <f>_xlfn.IFNA(IFERROR(IF(FIND("_",$B474)&gt;0,INDEX(WP!$A$2:$F$23,MATCH(LEFT($B474,FIND("_",$B474)-1),WP!$E$2:$E$23,0),1),IF(FIND("-",$B474)&gt;0,INDEX(WP!$A$2:$F$23,MATCH(LEFT($B474,FIND("_",$B474)-1),WP!$E$2:$E$23,0),1))),INDEX(WP!$A$2:$F$23,MATCH(Results!$B474,WP!$E$2:$E$23,0),1)),"")</f>
        <v/>
      </c>
      <c r="D474" s="12" t="str">
        <f>IFERROR(IFERROR(IF(RIGHT(INDEX(WP!$A$2:$F$23,MATCH(IF(FIND("_",$B474)&gt;0,LEFT($B474,FIND("_",$B474)-1)),WP!$E$2:$E$23,0),2),6)="Series",LEFT(INDEX(WP!$A$2:$F$23,MATCH(IF(FIND("_",$B474)&gt;0,LEFT($B474,FIND("_",$B474)-1)),WP!$E$2:$E$23,0),2),5),""),IF(RIGHT(INDEX(WP!$A$2:$F$23,MATCH($B474,WP!$E$2:$E$23,0),2),6)="Series",LEFT(INDEX(WP!$A$2:$F$23,MATCH($B474,WP!$E$2:$E$23,0),2),5),"")),"")</f>
        <v/>
      </c>
      <c r="E474" s="17" t="str">
        <f>IFERROR(VLOOKUP(VALUE($D474),Series!$B$3:$F$11,2,0),"")</f>
        <v/>
      </c>
      <c r="F474" s="12" t="str">
        <f>_xlfn.IFNA(IF(IF($D474&lt;&gt;"",COUNTIF($E:$E,"="&amp;$D474),"")="",IF(RIGHT(IFERROR(IF(FIND("_",$B474)&gt;0,INDEX(WP!$A$2:$F$23,MATCH(LEFT($B474,FIND("_",$B474)-1),WP!$E$2:$E$23,0),2),IF(FIND("-",$B474)&gt;0,INDEX(WP!$A$2:$F$23,MATCH(LEFT($B474,FIND("_",$B474)-1),WP!$E$2:$E$23,0),2))),INDEX(WP!$A$2:$F$23,MATCH(Results!$B474,WP!$E$2:$E$23,0),2)),6)="Series",LEFT(IFERROR(IF(FIND("_",$B474)&gt;0,INDEX(WP!$A$2:$F$23,MATCH(LEFT($B474,FIND("_",$B474)-1),WP!$E$2:$E$23,0),2),IF(FIND("-",$B474)&gt;0,INDEX(WP!$A$2:$F$23,MATCH(LEFT($B474,FIND("_",$B474)-1),WP!$E$2:$E$23,0),2))),INDEX(WP!$A$2:$F$23,MATCH(Results!$B474,WP!$E$2:$E$23,0),2)),5),(IFERROR(IF(FIND("_",$B474)&gt;0,INDEX(WP!$A$2:$F$23,MATCH(LEFT($B474,FIND("_",$B474)-1),WP!$E$2:$E$23,0),2),IF(FIND("-",$B474)&gt;0,INDEX(WP!$A$2:$F$23,MATCH(LEFT($B474,FIND("_",$B474)-1),WP!$E$2:$E$23,0),2))),INDEX(WP!$A$2:$F$23,MATCH(Results!$B474,WP!$E$2:$E$23,0),2)))),IF(RIGHT(IFERROR(IF(FIND("_",$B474)&gt;0,INDEX(WP!$A$2:$F$23,MATCH(LEFT($B474,FIND("_",$B474)-1),WP!$E$2:$E$23,0),2),IF(FIND("-",$B474)&gt;0,INDEX(WP!$A$2:$F$23,MATCH(LEFT($B474,FIND("_",$B474)-1),WP!$E$2:$E$23,0),2))),INDEX(WP!$A$2:$F$23,MATCH(Results!$B474,WP!$E$2:$E$23,0),2)),6)="Series",LEFT(IFERROR(IF(FIND("_",$B474)&gt;0,INDEX(WP!$A$2:$F$23,MATCH(LEFT($B474,FIND("_",$B474)-1),WP!$E$2:$E$23,0),2),IF(FIND("-",$B474)&gt;0,INDEX(WP!$A$2:$F$23,MATCH(LEFT($B474,FIND("_",$B474)-1),WP!$E$2:$E$23,0),2))),INDEX(WP!$A$2:$F$23,MATCH(Results!$B474,WP!$E$2:$E$23,0),2)),5),(IFERROR(IF(FIND("_",$B474)&gt;0,INDEX(WP!$A$2:$F$23,MATCH(LEFT($B474,FIND("_",$B474)-1),WP!$E$2:$E$23,0),2),IF(FIND("-",$B474)&gt;0,INDEX(WP!$A$2:$F$23,MATCH(LEFT($B474,FIND("_",$B474)-1),WP!$E$2:$E$23,0),2))),INDEX(WP!$A$2:$F$23,MATCH(Results!$B474,WP!$E$2:$E$23,0),2))))&amp;"-"&amp;$I474),"")</f>
        <v/>
      </c>
      <c r="G474" s="17" t="str">
        <f>IF(LEN(_xlfn.IFNA(IF(IFERROR(IF(FIND("_",$B474)&gt;0,MID($B474,FIND("_",$B474)+1,LEN($B474)),IF(FIND("-",$B474)&gt;0,MID($B474,FIND("-",$B474)+1,LEN($B474)))),"")="",IFERROR(VLOOKUP($F474,WP!$B$2:$C$23,2,0),VLOOKUP($C474,Series!$A$3:$F$11,6,0)),IFERROR(VLOOKUP($F474,WP!$B$2:$C$23,2,0),VLOOKUP($C474,Series!$A$3:$F$11,6,0))&amp;" - "&amp;(IFERROR(IF(FIND("_",$B474)&gt;0,MID($B474,FIND("_",$B474)+1,LEN($B474)),IF(FIND("-",$B474)&gt;0,MID($B474,FIND("-",$B474)+1,LEN($B474)))),""))),""))&lt;64,_xlfn.IFNA(IF(IFERROR(IF(FIND("_",$B474)&gt;0,MID($B474,FIND("_",$B474)+1,LEN($B474)),IF(FIND("-",$B474)&gt;0,MID($B474,FIND("-",$B474)+1,LEN($B474)))),"")="",IFERROR(VLOOKUP($F474,WP!$B$2:$C$23,2,0),VLOOKUP($C474,Series!$A$3:$F$11,6,0)),IFERROR(VLOOKUP($F474,WP!$B$2:$C$23,2,0),VLOOKUP($C474,Series!$A$3:$F$11,6,0))&amp;" - "&amp;(IFERROR(IF(FIND("_",$B474)&gt;0,MID($B474,FIND("_",$B474)+1,LEN($B474)),IF(FIND("-",$B474)&gt;0,MID($B474,FIND("-",$B474)+1,LEN($B474)))),""))),""),LEFT((_xlfn.IFNA(IF(IFERROR(IF(FIND("_",$B474)&gt;0,MID($B474,FIND("_",$B474)+1,LEN($B474)),IF(FIND("-",$B474)&gt;0,MID($B474,FIND("-",$B474)+1,LEN($B474)))),"")="",IFERROR(VLOOKUP($F474,WP!$B$2:$C$23,2,0),VLOOKUP($C474,Series!$A$3:$F$11,6,0)),IFERROR(VLOOKUP($F474,WP!$B$2:$C$23,2,0),VLOOKUP($C474,Series!$A$3:$F$11,6,0))&amp;" - "&amp;(IFERROR(IF(FIND("_",$B474)&gt;0,MID($B474,FIND("_",$B474)+1,LEN($B474)),IF(FIND("-",$B474)&gt;0,MID($B474,FIND("-",$B474)+1,LEN($B474)))),""))),"")),64))</f>
        <v/>
      </c>
      <c r="H474" s="12"/>
      <c r="I474" s="12" t="str">
        <f>IF($D474&lt;&gt;"",COUNTIF($D$7:$D474,"="&amp;$D474),"")</f>
        <v/>
      </c>
      <c r="J474"/>
      <c r="K474" s="8"/>
      <c r="L474"/>
    </row>
    <row r="475" spans="1:12" x14ac:dyDescent="0.3">
      <c r="A475" s="1"/>
      <c r="B475" s="26"/>
      <c r="C475" s="12" t="str">
        <f>_xlfn.IFNA(IFERROR(IF(FIND("_",$B475)&gt;0,INDEX(WP!$A$2:$F$23,MATCH(LEFT($B475,FIND("_",$B475)-1),WP!$E$2:$E$23,0),1),IF(FIND("-",$B475)&gt;0,INDEX(WP!$A$2:$F$23,MATCH(LEFT($B475,FIND("_",$B475)-1),WP!$E$2:$E$23,0),1))),INDEX(WP!$A$2:$F$23,MATCH(Results!$B475,WP!$E$2:$E$23,0),1)),"")</f>
        <v/>
      </c>
      <c r="D475" s="12" t="str">
        <f>IFERROR(IFERROR(IF(RIGHT(INDEX(WP!$A$2:$F$23,MATCH(IF(FIND("_",$B475)&gt;0,LEFT($B475,FIND("_",$B475)-1)),WP!$E$2:$E$23,0),2),6)="Series",LEFT(INDEX(WP!$A$2:$F$23,MATCH(IF(FIND("_",$B475)&gt;0,LEFT($B475,FIND("_",$B475)-1)),WP!$E$2:$E$23,0),2),5),""),IF(RIGHT(INDEX(WP!$A$2:$F$23,MATCH($B475,WP!$E$2:$E$23,0),2),6)="Series",LEFT(INDEX(WP!$A$2:$F$23,MATCH($B475,WP!$E$2:$E$23,0),2),5),"")),"")</f>
        <v/>
      </c>
      <c r="E475" s="17" t="str">
        <f>IFERROR(VLOOKUP(VALUE($D475),Series!$B$3:$F$11,2,0),"")</f>
        <v/>
      </c>
      <c r="F475" s="12" t="str">
        <f>_xlfn.IFNA(IF(IF($D475&lt;&gt;"",COUNTIF($E:$E,"="&amp;$D475),"")="",IF(RIGHT(IFERROR(IF(FIND("_",$B475)&gt;0,INDEX(WP!$A$2:$F$23,MATCH(LEFT($B475,FIND("_",$B475)-1),WP!$E$2:$E$23,0),2),IF(FIND("-",$B475)&gt;0,INDEX(WP!$A$2:$F$23,MATCH(LEFT($B475,FIND("_",$B475)-1),WP!$E$2:$E$23,0),2))),INDEX(WP!$A$2:$F$23,MATCH(Results!$B475,WP!$E$2:$E$23,0),2)),6)="Series",LEFT(IFERROR(IF(FIND("_",$B475)&gt;0,INDEX(WP!$A$2:$F$23,MATCH(LEFT($B475,FIND("_",$B475)-1),WP!$E$2:$E$23,0),2),IF(FIND("-",$B475)&gt;0,INDEX(WP!$A$2:$F$23,MATCH(LEFT($B475,FIND("_",$B475)-1),WP!$E$2:$E$23,0),2))),INDEX(WP!$A$2:$F$23,MATCH(Results!$B475,WP!$E$2:$E$23,0),2)),5),(IFERROR(IF(FIND("_",$B475)&gt;0,INDEX(WP!$A$2:$F$23,MATCH(LEFT($B475,FIND("_",$B475)-1),WP!$E$2:$E$23,0),2),IF(FIND("-",$B475)&gt;0,INDEX(WP!$A$2:$F$23,MATCH(LEFT($B475,FIND("_",$B475)-1),WP!$E$2:$E$23,0),2))),INDEX(WP!$A$2:$F$23,MATCH(Results!$B475,WP!$E$2:$E$23,0),2)))),IF(RIGHT(IFERROR(IF(FIND("_",$B475)&gt;0,INDEX(WP!$A$2:$F$23,MATCH(LEFT($B475,FIND("_",$B475)-1),WP!$E$2:$E$23,0),2),IF(FIND("-",$B475)&gt;0,INDEX(WP!$A$2:$F$23,MATCH(LEFT($B475,FIND("_",$B475)-1),WP!$E$2:$E$23,0),2))),INDEX(WP!$A$2:$F$23,MATCH(Results!$B475,WP!$E$2:$E$23,0),2)),6)="Series",LEFT(IFERROR(IF(FIND("_",$B475)&gt;0,INDEX(WP!$A$2:$F$23,MATCH(LEFT($B475,FIND("_",$B475)-1),WP!$E$2:$E$23,0),2),IF(FIND("-",$B475)&gt;0,INDEX(WP!$A$2:$F$23,MATCH(LEFT($B475,FIND("_",$B475)-1),WP!$E$2:$E$23,0),2))),INDEX(WP!$A$2:$F$23,MATCH(Results!$B475,WP!$E$2:$E$23,0),2)),5),(IFERROR(IF(FIND("_",$B475)&gt;0,INDEX(WP!$A$2:$F$23,MATCH(LEFT($B475,FIND("_",$B475)-1),WP!$E$2:$E$23,0),2),IF(FIND("-",$B475)&gt;0,INDEX(WP!$A$2:$F$23,MATCH(LEFT($B475,FIND("_",$B475)-1),WP!$E$2:$E$23,0),2))),INDEX(WP!$A$2:$F$23,MATCH(Results!$B475,WP!$E$2:$E$23,0),2))))&amp;"-"&amp;$I475),"")</f>
        <v/>
      </c>
      <c r="G475" s="17" t="str">
        <f>IF(LEN(_xlfn.IFNA(IF(IFERROR(IF(FIND("_",$B475)&gt;0,MID($B475,FIND("_",$B475)+1,LEN($B475)),IF(FIND("-",$B475)&gt;0,MID($B475,FIND("-",$B475)+1,LEN($B475)))),"")="",IFERROR(VLOOKUP($F475,WP!$B$2:$C$23,2,0),VLOOKUP($C475,Series!$A$3:$F$11,6,0)),IFERROR(VLOOKUP($F475,WP!$B$2:$C$23,2,0),VLOOKUP($C475,Series!$A$3:$F$11,6,0))&amp;" - "&amp;(IFERROR(IF(FIND("_",$B475)&gt;0,MID($B475,FIND("_",$B475)+1,LEN($B475)),IF(FIND("-",$B475)&gt;0,MID($B475,FIND("-",$B475)+1,LEN($B475)))),""))),""))&lt;64,_xlfn.IFNA(IF(IFERROR(IF(FIND("_",$B475)&gt;0,MID($B475,FIND("_",$B475)+1,LEN($B475)),IF(FIND("-",$B475)&gt;0,MID($B475,FIND("-",$B475)+1,LEN($B475)))),"")="",IFERROR(VLOOKUP($F475,WP!$B$2:$C$23,2,0),VLOOKUP($C475,Series!$A$3:$F$11,6,0)),IFERROR(VLOOKUP($F475,WP!$B$2:$C$23,2,0),VLOOKUP($C475,Series!$A$3:$F$11,6,0))&amp;" - "&amp;(IFERROR(IF(FIND("_",$B475)&gt;0,MID($B475,FIND("_",$B475)+1,LEN($B475)),IF(FIND("-",$B475)&gt;0,MID($B475,FIND("-",$B475)+1,LEN($B475)))),""))),""),LEFT((_xlfn.IFNA(IF(IFERROR(IF(FIND("_",$B475)&gt;0,MID($B475,FIND("_",$B475)+1,LEN($B475)),IF(FIND("-",$B475)&gt;0,MID($B475,FIND("-",$B475)+1,LEN($B475)))),"")="",IFERROR(VLOOKUP($F475,WP!$B$2:$C$23,2,0),VLOOKUP($C475,Series!$A$3:$F$11,6,0)),IFERROR(VLOOKUP($F475,WP!$B$2:$C$23,2,0),VLOOKUP($C475,Series!$A$3:$F$11,6,0))&amp;" - "&amp;(IFERROR(IF(FIND("_",$B475)&gt;0,MID($B475,FIND("_",$B475)+1,LEN($B475)),IF(FIND("-",$B475)&gt;0,MID($B475,FIND("-",$B475)+1,LEN($B475)))),""))),"")),64))</f>
        <v/>
      </c>
      <c r="H475" s="12"/>
      <c r="I475" s="12" t="str">
        <f>IF($D475&lt;&gt;"",COUNTIF($D$7:$D475,"="&amp;$D475),"")</f>
        <v/>
      </c>
      <c r="J475"/>
      <c r="K475" s="8"/>
      <c r="L475"/>
    </row>
    <row r="476" spans="1:12" x14ac:dyDescent="0.3">
      <c r="A476" s="1"/>
      <c r="B476" s="26"/>
      <c r="C476" s="12" t="str">
        <f>_xlfn.IFNA(IFERROR(IF(FIND("_",$B476)&gt;0,INDEX(WP!$A$2:$F$23,MATCH(LEFT($B476,FIND("_",$B476)-1),WP!$E$2:$E$23,0),1),IF(FIND("-",$B476)&gt;0,INDEX(WP!$A$2:$F$23,MATCH(LEFT($B476,FIND("_",$B476)-1),WP!$E$2:$E$23,0),1))),INDEX(WP!$A$2:$F$23,MATCH(Results!$B476,WP!$E$2:$E$23,0),1)),"")</f>
        <v/>
      </c>
      <c r="D476" s="12" t="str">
        <f>IFERROR(IFERROR(IF(RIGHT(INDEX(WP!$A$2:$F$23,MATCH(IF(FIND("_",$B476)&gt;0,LEFT($B476,FIND("_",$B476)-1)),WP!$E$2:$E$23,0),2),6)="Series",LEFT(INDEX(WP!$A$2:$F$23,MATCH(IF(FIND("_",$B476)&gt;0,LEFT($B476,FIND("_",$B476)-1)),WP!$E$2:$E$23,0),2),5),""),IF(RIGHT(INDEX(WP!$A$2:$F$23,MATCH($B476,WP!$E$2:$E$23,0),2),6)="Series",LEFT(INDEX(WP!$A$2:$F$23,MATCH($B476,WP!$E$2:$E$23,0),2),5),"")),"")</f>
        <v/>
      </c>
      <c r="E476" s="17" t="str">
        <f>IFERROR(VLOOKUP(VALUE($D476),Series!$B$3:$F$11,2,0),"")</f>
        <v/>
      </c>
      <c r="F476" s="12" t="str">
        <f>_xlfn.IFNA(IF(IF($D476&lt;&gt;"",COUNTIF($E:$E,"="&amp;$D476),"")="",IF(RIGHT(IFERROR(IF(FIND("_",$B476)&gt;0,INDEX(WP!$A$2:$F$23,MATCH(LEFT($B476,FIND("_",$B476)-1),WP!$E$2:$E$23,0),2),IF(FIND("-",$B476)&gt;0,INDEX(WP!$A$2:$F$23,MATCH(LEFT($B476,FIND("_",$B476)-1),WP!$E$2:$E$23,0),2))),INDEX(WP!$A$2:$F$23,MATCH(Results!$B476,WP!$E$2:$E$23,0),2)),6)="Series",LEFT(IFERROR(IF(FIND("_",$B476)&gt;0,INDEX(WP!$A$2:$F$23,MATCH(LEFT($B476,FIND("_",$B476)-1),WP!$E$2:$E$23,0),2),IF(FIND("-",$B476)&gt;0,INDEX(WP!$A$2:$F$23,MATCH(LEFT($B476,FIND("_",$B476)-1),WP!$E$2:$E$23,0),2))),INDEX(WP!$A$2:$F$23,MATCH(Results!$B476,WP!$E$2:$E$23,0),2)),5),(IFERROR(IF(FIND("_",$B476)&gt;0,INDEX(WP!$A$2:$F$23,MATCH(LEFT($B476,FIND("_",$B476)-1),WP!$E$2:$E$23,0),2),IF(FIND("-",$B476)&gt;0,INDEX(WP!$A$2:$F$23,MATCH(LEFT($B476,FIND("_",$B476)-1),WP!$E$2:$E$23,0),2))),INDEX(WP!$A$2:$F$23,MATCH(Results!$B476,WP!$E$2:$E$23,0),2)))),IF(RIGHT(IFERROR(IF(FIND("_",$B476)&gt;0,INDEX(WP!$A$2:$F$23,MATCH(LEFT($B476,FIND("_",$B476)-1),WP!$E$2:$E$23,0),2),IF(FIND("-",$B476)&gt;0,INDEX(WP!$A$2:$F$23,MATCH(LEFT($B476,FIND("_",$B476)-1),WP!$E$2:$E$23,0),2))),INDEX(WP!$A$2:$F$23,MATCH(Results!$B476,WP!$E$2:$E$23,0),2)),6)="Series",LEFT(IFERROR(IF(FIND("_",$B476)&gt;0,INDEX(WP!$A$2:$F$23,MATCH(LEFT($B476,FIND("_",$B476)-1),WP!$E$2:$E$23,0),2),IF(FIND("-",$B476)&gt;0,INDEX(WP!$A$2:$F$23,MATCH(LEFT($B476,FIND("_",$B476)-1),WP!$E$2:$E$23,0),2))),INDEX(WP!$A$2:$F$23,MATCH(Results!$B476,WP!$E$2:$E$23,0),2)),5),(IFERROR(IF(FIND("_",$B476)&gt;0,INDEX(WP!$A$2:$F$23,MATCH(LEFT($B476,FIND("_",$B476)-1),WP!$E$2:$E$23,0),2),IF(FIND("-",$B476)&gt;0,INDEX(WP!$A$2:$F$23,MATCH(LEFT($B476,FIND("_",$B476)-1),WP!$E$2:$E$23,0),2))),INDEX(WP!$A$2:$F$23,MATCH(Results!$B476,WP!$E$2:$E$23,0),2))))&amp;"-"&amp;$I476),"")</f>
        <v/>
      </c>
      <c r="G476" s="17" t="str">
        <f>IF(LEN(_xlfn.IFNA(IF(IFERROR(IF(FIND("_",$B476)&gt;0,MID($B476,FIND("_",$B476)+1,LEN($B476)),IF(FIND("-",$B476)&gt;0,MID($B476,FIND("-",$B476)+1,LEN($B476)))),"")="",IFERROR(VLOOKUP($F476,WP!$B$2:$C$23,2,0),VLOOKUP($C476,Series!$A$3:$F$11,6,0)),IFERROR(VLOOKUP($F476,WP!$B$2:$C$23,2,0),VLOOKUP($C476,Series!$A$3:$F$11,6,0))&amp;" - "&amp;(IFERROR(IF(FIND("_",$B476)&gt;0,MID($B476,FIND("_",$B476)+1,LEN($B476)),IF(FIND("-",$B476)&gt;0,MID($B476,FIND("-",$B476)+1,LEN($B476)))),""))),""))&lt;64,_xlfn.IFNA(IF(IFERROR(IF(FIND("_",$B476)&gt;0,MID($B476,FIND("_",$B476)+1,LEN($B476)),IF(FIND("-",$B476)&gt;0,MID($B476,FIND("-",$B476)+1,LEN($B476)))),"")="",IFERROR(VLOOKUP($F476,WP!$B$2:$C$23,2,0),VLOOKUP($C476,Series!$A$3:$F$11,6,0)),IFERROR(VLOOKUP($F476,WP!$B$2:$C$23,2,0),VLOOKUP($C476,Series!$A$3:$F$11,6,0))&amp;" - "&amp;(IFERROR(IF(FIND("_",$B476)&gt;0,MID($B476,FIND("_",$B476)+1,LEN($B476)),IF(FIND("-",$B476)&gt;0,MID($B476,FIND("-",$B476)+1,LEN($B476)))),""))),""),LEFT((_xlfn.IFNA(IF(IFERROR(IF(FIND("_",$B476)&gt;0,MID($B476,FIND("_",$B476)+1,LEN($B476)),IF(FIND("-",$B476)&gt;0,MID($B476,FIND("-",$B476)+1,LEN($B476)))),"")="",IFERROR(VLOOKUP($F476,WP!$B$2:$C$23,2,0),VLOOKUP($C476,Series!$A$3:$F$11,6,0)),IFERROR(VLOOKUP($F476,WP!$B$2:$C$23,2,0),VLOOKUP($C476,Series!$A$3:$F$11,6,0))&amp;" - "&amp;(IFERROR(IF(FIND("_",$B476)&gt;0,MID($B476,FIND("_",$B476)+1,LEN($B476)),IF(FIND("-",$B476)&gt;0,MID($B476,FIND("-",$B476)+1,LEN($B476)))),""))),"")),64))</f>
        <v/>
      </c>
      <c r="H476" s="12"/>
      <c r="I476" s="12" t="str">
        <f>IF($D476&lt;&gt;"",COUNTIF($D$7:$D476,"="&amp;$D476),"")</f>
        <v/>
      </c>
      <c r="J476"/>
      <c r="K476" s="8"/>
      <c r="L476"/>
    </row>
    <row r="477" spans="1:12" x14ac:dyDescent="0.3">
      <c r="A477" s="1"/>
      <c r="B477" s="26"/>
      <c r="C477" s="12" t="str">
        <f>_xlfn.IFNA(IFERROR(IF(FIND("_",$B477)&gt;0,INDEX(WP!$A$2:$F$23,MATCH(LEFT($B477,FIND("_",$B477)-1),WP!$E$2:$E$23,0),1),IF(FIND("-",$B477)&gt;0,INDEX(WP!$A$2:$F$23,MATCH(LEFT($B477,FIND("_",$B477)-1),WP!$E$2:$E$23,0),1))),INDEX(WP!$A$2:$F$23,MATCH(Results!$B477,WP!$E$2:$E$23,0),1)),"")</f>
        <v/>
      </c>
      <c r="D477" s="12" t="str">
        <f>IFERROR(IFERROR(IF(RIGHT(INDEX(WP!$A$2:$F$23,MATCH(IF(FIND("_",$B477)&gt;0,LEFT($B477,FIND("_",$B477)-1)),WP!$E$2:$E$23,0),2),6)="Series",LEFT(INDEX(WP!$A$2:$F$23,MATCH(IF(FIND("_",$B477)&gt;0,LEFT($B477,FIND("_",$B477)-1)),WP!$E$2:$E$23,0),2),5),""),IF(RIGHT(INDEX(WP!$A$2:$F$23,MATCH($B477,WP!$E$2:$E$23,0),2),6)="Series",LEFT(INDEX(WP!$A$2:$F$23,MATCH($B477,WP!$E$2:$E$23,0),2),5),"")),"")</f>
        <v/>
      </c>
      <c r="E477" s="17" t="str">
        <f>IFERROR(VLOOKUP(VALUE($D477),Series!$B$3:$F$11,2,0),"")</f>
        <v/>
      </c>
      <c r="F477" s="12" t="str">
        <f>_xlfn.IFNA(IF(IF($D477&lt;&gt;"",COUNTIF($E:$E,"="&amp;$D477),"")="",IF(RIGHT(IFERROR(IF(FIND("_",$B477)&gt;0,INDEX(WP!$A$2:$F$23,MATCH(LEFT($B477,FIND("_",$B477)-1),WP!$E$2:$E$23,0),2),IF(FIND("-",$B477)&gt;0,INDEX(WP!$A$2:$F$23,MATCH(LEFT($B477,FIND("_",$B477)-1),WP!$E$2:$E$23,0),2))),INDEX(WP!$A$2:$F$23,MATCH(Results!$B477,WP!$E$2:$E$23,0),2)),6)="Series",LEFT(IFERROR(IF(FIND("_",$B477)&gt;0,INDEX(WP!$A$2:$F$23,MATCH(LEFT($B477,FIND("_",$B477)-1),WP!$E$2:$E$23,0),2),IF(FIND("-",$B477)&gt;0,INDEX(WP!$A$2:$F$23,MATCH(LEFT($B477,FIND("_",$B477)-1),WP!$E$2:$E$23,0),2))),INDEX(WP!$A$2:$F$23,MATCH(Results!$B477,WP!$E$2:$E$23,0),2)),5),(IFERROR(IF(FIND("_",$B477)&gt;0,INDEX(WP!$A$2:$F$23,MATCH(LEFT($B477,FIND("_",$B477)-1),WP!$E$2:$E$23,0),2),IF(FIND("-",$B477)&gt;0,INDEX(WP!$A$2:$F$23,MATCH(LEFT($B477,FIND("_",$B477)-1),WP!$E$2:$E$23,0),2))),INDEX(WP!$A$2:$F$23,MATCH(Results!$B477,WP!$E$2:$E$23,0),2)))),IF(RIGHT(IFERROR(IF(FIND("_",$B477)&gt;0,INDEX(WP!$A$2:$F$23,MATCH(LEFT($B477,FIND("_",$B477)-1),WP!$E$2:$E$23,0),2),IF(FIND("-",$B477)&gt;0,INDEX(WP!$A$2:$F$23,MATCH(LEFT($B477,FIND("_",$B477)-1),WP!$E$2:$E$23,0),2))),INDEX(WP!$A$2:$F$23,MATCH(Results!$B477,WP!$E$2:$E$23,0),2)),6)="Series",LEFT(IFERROR(IF(FIND("_",$B477)&gt;0,INDEX(WP!$A$2:$F$23,MATCH(LEFT($B477,FIND("_",$B477)-1),WP!$E$2:$E$23,0),2),IF(FIND("-",$B477)&gt;0,INDEX(WP!$A$2:$F$23,MATCH(LEFT($B477,FIND("_",$B477)-1),WP!$E$2:$E$23,0),2))),INDEX(WP!$A$2:$F$23,MATCH(Results!$B477,WP!$E$2:$E$23,0),2)),5),(IFERROR(IF(FIND("_",$B477)&gt;0,INDEX(WP!$A$2:$F$23,MATCH(LEFT($B477,FIND("_",$B477)-1),WP!$E$2:$E$23,0),2),IF(FIND("-",$B477)&gt;0,INDEX(WP!$A$2:$F$23,MATCH(LEFT($B477,FIND("_",$B477)-1),WP!$E$2:$E$23,0),2))),INDEX(WP!$A$2:$F$23,MATCH(Results!$B477,WP!$E$2:$E$23,0),2))))&amp;"-"&amp;$I477),"")</f>
        <v/>
      </c>
      <c r="G477" s="17" t="str">
        <f>IF(LEN(_xlfn.IFNA(IF(IFERROR(IF(FIND("_",$B477)&gt;0,MID($B477,FIND("_",$B477)+1,LEN($B477)),IF(FIND("-",$B477)&gt;0,MID($B477,FIND("-",$B477)+1,LEN($B477)))),"")="",IFERROR(VLOOKUP($F477,WP!$B$2:$C$23,2,0),VLOOKUP($C477,Series!$A$3:$F$11,6,0)),IFERROR(VLOOKUP($F477,WP!$B$2:$C$23,2,0),VLOOKUP($C477,Series!$A$3:$F$11,6,0))&amp;" - "&amp;(IFERROR(IF(FIND("_",$B477)&gt;0,MID($B477,FIND("_",$B477)+1,LEN($B477)),IF(FIND("-",$B477)&gt;0,MID($B477,FIND("-",$B477)+1,LEN($B477)))),""))),""))&lt;64,_xlfn.IFNA(IF(IFERROR(IF(FIND("_",$B477)&gt;0,MID($B477,FIND("_",$B477)+1,LEN($B477)),IF(FIND("-",$B477)&gt;0,MID($B477,FIND("-",$B477)+1,LEN($B477)))),"")="",IFERROR(VLOOKUP($F477,WP!$B$2:$C$23,2,0),VLOOKUP($C477,Series!$A$3:$F$11,6,0)),IFERROR(VLOOKUP($F477,WP!$B$2:$C$23,2,0),VLOOKUP($C477,Series!$A$3:$F$11,6,0))&amp;" - "&amp;(IFERROR(IF(FIND("_",$B477)&gt;0,MID($B477,FIND("_",$B477)+1,LEN($B477)),IF(FIND("-",$B477)&gt;0,MID($B477,FIND("-",$B477)+1,LEN($B477)))),""))),""),LEFT((_xlfn.IFNA(IF(IFERROR(IF(FIND("_",$B477)&gt;0,MID($B477,FIND("_",$B477)+1,LEN($B477)),IF(FIND("-",$B477)&gt;0,MID($B477,FIND("-",$B477)+1,LEN($B477)))),"")="",IFERROR(VLOOKUP($F477,WP!$B$2:$C$23,2,0),VLOOKUP($C477,Series!$A$3:$F$11,6,0)),IFERROR(VLOOKUP($F477,WP!$B$2:$C$23,2,0),VLOOKUP($C477,Series!$A$3:$F$11,6,0))&amp;" - "&amp;(IFERROR(IF(FIND("_",$B477)&gt;0,MID($B477,FIND("_",$B477)+1,LEN($B477)),IF(FIND("-",$B477)&gt;0,MID($B477,FIND("-",$B477)+1,LEN($B477)))),""))),"")),64))</f>
        <v/>
      </c>
      <c r="H477" s="12"/>
      <c r="I477" s="12" t="str">
        <f>IF($D477&lt;&gt;"",COUNTIF($D$7:$D477,"="&amp;$D477),"")</f>
        <v/>
      </c>
      <c r="J477"/>
      <c r="K477" s="8"/>
      <c r="L477"/>
    </row>
    <row r="478" spans="1:12" x14ac:dyDescent="0.3">
      <c r="A478" s="1"/>
      <c r="B478" s="26"/>
      <c r="C478" s="12" t="str">
        <f>_xlfn.IFNA(IFERROR(IF(FIND("_",$B478)&gt;0,INDEX(WP!$A$2:$F$23,MATCH(LEFT($B478,FIND("_",$B478)-1),WP!$E$2:$E$23,0),1),IF(FIND("-",$B478)&gt;0,INDEX(WP!$A$2:$F$23,MATCH(LEFT($B478,FIND("_",$B478)-1),WP!$E$2:$E$23,0),1))),INDEX(WP!$A$2:$F$23,MATCH(Results!$B478,WP!$E$2:$E$23,0),1)),"")</f>
        <v/>
      </c>
      <c r="D478" s="12" t="str">
        <f>IFERROR(IFERROR(IF(RIGHT(INDEX(WP!$A$2:$F$23,MATCH(IF(FIND("_",$B478)&gt;0,LEFT($B478,FIND("_",$B478)-1)),WP!$E$2:$E$23,0),2),6)="Series",LEFT(INDEX(WP!$A$2:$F$23,MATCH(IF(FIND("_",$B478)&gt;0,LEFT($B478,FIND("_",$B478)-1)),WP!$E$2:$E$23,0),2),5),""),IF(RIGHT(INDEX(WP!$A$2:$F$23,MATCH($B478,WP!$E$2:$E$23,0),2),6)="Series",LEFT(INDEX(WP!$A$2:$F$23,MATCH($B478,WP!$E$2:$E$23,0),2),5),"")),"")</f>
        <v/>
      </c>
      <c r="E478" s="17" t="str">
        <f>IFERROR(VLOOKUP(VALUE($D478),Series!$B$3:$F$11,2,0),"")</f>
        <v/>
      </c>
      <c r="F478" s="12" t="str">
        <f>_xlfn.IFNA(IF(IF($D478&lt;&gt;"",COUNTIF($E:$E,"="&amp;$D478),"")="",IF(RIGHT(IFERROR(IF(FIND("_",$B478)&gt;0,INDEX(WP!$A$2:$F$23,MATCH(LEFT($B478,FIND("_",$B478)-1),WP!$E$2:$E$23,0),2),IF(FIND("-",$B478)&gt;0,INDEX(WP!$A$2:$F$23,MATCH(LEFT($B478,FIND("_",$B478)-1),WP!$E$2:$E$23,0),2))),INDEX(WP!$A$2:$F$23,MATCH(Results!$B478,WP!$E$2:$E$23,0),2)),6)="Series",LEFT(IFERROR(IF(FIND("_",$B478)&gt;0,INDEX(WP!$A$2:$F$23,MATCH(LEFT($B478,FIND("_",$B478)-1),WP!$E$2:$E$23,0),2),IF(FIND("-",$B478)&gt;0,INDEX(WP!$A$2:$F$23,MATCH(LEFT($B478,FIND("_",$B478)-1),WP!$E$2:$E$23,0),2))),INDEX(WP!$A$2:$F$23,MATCH(Results!$B478,WP!$E$2:$E$23,0),2)),5),(IFERROR(IF(FIND("_",$B478)&gt;0,INDEX(WP!$A$2:$F$23,MATCH(LEFT($B478,FIND("_",$B478)-1),WP!$E$2:$E$23,0),2),IF(FIND("-",$B478)&gt;0,INDEX(WP!$A$2:$F$23,MATCH(LEFT($B478,FIND("_",$B478)-1),WP!$E$2:$E$23,0),2))),INDEX(WP!$A$2:$F$23,MATCH(Results!$B478,WP!$E$2:$E$23,0),2)))),IF(RIGHT(IFERROR(IF(FIND("_",$B478)&gt;0,INDEX(WP!$A$2:$F$23,MATCH(LEFT($B478,FIND("_",$B478)-1),WP!$E$2:$E$23,0),2),IF(FIND("-",$B478)&gt;0,INDEX(WP!$A$2:$F$23,MATCH(LEFT($B478,FIND("_",$B478)-1),WP!$E$2:$E$23,0),2))),INDEX(WP!$A$2:$F$23,MATCH(Results!$B478,WP!$E$2:$E$23,0),2)),6)="Series",LEFT(IFERROR(IF(FIND("_",$B478)&gt;0,INDEX(WP!$A$2:$F$23,MATCH(LEFT($B478,FIND("_",$B478)-1),WP!$E$2:$E$23,0),2),IF(FIND("-",$B478)&gt;0,INDEX(WP!$A$2:$F$23,MATCH(LEFT($B478,FIND("_",$B478)-1),WP!$E$2:$E$23,0),2))),INDEX(WP!$A$2:$F$23,MATCH(Results!$B478,WP!$E$2:$E$23,0),2)),5),(IFERROR(IF(FIND("_",$B478)&gt;0,INDEX(WP!$A$2:$F$23,MATCH(LEFT($B478,FIND("_",$B478)-1),WP!$E$2:$E$23,0),2),IF(FIND("-",$B478)&gt;0,INDEX(WP!$A$2:$F$23,MATCH(LEFT($B478,FIND("_",$B478)-1),WP!$E$2:$E$23,0),2))),INDEX(WP!$A$2:$F$23,MATCH(Results!$B478,WP!$E$2:$E$23,0),2))))&amp;"-"&amp;$I478),"")</f>
        <v/>
      </c>
      <c r="G478" s="17" t="str">
        <f>IF(LEN(_xlfn.IFNA(IF(IFERROR(IF(FIND("_",$B478)&gt;0,MID($B478,FIND("_",$B478)+1,LEN($B478)),IF(FIND("-",$B478)&gt;0,MID($B478,FIND("-",$B478)+1,LEN($B478)))),"")="",IFERROR(VLOOKUP($F478,WP!$B$2:$C$23,2,0),VLOOKUP($C478,Series!$A$3:$F$11,6,0)),IFERROR(VLOOKUP($F478,WP!$B$2:$C$23,2,0),VLOOKUP($C478,Series!$A$3:$F$11,6,0))&amp;" - "&amp;(IFERROR(IF(FIND("_",$B478)&gt;0,MID($B478,FIND("_",$B478)+1,LEN($B478)),IF(FIND("-",$B478)&gt;0,MID($B478,FIND("-",$B478)+1,LEN($B478)))),""))),""))&lt;64,_xlfn.IFNA(IF(IFERROR(IF(FIND("_",$B478)&gt;0,MID($B478,FIND("_",$B478)+1,LEN($B478)),IF(FIND("-",$B478)&gt;0,MID($B478,FIND("-",$B478)+1,LEN($B478)))),"")="",IFERROR(VLOOKUP($F478,WP!$B$2:$C$23,2,0),VLOOKUP($C478,Series!$A$3:$F$11,6,0)),IFERROR(VLOOKUP($F478,WP!$B$2:$C$23,2,0),VLOOKUP($C478,Series!$A$3:$F$11,6,0))&amp;" - "&amp;(IFERROR(IF(FIND("_",$B478)&gt;0,MID($B478,FIND("_",$B478)+1,LEN($B478)),IF(FIND("-",$B478)&gt;0,MID($B478,FIND("-",$B478)+1,LEN($B478)))),""))),""),LEFT((_xlfn.IFNA(IF(IFERROR(IF(FIND("_",$B478)&gt;0,MID($B478,FIND("_",$B478)+1,LEN($B478)),IF(FIND("-",$B478)&gt;0,MID($B478,FIND("-",$B478)+1,LEN($B478)))),"")="",IFERROR(VLOOKUP($F478,WP!$B$2:$C$23,2,0),VLOOKUP($C478,Series!$A$3:$F$11,6,0)),IFERROR(VLOOKUP($F478,WP!$B$2:$C$23,2,0),VLOOKUP($C478,Series!$A$3:$F$11,6,0))&amp;" - "&amp;(IFERROR(IF(FIND("_",$B478)&gt;0,MID($B478,FIND("_",$B478)+1,LEN($B478)),IF(FIND("-",$B478)&gt;0,MID($B478,FIND("-",$B478)+1,LEN($B478)))),""))),"")),64))</f>
        <v/>
      </c>
      <c r="H478" s="12"/>
      <c r="I478" s="12" t="str">
        <f>IF($D478&lt;&gt;"",COUNTIF($D$7:$D478,"="&amp;$D478),"")</f>
        <v/>
      </c>
      <c r="J478"/>
      <c r="K478" s="8"/>
      <c r="L478"/>
    </row>
    <row r="479" spans="1:12" x14ac:dyDescent="0.3">
      <c r="A479" s="1"/>
      <c r="B479" s="26"/>
      <c r="C479" s="12" t="str">
        <f>_xlfn.IFNA(IFERROR(IF(FIND("_",$B479)&gt;0,INDEX(WP!$A$2:$F$23,MATCH(LEFT($B479,FIND("_",$B479)-1),WP!$E$2:$E$23,0),1),IF(FIND("-",$B479)&gt;0,INDEX(WP!$A$2:$F$23,MATCH(LEFT($B479,FIND("_",$B479)-1),WP!$E$2:$E$23,0),1))),INDEX(WP!$A$2:$F$23,MATCH(Results!$B479,WP!$E$2:$E$23,0),1)),"")</f>
        <v/>
      </c>
      <c r="D479" s="12" t="str">
        <f>IFERROR(IFERROR(IF(RIGHT(INDEX(WP!$A$2:$F$23,MATCH(IF(FIND("_",$B479)&gt;0,LEFT($B479,FIND("_",$B479)-1)),WP!$E$2:$E$23,0),2),6)="Series",LEFT(INDEX(WP!$A$2:$F$23,MATCH(IF(FIND("_",$B479)&gt;0,LEFT($B479,FIND("_",$B479)-1)),WP!$E$2:$E$23,0),2),5),""),IF(RIGHT(INDEX(WP!$A$2:$F$23,MATCH($B479,WP!$E$2:$E$23,0),2),6)="Series",LEFT(INDEX(WP!$A$2:$F$23,MATCH($B479,WP!$E$2:$E$23,0),2),5),"")),"")</f>
        <v/>
      </c>
      <c r="E479" s="17" t="str">
        <f>IFERROR(VLOOKUP(VALUE($D479),Series!$B$3:$F$11,2,0),"")</f>
        <v/>
      </c>
      <c r="F479" s="12" t="str">
        <f>_xlfn.IFNA(IF(IF($D479&lt;&gt;"",COUNTIF($E:$E,"="&amp;$D479),"")="",IF(RIGHT(IFERROR(IF(FIND("_",$B479)&gt;0,INDEX(WP!$A$2:$F$23,MATCH(LEFT($B479,FIND("_",$B479)-1),WP!$E$2:$E$23,0),2),IF(FIND("-",$B479)&gt;0,INDEX(WP!$A$2:$F$23,MATCH(LEFT($B479,FIND("_",$B479)-1),WP!$E$2:$E$23,0),2))),INDEX(WP!$A$2:$F$23,MATCH(Results!$B479,WP!$E$2:$E$23,0),2)),6)="Series",LEFT(IFERROR(IF(FIND("_",$B479)&gt;0,INDEX(WP!$A$2:$F$23,MATCH(LEFT($B479,FIND("_",$B479)-1),WP!$E$2:$E$23,0),2),IF(FIND("-",$B479)&gt;0,INDEX(WP!$A$2:$F$23,MATCH(LEFT($B479,FIND("_",$B479)-1),WP!$E$2:$E$23,0),2))),INDEX(WP!$A$2:$F$23,MATCH(Results!$B479,WP!$E$2:$E$23,0),2)),5),(IFERROR(IF(FIND("_",$B479)&gt;0,INDEX(WP!$A$2:$F$23,MATCH(LEFT($B479,FIND("_",$B479)-1),WP!$E$2:$E$23,0),2),IF(FIND("-",$B479)&gt;0,INDEX(WP!$A$2:$F$23,MATCH(LEFT($B479,FIND("_",$B479)-1),WP!$E$2:$E$23,0),2))),INDEX(WP!$A$2:$F$23,MATCH(Results!$B479,WP!$E$2:$E$23,0),2)))),IF(RIGHT(IFERROR(IF(FIND("_",$B479)&gt;0,INDEX(WP!$A$2:$F$23,MATCH(LEFT($B479,FIND("_",$B479)-1),WP!$E$2:$E$23,0),2),IF(FIND("-",$B479)&gt;0,INDEX(WP!$A$2:$F$23,MATCH(LEFT($B479,FIND("_",$B479)-1),WP!$E$2:$E$23,0),2))),INDEX(WP!$A$2:$F$23,MATCH(Results!$B479,WP!$E$2:$E$23,0),2)),6)="Series",LEFT(IFERROR(IF(FIND("_",$B479)&gt;0,INDEX(WP!$A$2:$F$23,MATCH(LEFT($B479,FIND("_",$B479)-1),WP!$E$2:$E$23,0),2),IF(FIND("-",$B479)&gt;0,INDEX(WP!$A$2:$F$23,MATCH(LEFT($B479,FIND("_",$B479)-1),WP!$E$2:$E$23,0),2))),INDEX(WP!$A$2:$F$23,MATCH(Results!$B479,WP!$E$2:$E$23,0),2)),5),(IFERROR(IF(FIND("_",$B479)&gt;0,INDEX(WP!$A$2:$F$23,MATCH(LEFT($B479,FIND("_",$B479)-1),WP!$E$2:$E$23,0),2),IF(FIND("-",$B479)&gt;0,INDEX(WP!$A$2:$F$23,MATCH(LEFT($B479,FIND("_",$B479)-1),WP!$E$2:$E$23,0),2))),INDEX(WP!$A$2:$F$23,MATCH(Results!$B479,WP!$E$2:$E$23,0),2))))&amp;"-"&amp;$I479),"")</f>
        <v/>
      </c>
      <c r="G479" s="17" t="str">
        <f>IF(LEN(_xlfn.IFNA(IF(IFERROR(IF(FIND("_",$B479)&gt;0,MID($B479,FIND("_",$B479)+1,LEN($B479)),IF(FIND("-",$B479)&gt;0,MID($B479,FIND("-",$B479)+1,LEN($B479)))),"")="",IFERROR(VLOOKUP($F479,WP!$B$2:$C$23,2,0),VLOOKUP($C479,Series!$A$3:$F$11,6,0)),IFERROR(VLOOKUP($F479,WP!$B$2:$C$23,2,0),VLOOKUP($C479,Series!$A$3:$F$11,6,0))&amp;" - "&amp;(IFERROR(IF(FIND("_",$B479)&gt;0,MID($B479,FIND("_",$B479)+1,LEN($B479)),IF(FIND("-",$B479)&gt;0,MID($B479,FIND("-",$B479)+1,LEN($B479)))),""))),""))&lt;64,_xlfn.IFNA(IF(IFERROR(IF(FIND("_",$B479)&gt;0,MID($B479,FIND("_",$B479)+1,LEN($B479)),IF(FIND("-",$B479)&gt;0,MID($B479,FIND("-",$B479)+1,LEN($B479)))),"")="",IFERROR(VLOOKUP($F479,WP!$B$2:$C$23,2,0),VLOOKUP($C479,Series!$A$3:$F$11,6,0)),IFERROR(VLOOKUP($F479,WP!$B$2:$C$23,2,0),VLOOKUP($C479,Series!$A$3:$F$11,6,0))&amp;" - "&amp;(IFERROR(IF(FIND("_",$B479)&gt;0,MID($B479,FIND("_",$B479)+1,LEN($B479)),IF(FIND("-",$B479)&gt;0,MID($B479,FIND("-",$B479)+1,LEN($B479)))),""))),""),LEFT((_xlfn.IFNA(IF(IFERROR(IF(FIND("_",$B479)&gt;0,MID($B479,FIND("_",$B479)+1,LEN($B479)),IF(FIND("-",$B479)&gt;0,MID($B479,FIND("-",$B479)+1,LEN($B479)))),"")="",IFERROR(VLOOKUP($F479,WP!$B$2:$C$23,2,0),VLOOKUP($C479,Series!$A$3:$F$11,6,0)),IFERROR(VLOOKUP($F479,WP!$B$2:$C$23,2,0),VLOOKUP($C479,Series!$A$3:$F$11,6,0))&amp;" - "&amp;(IFERROR(IF(FIND("_",$B479)&gt;0,MID($B479,FIND("_",$B479)+1,LEN($B479)),IF(FIND("-",$B479)&gt;0,MID($B479,FIND("-",$B479)+1,LEN($B479)))),""))),"")),64))</f>
        <v/>
      </c>
      <c r="H479" s="12"/>
      <c r="I479" s="12" t="str">
        <f>IF($D479&lt;&gt;"",COUNTIF($D$7:$D479,"="&amp;$D479),"")</f>
        <v/>
      </c>
      <c r="J479"/>
      <c r="K479" s="8"/>
      <c r="L479"/>
    </row>
    <row r="480" spans="1:12" x14ac:dyDescent="0.3">
      <c r="A480" s="1"/>
      <c r="B480" s="26"/>
      <c r="C480" s="12" t="str">
        <f>_xlfn.IFNA(IFERROR(IF(FIND("_",$B480)&gt;0,INDEX(WP!$A$2:$F$23,MATCH(LEFT($B480,FIND("_",$B480)-1),WP!$E$2:$E$23,0),1),IF(FIND("-",$B480)&gt;0,INDEX(WP!$A$2:$F$23,MATCH(LEFT($B480,FIND("_",$B480)-1),WP!$E$2:$E$23,0),1))),INDEX(WP!$A$2:$F$23,MATCH(Results!$B480,WP!$E$2:$E$23,0),1)),"")</f>
        <v/>
      </c>
      <c r="D480" s="12" t="str">
        <f>IFERROR(IFERROR(IF(RIGHT(INDEX(WP!$A$2:$F$23,MATCH(IF(FIND("_",$B480)&gt;0,LEFT($B480,FIND("_",$B480)-1)),WP!$E$2:$E$23,0),2),6)="Series",LEFT(INDEX(WP!$A$2:$F$23,MATCH(IF(FIND("_",$B480)&gt;0,LEFT($B480,FIND("_",$B480)-1)),WP!$E$2:$E$23,0),2),5),""),IF(RIGHT(INDEX(WP!$A$2:$F$23,MATCH($B480,WP!$E$2:$E$23,0),2),6)="Series",LEFT(INDEX(WP!$A$2:$F$23,MATCH($B480,WP!$E$2:$E$23,0),2),5),"")),"")</f>
        <v/>
      </c>
      <c r="E480" s="17" t="str">
        <f>IFERROR(VLOOKUP(VALUE($D480),Series!$B$3:$F$11,2,0),"")</f>
        <v/>
      </c>
      <c r="F480" s="12" t="str">
        <f>_xlfn.IFNA(IF(IF($D480&lt;&gt;"",COUNTIF($E:$E,"="&amp;$D480),"")="",IF(RIGHT(IFERROR(IF(FIND("_",$B480)&gt;0,INDEX(WP!$A$2:$F$23,MATCH(LEFT($B480,FIND("_",$B480)-1),WP!$E$2:$E$23,0),2),IF(FIND("-",$B480)&gt;0,INDEX(WP!$A$2:$F$23,MATCH(LEFT($B480,FIND("_",$B480)-1),WP!$E$2:$E$23,0),2))),INDEX(WP!$A$2:$F$23,MATCH(Results!$B480,WP!$E$2:$E$23,0),2)),6)="Series",LEFT(IFERROR(IF(FIND("_",$B480)&gt;0,INDEX(WP!$A$2:$F$23,MATCH(LEFT($B480,FIND("_",$B480)-1),WP!$E$2:$E$23,0),2),IF(FIND("-",$B480)&gt;0,INDEX(WP!$A$2:$F$23,MATCH(LEFT($B480,FIND("_",$B480)-1),WP!$E$2:$E$23,0),2))),INDEX(WP!$A$2:$F$23,MATCH(Results!$B480,WP!$E$2:$E$23,0),2)),5),(IFERROR(IF(FIND("_",$B480)&gt;0,INDEX(WP!$A$2:$F$23,MATCH(LEFT($B480,FIND("_",$B480)-1),WP!$E$2:$E$23,0),2),IF(FIND("-",$B480)&gt;0,INDEX(WP!$A$2:$F$23,MATCH(LEFT($B480,FIND("_",$B480)-1),WP!$E$2:$E$23,0),2))),INDEX(WP!$A$2:$F$23,MATCH(Results!$B480,WP!$E$2:$E$23,0),2)))),IF(RIGHT(IFERROR(IF(FIND("_",$B480)&gt;0,INDEX(WP!$A$2:$F$23,MATCH(LEFT($B480,FIND("_",$B480)-1),WP!$E$2:$E$23,0),2),IF(FIND("-",$B480)&gt;0,INDEX(WP!$A$2:$F$23,MATCH(LEFT($B480,FIND("_",$B480)-1),WP!$E$2:$E$23,0),2))),INDEX(WP!$A$2:$F$23,MATCH(Results!$B480,WP!$E$2:$E$23,0),2)),6)="Series",LEFT(IFERROR(IF(FIND("_",$B480)&gt;0,INDEX(WP!$A$2:$F$23,MATCH(LEFT($B480,FIND("_",$B480)-1),WP!$E$2:$E$23,0),2),IF(FIND("-",$B480)&gt;0,INDEX(WP!$A$2:$F$23,MATCH(LEFT($B480,FIND("_",$B480)-1),WP!$E$2:$E$23,0),2))),INDEX(WP!$A$2:$F$23,MATCH(Results!$B480,WP!$E$2:$E$23,0),2)),5),(IFERROR(IF(FIND("_",$B480)&gt;0,INDEX(WP!$A$2:$F$23,MATCH(LEFT($B480,FIND("_",$B480)-1),WP!$E$2:$E$23,0),2),IF(FIND("-",$B480)&gt;0,INDEX(WP!$A$2:$F$23,MATCH(LEFT($B480,FIND("_",$B480)-1),WP!$E$2:$E$23,0),2))),INDEX(WP!$A$2:$F$23,MATCH(Results!$B480,WP!$E$2:$E$23,0),2))))&amp;"-"&amp;$I480),"")</f>
        <v/>
      </c>
      <c r="G480" s="17" t="str">
        <f>IF(LEN(_xlfn.IFNA(IF(IFERROR(IF(FIND("_",$B480)&gt;0,MID($B480,FIND("_",$B480)+1,LEN($B480)),IF(FIND("-",$B480)&gt;0,MID($B480,FIND("-",$B480)+1,LEN($B480)))),"")="",IFERROR(VLOOKUP($F480,WP!$B$2:$C$23,2,0),VLOOKUP($C480,Series!$A$3:$F$11,6,0)),IFERROR(VLOOKUP($F480,WP!$B$2:$C$23,2,0),VLOOKUP($C480,Series!$A$3:$F$11,6,0))&amp;" - "&amp;(IFERROR(IF(FIND("_",$B480)&gt;0,MID($B480,FIND("_",$B480)+1,LEN($B480)),IF(FIND("-",$B480)&gt;0,MID($B480,FIND("-",$B480)+1,LEN($B480)))),""))),""))&lt;64,_xlfn.IFNA(IF(IFERROR(IF(FIND("_",$B480)&gt;0,MID($B480,FIND("_",$B480)+1,LEN($B480)),IF(FIND("-",$B480)&gt;0,MID($B480,FIND("-",$B480)+1,LEN($B480)))),"")="",IFERROR(VLOOKUP($F480,WP!$B$2:$C$23,2,0),VLOOKUP($C480,Series!$A$3:$F$11,6,0)),IFERROR(VLOOKUP($F480,WP!$B$2:$C$23,2,0),VLOOKUP($C480,Series!$A$3:$F$11,6,0))&amp;" - "&amp;(IFERROR(IF(FIND("_",$B480)&gt;0,MID($B480,FIND("_",$B480)+1,LEN($B480)),IF(FIND("-",$B480)&gt;0,MID($B480,FIND("-",$B480)+1,LEN($B480)))),""))),""),LEFT((_xlfn.IFNA(IF(IFERROR(IF(FIND("_",$B480)&gt;0,MID($B480,FIND("_",$B480)+1,LEN($B480)),IF(FIND("-",$B480)&gt;0,MID($B480,FIND("-",$B480)+1,LEN($B480)))),"")="",IFERROR(VLOOKUP($F480,WP!$B$2:$C$23,2,0),VLOOKUP($C480,Series!$A$3:$F$11,6,0)),IFERROR(VLOOKUP($F480,WP!$B$2:$C$23,2,0),VLOOKUP($C480,Series!$A$3:$F$11,6,0))&amp;" - "&amp;(IFERROR(IF(FIND("_",$B480)&gt;0,MID($B480,FIND("_",$B480)+1,LEN($B480)),IF(FIND("-",$B480)&gt;0,MID($B480,FIND("-",$B480)+1,LEN($B480)))),""))),"")),64))</f>
        <v/>
      </c>
      <c r="H480" s="12"/>
      <c r="I480" s="12" t="str">
        <f>IF($D480&lt;&gt;"",COUNTIF($D$7:$D480,"="&amp;$D480),"")</f>
        <v/>
      </c>
      <c r="J480"/>
      <c r="K480" s="8"/>
      <c r="L480"/>
    </row>
    <row r="481" spans="1:12" x14ac:dyDescent="0.3">
      <c r="A481" s="1"/>
      <c r="B481" s="26"/>
      <c r="C481" s="12" t="str">
        <f>_xlfn.IFNA(IFERROR(IF(FIND("_",$B481)&gt;0,INDEX(WP!$A$2:$F$23,MATCH(LEFT($B481,FIND("_",$B481)-1),WP!$E$2:$E$23,0),1),IF(FIND("-",$B481)&gt;0,INDEX(WP!$A$2:$F$23,MATCH(LEFT($B481,FIND("_",$B481)-1),WP!$E$2:$E$23,0),1))),INDEX(WP!$A$2:$F$23,MATCH(Results!$B481,WP!$E$2:$E$23,0),1)),"")</f>
        <v/>
      </c>
      <c r="D481" s="12" t="str">
        <f>IFERROR(IFERROR(IF(RIGHT(INDEX(WP!$A$2:$F$23,MATCH(IF(FIND("_",$B481)&gt;0,LEFT($B481,FIND("_",$B481)-1)),WP!$E$2:$E$23,0),2),6)="Series",LEFT(INDEX(WP!$A$2:$F$23,MATCH(IF(FIND("_",$B481)&gt;0,LEFT($B481,FIND("_",$B481)-1)),WP!$E$2:$E$23,0),2),5),""),IF(RIGHT(INDEX(WP!$A$2:$F$23,MATCH($B481,WP!$E$2:$E$23,0),2),6)="Series",LEFT(INDEX(WP!$A$2:$F$23,MATCH($B481,WP!$E$2:$E$23,0),2),5),"")),"")</f>
        <v/>
      </c>
      <c r="E481" s="17" t="str">
        <f>IFERROR(VLOOKUP(VALUE($D481),Series!$B$3:$F$11,2,0),"")</f>
        <v/>
      </c>
      <c r="F481" s="12" t="str">
        <f>_xlfn.IFNA(IF(IF($D481&lt;&gt;"",COUNTIF($E:$E,"="&amp;$D481),"")="",IF(RIGHT(IFERROR(IF(FIND("_",$B481)&gt;0,INDEX(WP!$A$2:$F$23,MATCH(LEFT($B481,FIND("_",$B481)-1),WP!$E$2:$E$23,0),2),IF(FIND("-",$B481)&gt;0,INDEX(WP!$A$2:$F$23,MATCH(LEFT($B481,FIND("_",$B481)-1),WP!$E$2:$E$23,0),2))),INDEX(WP!$A$2:$F$23,MATCH(Results!$B481,WP!$E$2:$E$23,0),2)),6)="Series",LEFT(IFERROR(IF(FIND("_",$B481)&gt;0,INDEX(WP!$A$2:$F$23,MATCH(LEFT($B481,FIND("_",$B481)-1),WP!$E$2:$E$23,0),2),IF(FIND("-",$B481)&gt;0,INDEX(WP!$A$2:$F$23,MATCH(LEFT($B481,FIND("_",$B481)-1),WP!$E$2:$E$23,0),2))),INDEX(WP!$A$2:$F$23,MATCH(Results!$B481,WP!$E$2:$E$23,0),2)),5),(IFERROR(IF(FIND("_",$B481)&gt;0,INDEX(WP!$A$2:$F$23,MATCH(LEFT($B481,FIND("_",$B481)-1),WP!$E$2:$E$23,0),2),IF(FIND("-",$B481)&gt;0,INDEX(WP!$A$2:$F$23,MATCH(LEFT($B481,FIND("_",$B481)-1),WP!$E$2:$E$23,0),2))),INDEX(WP!$A$2:$F$23,MATCH(Results!$B481,WP!$E$2:$E$23,0),2)))),IF(RIGHT(IFERROR(IF(FIND("_",$B481)&gt;0,INDEX(WP!$A$2:$F$23,MATCH(LEFT($B481,FIND("_",$B481)-1),WP!$E$2:$E$23,0),2),IF(FIND("-",$B481)&gt;0,INDEX(WP!$A$2:$F$23,MATCH(LEFT($B481,FIND("_",$B481)-1),WP!$E$2:$E$23,0),2))),INDEX(WP!$A$2:$F$23,MATCH(Results!$B481,WP!$E$2:$E$23,0),2)),6)="Series",LEFT(IFERROR(IF(FIND("_",$B481)&gt;0,INDEX(WP!$A$2:$F$23,MATCH(LEFT($B481,FIND("_",$B481)-1),WP!$E$2:$E$23,0),2),IF(FIND("-",$B481)&gt;0,INDEX(WP!$A$2:$F$23,MATCH(LEFT($B481,FIND("_",$B481)-1),WP!$E$2:$E$23,0),2))),INDEX(WP!$A$2:$F$23,MATCH(Results!$B481,WP!$E$2:$E$23,0),2)),5),(IFERROR(IF(FIND("_",$B481)&gt;0,INDEX(WP!$A$2:$F$23,MATCH(LEFT($B481,FIND("_",$B481)-1),WP!$E$2:$E$23,0),2),IF(FIND("-",$B481)&gt;0,INDEX(WP!$A$2:$F$23,MATCH(LEFT($B481,FIND("_",$B481)-1),WP!$E$2:$E$23,0),2))),INDEX(WP!$A$2:$F$23,MATCH(Results!$B481,WP!$E$2:$E$23,0),2))))&amp;"-"&amp;$I481),"")</f>
        <v/>
      </c>
      <c r="G481" s="17" t="str">
        <f>IF(LEN(_xlfn.IFNA(IF(IFERROR(IF(FIND("_",$B481)&gt;0,MID($B481,FIND("_",$B481)+1,LEN($B481)),IF(FIND("-",$B481)&gt;0,MID($B481,FIND("-",$B481)+1,LEN($B481)))),"")="",IFERROR(VLOOKUP($F481,WP!$B$2:$C$23,2,0),VLOOKUP($C481,Series!$A$3:$F$11,6,0)),IFERROR(VLOOKUP($F481,WP!$B$2:$C$23,2,0),VLOOKUP($C481,Series!$A$3:$F$11,6,0))&amp;" - "&amp;(IFERROR(IF(FIND("_",$B481)&gt;0,MID($B481,FIND("_",$B481)+1,LEN($B481)),IF(FIND("-",$B481)&gt;0,MID($B481,FIND("-",$B481)+1,LEN($B481)))),""))),""))&lt;64,_xlfn.IFNA(IF(IFERROR(IF(FIND("_",$B481)&gt;0,MID($B481,FIND("_",$B481)+1,LEN($B481)),IF(FIND("-",$B481)&gt;0,MID($B481,FIND("-",$B481)+1,LEN($B481)))),"")="",IFERROR(VLOOKUP($F481,WP!$B$2:$C$23,2,0),VLOOKUP($C481,Series!$A$3:$F$11,6,0)),IFERROR(VLOOKUP($F481,WP!$B$2:$C$23,2,0),VLOOKUP($C481,Series!$A$3:$F$11,6,0))&amp;" - "&amp;(IFERROR(IF(FIND("_",$B481)&gt;0,MID($B481,FIND("_",$B481)+1,LEN($B481)),IF(FIND("-",$B481)&gt;0,MID($B481,FIND("-",$B481)+1,LEN($B481)))),""))),""),LEFT((_xlfn.IFNA(IF(IFERROR(IF(FIND("_",$B481)&gt;0,MID($B481,FIND("_",$B481)+1,LEN($B481)),IF(FIND("-",$B481)&gt;0,MID($B481,FIND("-",$B481)+1,LEN($B481)))),"")="",IFERROR(VLOOKUP($F481,WP!$B$2:$C$23,2,0),VLOOKUP($C481,Series!$A$3:$F$11,6,0)),IFERROR(VLOOKUP($F481,WP!$B$2:$C$23,2,0),VLOOKUP($C481,Series!$A$3:$F$11,6,0))&amp;" - "&amp;(IFERROR(IF(FIND("_",$B481)&gt;0,MID($B481,FIND("_",$B481)+1,LEN($B481)),IF(FIND("-",$B481)&gt;0,MID($B481,FIND("-",$B481)+1,LEN($B481)))),""))),"")),64))</f>
        <v/>
      </c>
      <c r="H481" s="12"/>
      <c r="I481" s="12" t="str">
        <f>IF($D481&lt;&gt;"",COUNTIF($D$7:$D481,"="&amp;$D481),"")</f>
        <v/>
      </c>
      <c r="J481"/>
      <c r="K481" s="8"/>
      <c r="L481"/>
    </row>
    <row r="482" spans="1:12" x14ac:dyDescent="0.3">
      <c r="A482" s="1"/>
      <c r="B482" s="26"/>
      <c r="C482" s="12" t="str">
        <f>_xlfn.IFNA(IFERROR(IF(FIND("_",$B482)&gt;0,INDEX(WP!$A$2:$F$23,MATCH(LEFT($B482,FIND("_",$B482)-1),WP!$E$2:$E$23,0),1),IF(FIND("-",$B482)&gt;0,INDEX(WP!$A$2:$F$23,MATCH(LEFT($B482,FIND("_",$B482)-1),WP!$E$2:$E$23,0),1))),INDEX(WP!$A$2:$F$23,MATCH(Results!$B482,WP!$E$2:$E$23,0),1)),"")</f>
        <v/>
      </c>
      <c r="D482" s="12" t="str">
        <f>IFERROR(IFERROR(IF(RIGHT(INDEX(WP!$A$2:$F$23,MATCH(IF(FIND("_",$B482)&gt;0,LEFT($B482,FIND("_",$B482)-1)),WP!$E$2:$E$23,0),2),6)="Series",LEFT(INDEX(WP!$A$2:$F$23,MATCH(IF(FIND("_",$B482)&gt;0,LEFT($B482,FIND("_",$B482)-1)),WP!$E$2:$E$23,0),2),5),""),IF(RIGHT(INDEX(WP!$A$2:$F$23,MATCH($B482,WP!$E$2:$E$23,0),2),6)="Series",LEFT(INDEX(WP!$A$2:$F$23,MATCH($B482,WP!$E$2:$E$23,0),2),5),"")),"")</f>
        <v/>
      </c>
      <c r="E482" s="17" t="str">
        <f>IFERROR(VLOOKUP(VALUE($D482),Series!$B$3:$F$11,2,0),"")</f>
        <v/>
      </c>
      <c r="F482" s="12" t="str">
        <f>_xlfn.IFNA(IF(IF($D482&lt;&gt;"",COUNTIF($E:$E,"="&amp;$D482),"")="",IF(RIGHT(IFERROR(IF(FIND("_",$B482)&gt;0,INDEX(WP!$A$2:$F$23,MATCH(LEFT($B482,FIND("_",$B482)-1),WP!$E$2:$E$23,0),2),IF(FIND("-",$B482)&gt;0,INDEX(WP!$A$2:$F$23,MATCH(LEFT($B482,FIND("_",$B482)-1),WP!$E$2:$E$23,0),2))),INDEX(WP!$A$2:$F$23,MATCH(Results!$B482,WP!$E$2:$E$23,0),2)),6)="Series",LEFT(IFERROR(IF(FIND("_",$B482)&gt;0,INDEX(WP!$A$2:$F$23,MATCH(LEFT($B482,FIND("_",$B482)-1),WP!$E$2:$E$23,0),2),IF(FIND("-",$B482)&gt;0,INDEX(WP!$A$2:$F$23,MATCH(LEFT($B482,FIND("_",$B482)-1),WP!$E$2:$E$23,0),2))),INDEX(WP!$A$2:$F$23,MATCH(Results!$B482,WP!$E$2:$E$23,0),2)),5),(IFERROR(IF(FIND("_",$B482)&gt;0,INDEX(WP!$A$2:$F$23,MATCH(LEFT($B482,FIND("_",$B482)-1),WP!$E$2:$E$23,0),2),IF(FIND("-",$B482)&gt;0,INDEX(WP!$A$2:$F$23,MATCH(LEFT($B482,FIND("_",$B482)-1),WP!$E$2:$E$23,0),2))),INDEX(WP!$A$2:$F$23,MATCH(Results!$B482,WP!$E$2:$E$23,0),2)))),IF(RIGHT(IFERROR(IF(FIND("_",$B482)&gt;0,INDEX(WP!$A$2:$F$23,MATCH(LEFT($B482,FIND("_",$B482)-1),WP!$E$2:$E$23,0),2),IF(FIND("-",$B482)&gt;0,INDEX(WP!$A$2:$F$23,MATCH(LEFT($B482,FIND("_",$B482)-1),WP!$E$2:$E$23,0),2))),INDEX(WP!$A$2:$F$23,MATCH(Results!$B482,WP!$E$2:$E$23,0),2)),6)="Series",LEFT(IFERROR(IF(FIND("_",$B482)&gt;0,INDEX(WP!$A$2:$F$23,MATCH(LEFT($B482,FIND("_",$B482)-1),WP!$E$2:$E$23,0),2),IF(FIND("-",$B482)&gt;0,INDEX(WP!$A$2:$F$23,MATCH(LEFT($B482,FIND("_",$B482)-1),WP!$E$2:$E$23,0),2))),INDEX(WP!$A$2:$F$23,MATCH(Results!$B482,WP!$E$2:$E$23,0),2)),5),(IFERROR(IF(FIND("_",$B482)&gt;0,INDEX(WP!$A$2:$F$23,MATCH(LEFT($B482,FIND("_",$B482)-1),WP!$E$2:$E$23,0),2),IF(FIND("-",$B482)&gt;0,INDEX(WP!$A$2:$F$23,MATCH(LEFT($B482,FIND("_",$B482)-1),WP!$E$2:$E$23,0),2))),INDEX(WP!$A$2:$F$23,MATCH(Results!$B482,WP!$E$2:$E$23,0),2))))&amp;"-"&amp;$I482),"")</f>
        <v/>
      </c>
      <c r="G482" s="17" t="str">
        <f>IF(LEN(_xlfn.IFNA(IF(IFERROR(IF(FIND("_",$B482)&gt;0,MID($B482,FIND("_",$B482)+1,LEN($B482)),IF(FIND("-",$B482)&gt;0,MID($B482,FIND("-",$B482)+1,LEN($B482)))),"")="",IFERROR(VLOOKUP($F482,WP!$B$2:$C$23,2,0),VLOOKUP($C482,Series!$A$3:$F$11,6,0)),IFERROR(VLOOKUP($F482,WP!$B$2:$C$23,2,0),VLOOKUP($C482,Series!$A$3:$F$11,6,0))&amp;" - "&amp;(IFERROR(IF(FIND("_",$B482)&gt;0,MID($B482,FIND("_",$B482)+1,LEN($B482)),IF(FIND("-",$B482)&gt;0,MID($B482,FIND("-",$B482)+1,LEN($B482)))),""))),""))&lt;64,_xlfn.IFNA(IF(IFERROR(IF(FIND("_",$B482)&gt;0,MID($B482,FIND("_",$B482)+1,LEN($B482)),IF(FIND("-",$B482)&gt;0,MID($B482,FIND("-",$B482)+1,LEN($B482)))),"")="",IFERROR(VLOOKUP($F482,WP!$B$2:$C$23,2,0),VLOOKUP($C482,Series!$A$3:$F$11,6,0)),IFERROR(VLOOKUP($F482,WP!$B$2:$C$23,2,0),VLOOKUP($C482,Series!$A$3:$F$11,6,0))&amp;" - "&amp;(IFERROR(IF(FIND("_",$B482)&gt;0,MID($B482,FIND("_",$B482)+1,LEN($B482)),IF(FIND("-",$B482)&gt;0,MID($B482,FIND("-",$B482)+1,LEN($B482)))),""))),""),LEFT((_xlfn.IFNA(IF(IFERROR(IF(FIND("_",$B482)&gt;0,MID($B482,FIND("_",$B482)+1,LEN($B482)),IF(FIND("-",$B482)&gt;0,MID($B482,FIND("-",$B482)+1,LEN($B482)))),"")="",IFERROR(VLOOKUP($F482,WP!$B$2:$C$23,2,0),VLOOKUP($C482,Series!$A$3:$F$11,6,0)),IFERROR(VLOOKUP($F482,WP!$B$2:$C$23,2,0),VLOOKUP($C482,Series!$A$3:$F$11,6,0))&amp;" - "&amp;(IFERROR(IF(FIND("_",$B482)&gt;0,MID($B482,FIND("_",$B482)+1,LEN($B482)),IF(FIND("-",$B482)&gt;0,MID($B482,FIND("-",$B482)+1,LEN($B482)))),""))),"")),64))</f>
        <v/>
      </c>
      <c r="H482" s="12"/>
      <c r="I482" s="12" t="str">
        <f>IF($D482&lt;&gt;"",COUNTIF($D$7:$D482,"="&amp;$D482),"")</f>
        <v/>
      </c>
      <c r="J482"/>
      <c r="K482" s="8"/>
      <c r="L482"/>
    </row>
    <row r="483" spans="1:12" x14ac:dyDescent="0.3">
      <c r="A483" s="1"/>
      <c r="B483" s="26"/>
      <c r="C483" s="12" t="str">
        <f>_xlfn.IFNA(IFERROR(IF(FIND("_",$B483)&gt;0,INDEX(WP!$A$2:$F$23,MATCH(LEFT($B483,FIND("_",$B483)-1),WP!$E$2:$E$23,0),1),IF(FIND("-",$B483)&gt;0,INDEX(WP!$A$2:$F$23,MATCH(LEFT($B483,FIND("_",$B483)-1),WP!$E$2:$E$23,0),1))),INDEX(WP!$A$2:$F$23,MATCH(Results!$B483,WP!$E$2:$E$23,0),1)),"")</f>
        <v/>
      </c>
      <c r="D483" s="12" t="str">
        <f>IFERROR(IFERROR(IF(RIGHT(INDEX(WP!$A$2:$F$23,MATCH(IF(FIND("_",$B483)&gt;0,LEFT($B483,FIND("_",$B483)-1)),WP!$E$2:$E$23,0),2),6)="Series",LEFT(INDEX(WP!$A$2:$F$23,MATCH(IF(FIND("_",$B483)&gt;0,LEFT($B483,FIND("_",$B483)-1)),WP!$E$2:$E$23,0),2),5),""),IF(RIGHT(INDEX(WP!$A$2:$F$23,MATCH($B483,WP!$E$2:$E$23,0),2),6)="Series",LEFT(INDEX(WP!$A$2:$F$23,MATCH($B483,WP!$E$2:$E$23,0),2),5),"")),"")</f>
        <v/>
      </c>
      <c r="E483" s="17" t="str">
        <f>IFERROR(VLOOKUP(VALUE($D483),Series!$B$3:$F$11,2,0),"")</f>
        <v/>
      </c>
      <c r="F483" s="12" t="str">
        <f>_xlfn.IFNA(IF(IF($D483&lt;&gt;"",COUNTIF($E:$E,"="&amp;$D483),"")="",IF(RIGHT(IFERROR(IF(FIND("_",$B483)&gt;0,INDEX(WP!$A$2:$F$23,MATCH(LEFT($B483,FIND("_",$B483)-1),WP!$E$2:$E$23,0),2),IF(FIND("-",$B483)&gt;0,INDEX(WP!$A$2:$F$23,MATCH(LEFT($B483,FIND("_",$B483)-1),WP!$E$2:$E$23,0),2))),INDEX(WP!$A$2:$F$23,MATCH(Results!$B483,WP!$E$2:$E$23,0),2)),6)="Series",LEFT(IFERROR(IF(FIND("_",$B483)&gt;0,INDEX(WP!$A$2:$F$23,MATCH(LEFT($B483,FIND("_",$B483)-1),WP!$E$2:$E$23,0),2),IF(FIND("-",$B483)&gt;0,INDEX(WP!$A$2:$F$23,MATCH(LEFT($B483,FIND("_",$B483)-1),WP!$E$2:$E$23,0),2))),INDEX(WP!$A$2:$F$23,MATCH(Results!$B483,WP!$E$2:$E$23,0),2)),5),(IFERROR(IF(FIND("_",$B483)&gt;0,INDEX(WP!$A$2:$F$23,MATCH(LEFT($B483,FIND("_",$B483)-1),WP!$E$2:$E$23,0),2),IF(FIND("-",$B483)&gt;0,INDEX(WP!$A$2:$F$23,MATCH(LEFT($B483,FIND("_",$B483)-1),WP!$E$2:$E$23,0),2))),INDEX(WP!$A$2:$F$23,MATCH(Results!$B483,WP!$E$2:$E$23,0),2)))),IF(RIGHT(IFERROR(IF(FIND("_",$B483)&gt;0,INDEX(WP!$A$2:$F$23,MATCH(LEFT($B483,FIND("_",$B483)-1),WP!$E$2:$E$23,0),2),IF(FIND("-",$B483)&gt;0,INDEX(WP!$A$2:$F$23,MATCH(LEFT($B483,FIND("_",$B483)-1),WP!$E$2:$E$23,0),2))),INDEX(WP!$A$2:$F$23,MATCH(Results!$B483,WP!$E$2:$E$23,0),2)),6)="Series",LEFT(IFERROR(IF(FIND("_",$B483)&gt;0,INDEX(WP!$A$2:$F$23,MATCH(LEFT($B483,FIND("_",$B483)-1),WP!$E$2:$E$23,0),2),IF(FIND("-",$B483)&gt;0,INDEX(WP!$A$2:$F$23,MATCH(LEFT($B483,FIND("_",$B483)-1),WP!$E$2:$E$23,0),2))),INDEX(WP!$A$2:$F$23,MATCH(Results!$B483,WP!$E$2:$E$23,0),2)),5),(IFERROR(IF(FIND("_",$B483)&gt;0,INDEX(WP!$A$2:$F$23,MATCH(LEFT($B483,FIND("_",$B483)-1),WP!$E$2:$E$23,0),2),IF(FIND("-",$B483)&gt;0,INDEX(WP!$A$2:$F$23,MATCH(LEFT($B483,FIND("_",$B483)-1),WP!$E$2:$E$23,0),2))),INDEX(WP!$A$2:$F$23,MATCH(Results!$B483,WP!$E$2:$E$23,0),2))))&amp;"-"&amp;$I483),"")</f>
        <v/>
      </c>
      <c r="G483" s="17" t="str">
        <f>IF(LEN(_xlfn.IFNA(IF(IFERROR(IF(FIND("_",$B483)&gt;0,MID($B483,FIND("_",$B483)+1,LEN($B483)),IF(FIND("-",$B483)&gt;0,MID($B483,FIND("-",$B483)+1,LEN($B483)))),"")="",IFERROR(VLOOKUP($F483,WP!$B$2:$C$23,2,0),VLOOKUP($C483,Series!$A$3:$F$11,6,0)),IFERROR(VLOOKUP($F483,WP!$B$2:$C$23,2,0),VLOOKUP($C483,Series!$A$3:$F$11,6,0))&amp;" - "&amp;(IFERROR(IF(FIND("_",$B483)&gt;0,MID($B483,FIND("_",$B483)+1,LEN($B483)),IF(FIND("-",$B483)&gt;0,MID($B483,FIND("-",$B483)+1,LEN($B483)))),""))),""))&lt;64,_xlfn.IFNA(IF(IFERROR(IF(FIND("_",$B483)&gt;0,MID($B483,FIND("_",$B483)+1,LEN($B483)),IF(FIND("-",$B483)&gt;0,MID($B483,FIND("-",$B483)+1,LEN($B483)))),"")="",IFERROR(VLOOKUP($F483,WP!$B$2:$C$23,2,0),VLOOKUP($C483,Series!$A$3:$F$11,6,0)),IFERROR(VLOOKUP($F483,WP!$B$2:$C$23,2,0),VLOOKUP($C483,Series!$A$3:$F$11,6,0))&amp;" - "&amp;(IFERROR(IF(FIND("_",$B483)&gt;0,MID($B483,FIND("_",$B483)+1,LEN($B483)),IF(FIND("-",$B483)&gt;0,MID($B483,FIND("-",$B483)+1,LEN($B483)))),""))),""),LEFT((_xlfn.IFNA(IF(IFERROR(IF(FIND("_",$B483)&gt;0,MID($B483,FIND("_",$B483)+1,LEN($B483)),IF(FIND("-",$B483)&gt;0,MID($B483,FIND("-",$B483)+1,LEN($B483)))),"")="",IFERROR(VLOOKUP($F483,WP!$B$2:$C$23,2,0),VLOOKUP($C483,Series!$A$3:$F$11,6,0)),IFERROR(VLOOKUP($F483,WP!$B$2:$C$23,2,0),VLOOKUP($C483,Series!$A$3:$F$11,6,0))&amp;" - "&amp;(IFERROR(IF(FIND("_",$B483)&gt;0,MID($B483,FIND("_",$B483)+1,LEN($B483)),IF(FIND("-",$B483)&gt;0,MID($B483,FIND("-",$B483)+1,LEN($B483)))),""))),"")),64))</f>
        <v/>
      </c>
      <c r="H483" s="12"/>
      <c r="I483" s="12" t="str">
        <f>IF($D483&lt;&gt;"",COUNTIF($D$7:$D483,"="&amp;$D483),"")</f>
        <v/>
      </c>
      <c r="J483"/>
      <c r="K483" s="8"/>
      <c r="L483"/>
    </row>
    <row r="484" spans="1:12" x14ac:dyDescent="0.3">
      <c r="A484" s="1"/>
      <c r="B484" s="26"/>
      <c r="C484" s="12" t="str">
        <f>_xlfn.IFNA(IFERROR(IF(FIND("_",$B484)&gt;0,INDEX(WP!$A$2:$F$23,MATCH(LEFT($B484,FIND("_",$B484)-1),WP!$E$2:$E$23,0),1),IF(FIND("-",$B484)&gt;0,INDEX(WP!$A$2:$F$23,MATCH(LEFT($B484,FIND("_",$B484)-1),WP!$E$2:$E$23,0),1))),INDEX(WP!$A$2:$F$23,MATCH(Results!$B484,WP!$E$2:$E$23,0),1)),"")</f>
        <v/>
      </c>
      <c r="D484" s="12" t="str">
        <f>IFERROR(IFERROR(IF(RIGHT(INDEX(WP!$A$2:$F$23,MATCH(IF(FIND("_",$B484)&gt;0,LEFT($B484,FIND("_",$B484)-1)),WP!$E$2:$E$23,0),2),6)="Series",LEFT(INDEX(WP!$A$2:$F$23,MATCH(IF(FIND("_",$B484)&gt;0,LEFT($B484,FIND("_",$B484)-1)),WP!$E$2:$E$23,0),2),5),""),IF(RIGHT(INDEX(WP!$A$2:$F$23,MATCH($B484,WP!$E$2:$E$23,0),2),6)="Series",LEFT(INDEX(WP!$A$2:$F$23,MATCH($B484,WP!$E$2:$E$23,0),2),5),"")),"")</f>
        <v/>
      </c>
      <c r="E484" s="17" t="str">
        <f>IFERROR(VLOOKUP(VALUE($D484),Series!$B$3:$F$11,2,0),"")</f>
        <v/>
      </c>
      <c r="F484" s="12" t="str">
        <f>_xlfn.IFNA(IF(IF($D484&lt;&gt;"",COUNTIF($E:$E,"="&amp;$D484),"")="",IF(RIGHT(IFERROR(IF(FIND("_",$B484)&gt;0,INDEX(WP!$A$2:$F$23,MATCH(LEFT($B484,FIND("_",$B484)-1),WP!$E$2:$E$23,0),2),IF(FIND("-",$B484)&gt;0,INDEX(WP!$A$2:$F$23,MATCH(LEFT($B484,FIND("_",$B484)-1),WP!$E$2:$E$23,0),2))),INDEX(WP!$A$2:$F$23,MATCH(Results!$B484,WP!$E$2:$E$23,0),2)),6)="Series",LEFT(IFERROR(IF(FIND("_",$B484)&gt;0,INDEX(WP!$A$2:$F$23,MATCH(LEFT($B484,FIND("_",$B484)-1),WP!$E$2:$E$23,0),2),IF(FIND("-",$B484)&gt;0,INDEX(WP!$A$2:$F$23,MATCH(LEFT($B484,FIND("_",$B484)-1),WP!$E$2:$E$23,0),2))),INDEX(WP!$A$2:$F$23,MATCH(Results!$B484,WP!$E$2:$E$23,0),2)),5),(IFERROR(IF(FIND("_",$B484)&gt;0,INDEX(WP!$A$2:$F$23,MATCH(LEFT($B484,FIND("_",$B484)-1),WP!$E$2:$E$23,0),2),IF(FIND("-",$B484)&gt;0,INDEX(WP!$A$2:$F$23,MATCH(LEFT($B484,FIND("_",$B484)-1),WP!$E$2:$E$23,0),2))),INDEX(WP!$A$2:$F$23,MATCH(Results!$B484,WP!$E$2:$E$23,0),2)))),IF(RIGHT(IFERROR(IF(FIND("_",$B484)&gt;0,INDEX(WP!$A$2:$F$23,MATCH(LEFT($B484,FIND("_",$B484)-1),WP!$E$2:$E$23,0),2),IF(FIND("-",$B484)&gt;0,INDEX(WP!$A$2:$F$23,MATCH(LEFT($B484,FIND("_",$B484)-1),WP!$E$2:$E$23,0),2))),INDEX(WP!$A$2:$F$23,MATCH(Results!$B484,WP!$E$2:$E$23,0),2)),6)="Series",LEFT(IFERROR(IF(FIND("_",$B484)&gt;0,INDEX(WP!$A$2:$F$23,MATCH(LEFT($B484,FIND("_",$B484)-1),WP!$E$2:$E$23,0),2),IF(FIND("-",$B484)&gt;0,INDEX(WP!$A$2:$F$23,MATCH(LEFT($B484,FIND("_",$B484)-1),WP!$E$2:$E$23,0),2))),INDEX(WP!$A$2:$F$23,MATCH(Results!$B484,WP!$E$2:$E$23,0),2)),5),(IFERROR(IF(FIND("_",$B484)&gt;0,INDEX(WP!$A$2:$F$23,MATCH(LEFT($B484,FIND("_",$B484)-1),WP!$E$2:$E$23,0),2),IF(FIND("-",$B484)&gt;0,INDEX(WP!$A$2:$F$23,MATCH(LEFT($B484,FIND("_",$B484)-1),WP!$E$2:$E$23,0),2))),INDEX(WP!$A$2:$F$23,MATCH(Results!$B484,WP!$E$2:$E$23,0),2))))&amp;"-"&amp;$I484),"")</f>
        <v/>
      </c>
      <c r="G484" s="17" t="str">
        <f>IF(LEN(_xlfn.IFNA(IF(IFERROR(IF(FIND("_",$B484)&gt;0,MID($B484,FIND("_",$B484)+1,LEN($B484)),IF(FIND("-",$B484)&gt;0,MID($B484,FIND("-",$B484)+1,LEN($B484)))),"")="",IFERROR(VLOOKUP($F484,WP!$B$2:$C$23,2,0),VLOOKUP($C484,Series!$A$3:$F$11,6,0)),IFERROR(VLOOKUP($F484,WP!$B$2:$C$23,2,0),VLOOKUP($C484,Series!$A$3:$F$11,6,0))&amp;" - "&amp;(IFERROR(IF(FIND("_",$B484)&gt;0,MID($B484,FIND("_",$B484)+1,LEN($B484)),IF(FIND("-",$B484)&gt;0,MID($B484,FIND("-",$B484)+1,LEN($B484)))),""))),""))&lt;64,_xlfn.IFNA(IF(IFERROR(IF(FIND("_",$B484)&gt;0,MID($B484,FIND("_",$B484)+1,LEN($B484)),IF(FIND("-",$B484)&gt;0,MID($B484,FIND("-",$B484)+1,LEN($B484)))),"")="",IFERROR(VLOOKUP($F484,WP!$B$2:$C$23,2,0),VLOOKUP($C484,Series!$A$3:$F$11,6,0)),IFERROR(VLOOKUP($F484,WP!$B$2:$C$23,2,0),VLOOKUP($C484,Series!$A$3:$F$11,6,0))&amp;" - "&amp;(IFERROR(IF(FIND("_",$B484)&gt;0,MID($B484,FIND("_",$B484)+1,LEN($B484)),IF(FIND("-",$B484)&gt;0,MID($B484,FIND("-",$B484)+1,LEN($B484)))),""))),""),LEFT((_xlfn.IFNA(IF(IFERROR(IF(FIND("_",$B484)&gt;0,MID($B484,FIND("_",$B484)+1,LEN($B484)),IF(FIND("-",$B484)&gt;0,MID($B484,FIND("-",$B484)+1,LEN($B484)))),"")="",IFERROR(VLOOKUP($F484,WP!$B$2:$C$23,2,0),VLOOKUP($C484,Series!$A$3:$F$11,6,0)),IFERROR(VLOOKUP($F484,WP!$B$2:$C$23,2,0),VLOOKUP($C484,Series!$A$3:$F$11,6,0))&amp;" - "&amp;(IFERROR(IF(FIND("_",$B484)&gt;0,MID($B484,FIND("_",$B484)+1,LEN($B484)),IF(FIND("-",$B484)&gt;0,MID($B484,FIND("-",$B484)+1,LEN($B484)))),""))),"")),64))</f>
        <v/>
      </c>
      <c r="H484" s="12"/>
      <c r="I484" s="12" t="str">
        <f>IF($D484&lt;&gt;"",COUNTIF($D$7:$D484,"="&amp;$D484),"")</f>
        <v/>
      </c>
      <c r="J484"/>
      <c r="K484" s="8"/>
      <c r="L484"/>
    </row>
    <row r="485" spans="1:12" x14ac:dyDescent="0.3">
      <c r="A485" s="1"/>
      <c r="B485" s="26"/>
      <c r="C485" s="12" t="str">
        <f>_xlfn.IFNA(IFERROR(IF(FIND("_",$B485)&gt;0,INDEX(WP!$A$2:$F$23,MATCH(LEFT($B485,FIND("_",$B485)-1),WP!$E$2:$E$23,0),1),IF(FIND("-",$B485)&gt;0,INDEX(WP!$A$2:$F$23,MATCH(LEFT($B485,FIND("_",$B485)-1),WP!$E$2:$E$23,0),1))),INDEX(WP!$A$2:$F$23,MATCH(Results!$B485,WP!$E$2:$E$23,0),1)),"")</f>
        <v/>
      </c>
      <c r="D485" s="12" t="str">
        <f>IFERROR(IFERROR(IF(RIGHT(INDEX(WP!$A$2:$F$23,MATCH(IF(FIND("_",$B485)&gt;0,LEFT($B485,FIND("_",$B485)-1)),WP!$E$2:$E$23,0),2),6)="Series",LEFT(INDEX(WP!$A$2:$F$23,MATCH(IF(FIND("_",$B485)&gt;0,LEFT($B485,FIND("_",$B485)-1)),WP!$E$2:$E$23,0),2),5),""),IF(RIGHT(INDEX(WP!$A$2:$F$23,MATCH($B485,WP!$E$2:$E$23,0),2),6)="Series",LEFT(INDEX(WP!$A$2:$F$23,MATCH($B485,WP!$E$2:$E$23,0),2),5),"")),"")</f>
        <v/>
      </c>
      <c r="E485" s="17" t="str">
        <f>IFERROR(VLOOKUP(VALUE($D485),Series!$B$3:$F$11,2,0),"")</f>
        <v/>
      </c>
      <c r="F485" s="12" t="str">
        <f>_xlfn.IFNA(IF(IF($D485&lt;&gt;"",COUNTIF($E:$E,"="&amp;$D485),"")="",IF(RIGHT(IFERROR(IF(FIND("_",$B485)&gt;0,INDEX(WP!$A$2:$F$23,MATCH(LEFT($B485,FIND("_",$B485)-1),WP!$E$2:$E$23,0),2),IF(FIND("-",$B485)&gt;0,INDEX(WP!$A$2:$F$23,MATCH(LEFT($B485,FIND("_",$B485)-1),WP!$E$2:$E$23,0),2))),INDEX(WP!$A$2:$F$23,MATCH(Results!$B485,WP!$E$2:$E$23,0),2)),6)="Series",LEFT(IFERROR(IF(FIND("_",$B485)&gt;0,INDEX(WP!$A$2:$F$23,MATCH(LEFT($B485,FIND("_",$B485)-1),WP!$E$2:$E$23,0),2),IF(FIND("-",$B485)&gt;0,INDEX(WP!$A$2:$F$23,MATCH(LEFT($B485,FIND("_",$B485)-1),WP!$E$2:$E$23,0),2))),INDEX(WP!$A$2:$F$23,MATCH(Results!$B485,WP!$E$2:$E$23,0),2)),5),(IFERROR(IF(FIND("_",$B485)&gt;0,INDEX(WP!$A$2:$F$23,MATCH(LEFT($B485,FIND("_",$B485)-1),WP!$E$2:$E$23,0),2),IF(FIND("-",$B485)&gt;0,INDEX(WP!$A$2:$F$23,MATCH(LEFT($B485,FIND("_",$B485)-1),WP!$E$2:$E$23,0),2))),INDEX(WP!$A$2:$F$23,MATCH(Results!$B485,WP!$E$2:$E$23,0),2)))),IF(RIGHT(IFERROR(IF(FIND("_",$B485)&gt;0,INDEX(WP!$A$2:$F$23,MATCH(LEFT($B485,FIND("_",$B485)-1),WP!$E$2:$E$23,0),2),IF(FIND("-",$B485)&gt;0,INDEX(WP!$A$2:$F$23,MATCH(LEFT($B485,FIND("_",$B485)-1),WP!$E$2:$E$23,0),2))),INDEX(WP!$A$2:$F$23,MATCH(Results!$B485,WP!$E$2:$E$23,0),2)),6)="Series",LEFT(IFERROR(IF(FIND("_",$B485)&gt;0,INDEX(WP!$A$2:$F$23,MATCH(LEFT($B485,FIND("_",$B485)-1),WP!$E$2:$E$23,0),2),IF(FIND("-",$B485)&gt;0,INDEX(WP!$A$2:$F$23,MATCH(LEFT($B485,FIND("_",$B485)-1),WP!$E$2:$E$23,0),2))),INDEX(WP!$A$2:$F$23,MATCH(Results!$B485,WP!$E$2:$E$23,0),2)),5),(IFERROR(IF(FIND("_",$B485)&gt;0,INDEX(WP!$A$2:$F$23,MATCH(LEFT($B485,FIND("_",$B485)-1),WP!$E$2:$E$23,0),2),IF(FIND("-",$B485)&gt;0,INDEX(WP!$A$2:$F$23,MATCH(LEFT($B485,FIND("_",$B485)-1),WP!$E$2:$E$23,0),2))),INDEX(WP!$A$2:$F$23,MATCH(Results!$B485,WP!$E$2:$E$23,0),2))))&amp;"-"&amp;$I485),"")</f>
        <v/>
      </c>
      <c r="G485" s="17" t="str">
        <f>IF(LEN(_xlfn.IFNA(IF(IFERROR(IF(FIND("_",$B485)&gt;0,MID($B485,FIND("_",$B485)+1,LEN($B485)),IF(FIND("-",$B485)&gt;0,MID($B485,FIND("-",$B485)+1,LEN($B485)))),"")="",IFERROR(VLOOKUP($F485,WP!$B$2:$C$23,2,0),VLOOKUP($C485,Series!$A$3:$F$11,6,0)),IFERROR(VLOOKUP($F485,WP!$B$2:$C$23,2,0),VLOOKUP($C485,Series!$A$3:$F$11,6,0))&amp;" - "&amp;(IFERROR(IF(FIND("_",$B485)&gt;0,MID($B485,FIND("_",$B485)+1,LEN($B485)),IF(FIND("-",$B485)&gt;0,MID($B485,FIND("-",$B485)+1,LEN($B485)))),""))),""))&lt;64,_xlfn.IFNA(IF(IFERROR(IF(FIND("_",$B485)&gt;0,MID($B485,FIND("_",$B485)+1,LEN($B485)),IF(FIND("-",$B485)&gt;0,MID($B485,FIND("-",$B485)+1,LEN($B485)))),"")="",IFERROR(VLOOKUP($F485,WP!$B$2:$C$23,2,0),VLOOKUP($C485,Series!$A$3:$F$11,6,0)),IFERROR(VLOOKUP($F485,WP!$B$2:$C$23,2,0),VLOOKUP($C485,Series!$A$3:$F$11,6,0))&amp;" - "&amp;(IFERROR(IF(FIND("_",$B485)&gt;0,MID($B485,FIND("_",$B485)+1,LEN($B485)),IF(FIND("-",$B485)&gt;0,MID($B485,FIND("-",$B485)+1,LEN($B485)))),""))),""),LEFT((_xlfn.IFNA(IF(IFERROR(IF(FIND("_",$B485)&gt;0,MID($B485,FIND("_",$B485)+1,LEN($B485)),IF(FIND("-",$B485)&gt;0,MID($B485,FIND("-",$B485)+1,LEN($B485)))),"")="",IFERROR(VLOOKUP($F485,WP!$B$2:$C$23,2,0),VLOOKUP($C485,Series!$A$3:$F$11,6,0)),IFERROR(VLOOKUP($F485,WP!$B$2:$C$23,2,0),VLOOKUP($C485,Series!$A$3:$F$11,6,0))&amp;" - "&amp;(IFERROR(IF(FIND("_",$B485)&gt;0,MID($B485,FIND("_",$B485)+1,LEN($B485)),IF(FIND("-",$B485)&gt;0,MID($B485,FIND("-",$B485)+1,LEN($B485)))),""))),"")),64))</f>
        <v/>
      </c>
      <c r="H485" s="12"/>
      <c r="I485" s="12" t="str">
        <f>IF($D485&lt;&gt;"",COUNTIF($D$7:$D485,"="&amp;$D485),"")</f>
        <v/>
      </c>
      <c r="J485"/>
      <c r="K485" s="8"/>
      <c r="L485"/>
    </row>
    <row r="486" spans="1:12" x14ac:dyDescent="0.3">
      <c r="A486" s="1"/>
      <c r="B486" s="26"/>
      <c r="C486" s="12" t="str">
        <f>_xlfn.IFNA(IFERROR(IF(FIND("_",$B486)&gt;0,INDEX(WP!$A$2:$F$23,MATCH(LEFT($B486,FIND("_",$B486)-1),WP!$E$2:$E$23,0),1),IF(FIND("-",$B486)&gt;0,INDEX(WP!$A$2:$F$23,MATCH(LEFT($B486,FIND("_",$B486)-1),WP!$E$2:$E$23,0),1))),INDEX(WP!$A$2:$F$23,MATCH(Results!$B486,WP!$E$2:$E$23,0),1)),"")</f>
        <v/>
      </c>
      <c r="D486" s="12" t="str">
        <f>IFERROR(IFERROR(IF(RIGHT(INDEX(WP!$A$2:$F$23,MATCH(IF(FIND("_",$B486)&gt;0,LEFT($B486,FIND("_",$B486)-1)),WP!$E$2:$E$23,0),2),6)="Series",LEFT(INDEX(WP!$A$2:$F$23,MATCH(IF(FIND("_",$B486)&gt;0,LEFT($B486,FIND("_",$B486)-1)),WP!$E$2:$E$23,0),2),5),""),IF(RIGHT(INDEX(WP!$A$2:$F$23,MATCH($B486,WP!$E$2:$E$23,0),2),6)="Series",LEFT(INDEX(WP!$A$2:$F$23,MATCH($B486,WP!$E$2:$E$23,0),2),5),"")),"")</f>
        <v/>
      </c>
      <c r="E486" s="17" t="str">
        <f>IFERROR(VLOOKUP(VALUE($D486),Series!$B$3:$F$11,2,0),"")</f>
        <v/>
      </c>
      <c r="F486" s="12" t="str">
        <f>_xlfn.IFNA(IF(IF($D486&lt;&gt;"",COUNTIF($E:$E,"="&amp;$D486),"")="",IF(RIGHT(IFERROR(IF(FIND("_",$B486)&gt;0,INDEX(WP!$A$2:$F$23,MATCH(LEFT($B486,FIND("_",$B486)-1),WP!$E$2:$E$23,0),2),IF(FIND("-",$B486)&gt;0,INDEX(WP!$A$2:$F$23,MATCH(LEFT($B486,FIND("_",$B486)-1),WP!$E$2:$E$23,0),2))),INDEX(WP!$A$2:$F$23,MATCH(Results!$B486,WP!$E$2:$E$23,0),2)),6)="Series",LEFT(IFERROR(IF(FIND("_",$B486)&gt;0,INDEX(WP!$A$2:$F$23,MATCH(LEFT($B486,FIND("_",$B486)-1),WP!$E$2:$E$23,0),2),IF(FIND("-",$B486)&gt;0,INDEX(WP!$A$2:$F$23,MATCH(LEFT($B486,FIND("_",$B486)-1),WP!$E$2:$E$23,0),2))),INDEX(WP!$A$2:$F$23,MATCH(Results!$B486,WP!$E$2:$E$23,0),2)),5),(IFERROR(IF(FIND("_",$B486)&gt;0,INDEX(WP!$A$2:$F$23,MATCH(LEFT($B486,FIND("_",$B486)-1),WP!$E$2:$E$23,0),2),IF(FIND("-",$B486)&gt;0,INDEX(WP!$A$2:$F$23,MATCH(LEFT($B486,FIND("_",$B486)-1),WP!$E$2:$E$23,0),2))),INDEX(WP!$A$2:$F$23,MATCH(Results!$B486,WP!$E$2:$E$23,0),2)))),IF(RIGHT(IFERROR(IF(FIND("_",$B486)&gt;0,INDEX(WP!$A$2:$F$23,MATCH(LEFT($B486,FIND("_",$B486)-1),WP!$E$2:$E$23,0),2),IF(FIND("-",$B486)&gt;0,INDEX(WP!$A$2:$F$23,MATCH(LEFT($B486,FIND("_",$B486)-1),WP!$E$2:$E$23,0),2))),INDEX(WP!$A$2:$F$23,MATCH(Results!$B486,WP!$E$2:$E$23,0),2)),6)="Series",LEFT(IFERROR(IF(FIND("_",$B486)&gt;0,INDEX(WP!$A$2:$F$23,MATCH(LEFT($B486,FIND("_",$B486)-1),WP!$E$2:$E$23,0),2),IF(FIND("-",$B486)&gt;0,INDEX(WP!$A$2:$F$23,MATCH(LEFT($B486,FIND("_",$B486)-1),WP!$E$2:$E$23,0),2))),INDEX(WP!$A$2:$F$23,MATCH(Results!$B486,WP!$E$2:$E$23,0),2)),5),(IFERROR(IF(FIND("_",$B486)&gt;0,INDEX(WP!$A$2:$F$23,MATCH(LEFT($B486,FIND("_",$B486)-1),WP!$E$2:$E$23,0),2),IF(FIND("-",$B486)&gt;0,INDEX(WP!$A$2:$F$23,MATCH(LEFT($B486,FIND("_",$B486)-1),WP!$E$2:$E$23,0),2))),INDEX(WP!$A$2:$F$23,MATCH(Results!$B486,WP!$E$2:$E$23,0),2))))&amp;"-"&amp;$I486),"")</f>
        <v/>
      </c>
      <c r="G486" s="17" t="str">
        <f>IF(LEN(_xlfn.IFNA(IF(IFERROR(IF(FIND("_",$B486)&gt;0,MID($B486,FIND("_",$B486)+1,LEN($B486)),IF(FIND("-",$B486)&gt;0,MID($B486,FIND("-",$B486)+1,LEN($B486)))),"")="",IFERROR(VLOOKUP($F486,WP!$B$2:$C$23,2,0),VLOOKUP($C486,Series!$A$3:$F$11,6,0)),IFERROR(VLOOKUP($F486,WP!$B$2:$C$23,2,0),VLOOKUP($C486,Series!$A$3:$F$11,6,0))&amp;" - "&amp;(IFERROR(IF(FIND("_",$B486)&gt;0,MID($B486,FIND("_",$B486)+1,LEN($B486)),IF(FIND("-",$B486)&gt;0,MID($B486,FIND("-",$B486)+1,LEN($B486)))),""))),""))&lt;64,_xlfn.IFNA(IF(IFERROR(IF(FIND("_",$B486)&gt;0,MID($B486,FIND("_",$B486)+1,LEN($B486)),IF(FIND("-",$B486)&gt;0,MID($B486,FIND("-",$B486)+1,LEN($B486)))),"")="",IFERROR(VLOOKUP($F486,WP!$B$2:$C$23,2,0),VLOOKUP($C486,Series!$A$3:$F$11,6,0)),IFERROR(VLOOKUP($F486,WP!$B$2:$C$23,2,0),VLOOKUP($C486,Series!$A$3:$F$11,6,0))&amp;" - "&amp;(IFERROR(IF(FIND("_",$B486)&gt;0,MID($B486,FIND("_",$B486)+1,LEN($B486)),IF(FIND("-",$B486)&gt;0,MID($B486,FIND("-",$B486)+1,LEN($B486)))),""))),""),LEFT((_xlfn.IFNA(IF(IFERROR(IF(FIND("_",$B486)&gt;0,MID($B486,FIND("_",$B486)+1,LEN($B486)),IF(FIND("-",$B486)&gt;0,MID($B486,FIND("-",$B486)+1,LEN($B486)))),"")="",IFERROR(VLOOKUP($F486,WP!$B$2:$C$23,2,0),VLOOKUP($C486,Series!$A$3:$F$11,6,0)),IFERROR(VLOOKUP($F486,WP!$B$2:$C$23,2,0),VLOOKUP($C486,Series!$A$3:$F$11,6,0))&amp;" - "&amp;(IFERROR(IF(FIND("_",$B486)&gt;0,MID($B486,FIND("_",$B486)+1,LEN($B486)),IF(FIND("-",$B486)&gt;0,MID($B486,FIND("-",$B486)+1,LEN($B486)))),""))),"")),64))</f>
        <v/>
      </c>
      <c r="H486" s="12"/>
      <c r="I486" s="12" t="str">
        <f>IF($D486&lt;&gt;"",COUNTIF($D$7:$D486,"="&amp;$D486),"")</f>
        <v/>
      </c>
      <c r="J486"/>
      <c r="K486" s="8"/>
      <c r="L486"/>
    </row>
    <row r="487" spans="1:12" x14ac:dyDescent="0.3">
      <c r="A487" s="1"/>
      <c r="B487" s="26"/>
      <c r="C487" s="12" t="str">
        <f>_xlfn.IFNA(IFERROR(IF(FIND("_",$B487)&gt;0,INDEX(WP!$A$2:$F$23,MATCH(LEFT($B487,FIND("_",$B487)-1),WP!$E$2:$E$23,0),1),IF(FIND("-",$B487)&gt;0,INDEX(WP!$A$2:$F$23,MATCH(LEFT($B487,FIND("_",$B487)-1),WP!$E$2:$E$23,0),1))),INDEX(WP!$A$2:$F$23,MATCH(Results!$B487,WP!$E$2:$E$23,0),1)),"")</f>
        <v/>
      </c>
      <c r="D487" s="12" t="str">
        <f>IFERROR(IFERROR(IF(RIGHT(INDEX(WP!$A$2:$F$23,MATCH(IF(FIND("_",$B487)&gt;0,LEFT($B487,FIND("_",$B487)-1)),WP!$E$2:$E$23,0),2),6)="Series",LEFT(INDEX(WP!$A$2:$F$23,MATCH(IF(FIND("_",$B487)&gt;0,LEFT($B487,FIND("_",$B487)-1)),WP!$E$2:$E$23,0),2),5),""),IF(RIGHT(INDEX(WP!$A$2:$F$23,MATCH($B487,WP!$E$2:$E$23,0),2),6)="Series",LEFT(INDEX(WP!$A$2:$F$23,MATCH($B487,WP!$E$2:$E$23,0),2),5),"")),"")</f>
        <v/>
      </c>
      <c r="E487" s="17" t="str">
        <f>IFERROR(VLOOKUP(VALUE($D487),Series!$B$3:$F$11,2,0),"")</f>
        <v/>
      </c>
      <c r="F487" s="12" t="str">
        <f>_xlfn.IFNA(IF(IF($D487&lt;&gt;"",COUNTIF($E:$E,"="&amp;$D487),"")="",IF(RIGHT(IFERROR(IF(FIND("_",$B487)&gt;0,INDEX(WP!$A$2:$F$23,MATCH(LEFT($B487,FIND("_",$B487)-1),WP!$E$2:$E$23,0),2),IF(FIND("-",$B487)&gt;0,INDEX(WP!$A$2:$F$23,MATCH(LEFT($B487,FIND("_",$B487)-1),WP!$E$2:$E$23,0),2))),INDEX(WP!$A$2:$F$23,MATCH(Results!$B487,WP!$E$2:$E$23,0),2)),6)="Series",LEFT(IFERROR(IF(FIND("_",$B487)&gt;0,INDEX(WP!$A$2:$F$23,MATCH(LEFT($B487,FIND("_",$B487)-1),WP!$E$2:$E$23,0),2),IF(FIND("-",$B487)&gt;0,INDEX(WP!$A$2:$F$23,MATCH(LEFT($B487,FIND("_",$B487)-1),WP!$E$2:$E$23,0),2))),INDEX(WP!$A$2:$F$23,MATCH(Results!$B487,WP!$E$2:$E$23,0),2)),5),(IFERROR(IF(FIND("_",$B487)&gt;0,INDEX(WP!$A$2:$F$23,MATCH(LEFT($B487,FIND("_",$B487)-1),WP!$E$2:$E$23,0),2),IF(FIND("-",$B487)&gt;0,INDEX(WP!$A$2:$F$23,MATCH(LEFT($B487,FIND("_",$B487)-1),WP!$E$2:$E$23,0),2))),INDEX(WP!$A$2:$F$23,MATCH(Results!$B487,WP!$E$2:$E$23,0),2)))),IF(RIGHT(IFERROR(IF(FIND("_",$B487)&gt;0,INDEX(WP!$A$2:$F$23,MATCH(LEFT($B487,FIND("_",$B487)-1),WP!$E$2:$E$23,0),2),IF(FIND("-",$B487)&gt;0,INDEX(WP!$A$2:$F$23,MATCH(LEFT($B487,FIND("_",$B487)-1),WP!$E$2:$E$23,0),2))),INDEX(WP!$A$2:$F$23,MATCH(Results!$B487,WP!$E$2:$E$23,0),2)),6)="Series",LEFT(IFERROR(IF(FIND("_",$B487)&gt;0,INDEX(WP!$A$2:$F$23,MATCH(LEFT($B487,FIND("_",$B487)-1),WP!$E$2:$E$23,0),2),IF(FIND("-",$B487)&gt;0,INDEX(WP!$A$2:$F$23,MATCH(LEFT($B487,FIND("_",$B487)-1),WP!$E$2:$E$23,0),2))),INDEX(WP!$A$2:$F$23,MATCH(Results!$B487,WP!$E$2:$E$23,0),2)),5),(IFERROR(IF(FIND("_",$B487)&gt;0,INDEX(WP!$A$2:$F$23,MATCH(LEFT($B487,FIND("_",$B487)-1),WP!$E$2:$E$23,0),2),IF(FIND("-",$B487)&gt;0,INDEX(WP!$A$2:$F$23,MATCH(LEFT($B487,FIND("_",$B487)-1),WP!$E$2:$E$23,0),2))),INDEX(WP!$A$2:$F$23,MATCH(Results!$B487,WP!$E$2:$E$23,0),2))))&amp;"-"&amp;$I487),"")</f>
        <v/>
      </c>
      <c r="G487" s="17" t="str">
        <f>IF(LEN(_xlfn.IFNA(IF(IFERROR(IF(FIND("_",$B487)&gt;0,MID($B487,FIND("_",$B487)+1,LEN($B487)),IF(FIND("-",$B487)&gt;0,MID($B487,FIND("-",$B487)+1,LEN($B487)))),"")="",IFERROR(VLOOKUP($F487,WP!$B$2:$C$23,2,0),VLOOKUP($C487,Series!$A$3:$F$11,6,0)),IFERROR(VLOOKUP($F487,WP!$B$2:$C$23,2,0),VLOOKUP($C487,Series!$A$3:$F$11,6,0))&amp;" - "&amp;(IFERROR(IF(FIND("_",$B487)&gt;0,MID($B487,FIND("_",$B487)+1,LEN($B487)),IF(FIND("-",$B487)&gt;0,MID($B487,FIND("-",$B487)+1,LEN($B487)))),""))),""))&lt;64,_xlfn.IFNA(IF(IFERROR(IF(FIND("_",$B487)&gt;0,MID($B487,FIND("_",$B487)+1,LEN($B487)),IF(FIND("-",$B487)&gt;0,MID($B487,FIND("-",$B487)+1,LEN($B487)))),"")="",IFERROR(VLOOKUP($F487,WP!$B$2:$C$23,2,0),VLOOKUP($C487,Series!$A$3:$F$11,6,0)),IFERROR(VLOOKUP($F487,WP!$B$2:$C$23,2,0),VLOOKUP($C487,Series!$A$3:$F$11,6,0))&amp;" - "&amp;(IFERROR(IF(FIND("_",$B487)&gt;0,MID($B487,FIND("_",$B487)+1,LEN($B487)),IF(FIND("-",$B487)&gt;0,MID($B487,FIND("-",$B487)+1,LEN($B487)))),""))),""),LEFT((_xlfn.IFNA(IF(IFERROR(IF(FIND("_",$B487)&gt;0,MID($B487,FIND("_",$B487)+1,LEN($B487)),IF(FIND("-",$B487)&gt;0,MID($B487,FIND("-",$B487)+1,LEN($B487)))),"")="",IFERROR(VLOOKUP($F487,WP!$B$2:$C$23,2,0),VLOOKUP($C487,Series!$A$3:$F$11,6,0)),IFERROR(VLOOKUP($F487,WP!$B$2:$C$23,2,0),VLOOKUP($C487,Series!$A$3:$F$11,6,0))&amp;" - "&amp;(IFERROR(IF(FIND("_",$B487)&gt;0,MID($B487,FIND("_",$B487)+1,LEN($B487)),IF(FIND("-",$B487)&gt;0,MID($B487,FIND("-",$B487)+1,LEN($B487)))),""))),"")),64))</f>
        <v/>
      </c>
      <c r="H487" s="12"/>
      <c r="I487" s="12" t="str">
        <f>IF($D487&lt;&gt;"",COUNTIF($D$7:$D487,"="&amp;$D487),"")</f>
        <v/>
      </c>
      <c r="J487"/>
      <c r="K487" s="8"/>
      <c r="L487"/>
    </row>
    <row r="488" spans="1:12" x14ac:dyDescent="0.3">
      <c r="A488" s="1"/>
      <c r="B488" s="26"/>
      <c r="C488" s="12" t="str">
        <f>_xlfn.IFNA(IFERROR(IF(FIND("_",$B488)&gt;0,INDEX(WP!$A$2:$F$23,MATCH(LEFT($B488,FIND("_",$B488)-1),WP!$E$2:$E$23,0),1),IF(FIND("-",$B488)&gt;0,INDEX(WP!$A$2:$F$23,MATCH(LEFT($B488,FIND("_",$B488)-1),WP!$E$2:$E$23,0),1))),INDEX(WP!$A$2:$F$23,MATCH(Results!$B488,WP!$E$2:$E$23,0),1)),"")</f>
        <v/>
      </c>
      <c r="D488" s="12" t="str">
        <f>IFERROR(IFERROR(IF(RIGHT(INDEX(WP!$A$2:$F$23,MATCH(IF(FIND("_",$B488)&gt;0,LEFT($B488,FIND("_",$B488)-1)),WP!$E$2:$E$23,0),2),6)="Series",LEFT(INDEX(WP!$A$2:$F$23,MATCH(IF(FIND("_",$B488)&gt;0,LEFT($B488,FIND("_",$B488)-1)),WP!$E$2:$E$23,0),2),5),""),IF(RIGHT(INDEX(WP!$A$2:$F$23,MATCH($B488,WP!$E$2:$E$23,0),2),6)="Series",LEFT(INDEX(WP!$A$2:$F$23,MATCH($B488,WP!$E$2:$E$23,0),2),5),"")),"")</f>
        <v/>
      </c>
      <c r="E488" s="17" t="str">
        <f>IFERROR(VLOOKUP(VALUE($D488),Series!$B$3:$F$11,2,0),"")</f>
        <v/>
      </c>
      <c r="F488" s="12" t="str">
        <f>_xlfn.IFNA(IF(IF($D488&lt;&gt;"",COUNTIF($E:$E,"="&amp;$D488),"")="",IF(RIGHT(IFERROR(IF(FIND("_",$B488)&gt;0,INDEX(WP!$A$2:$F$23,MATCH(LEFT($B488,FIND("_",$B488)-1),WP!$E$2:$E$23,0),2),IF(FIND("-",$B488)&gt;0,INDEX(WP!$A$2:$F$23,MATCH(LEFT($B488,FIND("_",$B488)-1),WP!$E$2:$E$23,0),2))),INDEX(WP!$A$2:$F$23,MATCH(Results!$B488,WP!$E$2:$E$23,0),2)),6)="Series",LEFT(IFERROR(IF(FIND("_",$B488)&gt;0,INDEX(WP!$A$2:$F$23,MATCH(LEFT($B488,FIND("_",$B488)-1),WP!$E$2:$E$23,0),2),IF(FIND("-",$B488)&gt;0,INDEX(WP!$A$2:$F$23,MATCH(LEFT($B488,FIND("_",$B488)-1),WP!$E$2:$E$23,0),2))),INDEX(WP!$A$2:$F$23,MATCH(Results!$B488,WP!$E$2:$E$23,0),2)),5),(IFERROR(IF(FIND("_",$B488)&gt;0,INDEX(WP!$A$2:$F$23,MATCH(LEFT($B488,FIND("_",$B488)-1),WP!$E$2:$E$23,0),2),IF(FIND("-",$B488)&gt;0,INDEX(WP!$A$2:$F$23,MATCH(LEFT($B488,FIND("_",$B488)-1),WP!$E$2:$E$23,0),2))),INDEX(WP!$A$2:$F$23,MATCH(Results!$B488,WP!$E$2:$E$23,0),2)))),IF(RIGHT(IFERROR(IF(FIND("_",$B488)&gt;0,INDEX(WP!$A$2:$F$23,MATCH(LEFT($B488,FIND("_",$B488)-1),WP!$E$2:$E$23,0),2),IF(FIND("-",$B488)&gt;0,INDEX(WP!$A$2:$F$23,MATCH(LEFT($B488,FIND("_",$B488)-1),WP!$E$2:$E$23,0),2))),INDEX(WP!$A$2:$F$23,MATCH(Results!$B488,WP!$E$2:$E$23,0),2)),6)="Series",LEFT(IFERROR(IF(FIND("_",$B488)&gt;0,INDEX(WP!$A$2:$F$23,MATCH(LEFT($B488,FIND("_",$B488)-1),WP!$E$2:$E$23,0),2),IF(FIND("-",$B488)&gt;0,INDEX(WP!$A$2:$F$23,MATCH(LEFT($B488,FIND("_",$B488)-1),WP!$E$2:$E$23,0),2))),INDEX(WP!$A$2:$F$23,MATCH(Results!$B488,WP!$E$2:$E$23,0),2)),5),(IFERROR(IF(FIND("_",$B488)&gt;0,INDEX(WP!$A$2:$F$23,MATCH(LEFT($B488,FIND("_",$B488)-1),WP!$E$2:$E$23,0),2),IF(FIND("-",$B488)&gt;0,INDEX(WP!$A$2:$F$23,MATCH(LEFT($B488,FIND("_",$B488)-1),WP!$E$2:$E$23,0),2))),INDEX(WP!$A$2:$F$23,MATCH(Results!$B488,WP!$E$2:$E$23,0),2))))&amp;"-"&amp;$I488),"")</f>
        <v/>
      </c>
      <c r="G488" s="17" t="str">
        <f>IF(LEN(_xlfn.IFNA(IF(IFERROR(IF(FIND("_",$B488)&gt;0,MID($B488,FIND("_",$B488)+1,LEN($B488)),IF(FIND("-",$B488)&gt;0,MID($B488,FIND("-",$B488)+1,LEN($B488)))),"")="",IFERROR(VLOOKUP($F488,WP!$B$2:$C$23,2,0),VLOOKUP($C488,Series!$A$3:$F$11,6,0)),IFERROR(VLOOKUP($F488,WP!$B$2:$C$23,2,0),VLOOKUP($C488,Series!$A$3:$F$11,6,0))&amp;" - "&amp;(IFERROR(IF(FIND("_",$B488)&gt;0,MID($B488,FIND("_",$B488)+1,LEN($B488)),IF(FIND("-",$B488)&gt;0,MID($B488,FIND("-",$B488)+1,LEN($B488)))),""))),""))&lt;64,_xlfn.IFNA(IF(IFERROR(IF(FIND("_",$B488)&gt;0,MID($B488,FIND("_",$B488)+1,LEN($B488)),IF(FIND("-",$B488)&gt;0,MID($B488,FIND("-",$B488)+1,LEN($B488)))),"")="",IFERROR(VLOOKUP($F488,WP!$B$2:$C$23,2,0),VLOOKUP($C488,Series!$A$3:$F$11,6,0)),IFERROR(VLOOKUP($F488,WP!$B$2:$C$23,2,0),VLOOKUP($C488,Series!$A$3:$F$11,6,0))&amp;" - "&amp;(IFERROR(IF(FIND("_",$B488)&gt;0,MID($B488,FIND("_",$B488)+1,LEN($B488)),IF(FIND("-",$B488)&gt;0,MID($B488,FIND("-",$B488)+1,LEN($B488)))),""))),""),LEFT((_xlfn.IFNA(IF(IFERROR(IF(FIND("_",$B488)&gt;0,MID($B488,FIND("_",$B488)+1,LEN($B488)),IF(FIND("-",$B488)&gt;0,MID($B488,FIND("-",$B488)+1,LEN($B488)))),"")="",IFERROR(VLOOKUP($F488,WP!$B$2:$C$23,2,0),VLOOKUP($C488,Series!$A$3:$F$11,6,0)),IFERROR(VLOOKUP($F488,WP!$B$2:$C$23,2,0),VLOOKUP($C488,Series!$A$3:$F$11,6,0))&amp;" - "&amp;(IFERROR(IF(FIND("_",$B488)&gt;0,MID($B488,FIND("_",$B488)+1,LEN($B488)),IF(FIND("-",$B488)&gt;0,MID($B488,FIND("-",$B488)+1,LEN($B488)))),""))),"")),64))</f>
        <v/>
      </c>
      <c r="H488" s="12"/>
      <c r="I488" s="12" t="str">
        <f>IF($D488&lt;&gt;"",COUNTIF($D$7:$D488,"="&amp;$D488),"")</f>
        <v/>
      </c>
      <c r="J488"/>
      <c r="K488" s="8"/>
      <c r="L488"/>
    </row>
    <row r="489" spans="1:12" x14ac:dyDescent="0.3">
      <c r="A489" s="1"/>
      <c r="B489" s="26"/>
      <c r="C489" s="12" t="str">
        <f>_xlfn.IFNA(IFERROR(IF(FIND("_",$B489)&gt;0,INDEX(WP!$A$2:$F$23,MATCH(LEFT($B489,FIND("_",$B489)-1),WP!$E$2:$E$23,0),1),IF(FIND("-",$B489)&gt;0,INDEX(WP!$A$2:$F$23,MATCH(LEFT($B489,FIND("_",$B489)-1),WP!$E$2:$E$23,0),1))),INDEX(WP!$A$2:$F$23,MATCH(Results!$B489,WP!$E$2:$E$23,0),1)),"")</f>
        <v/>
      </c>
      <c r="D489" s="12" t="str">
        <f>IFERROR(IFERROR(IF(RIGHT(INDEX(WP!$A$2:$F$23,MATCH(IF(FIND("_",$B489)&gt;0,LEFT($B489,FIND("_",$B489)-1)),WP!$E$2:$E$23,0),2),6)="Series",LEFT(INDEX(WP!$A$2:$F$23,MATCH(IF(FIND("_",$B489)&gt;0,LEFT($B489,FIND("_",$B489)-1)),WP!$E$2:$E$23,0),2),5),""),IF(RIGHT(INDEX(WP!$A$2:$F$23,MATCH($B489,WP!$E$2:$E$23,0),2),6)="Series",LEFT(INDEX(WP!$A$2:$F$23,MATCH($B489,WP!$E$2:$E$23,0),2),5),"")),"")</f>
        <v/>
      </c>
      <c r="E489" s="17" t="str">
        <f>IFERROR(VLOOKUP(VALUE($D489),Series!$B$3:$F$11,2,0),"")</f>
        <v/>
      </c>
      <c r="F489" s="12" t="str">
        <f>_xlfn.IFNA(IF(IF($D489&lt;&gt;"",COUNTIF($E:$E,"="&amp;$D489),"")="",IF(RIGHT(IFERROR(IF(FIND("_",$B489)&gt;0,INDEX(WP!$A$2:$F$23,MATCH(LEFT($B489,FIND("_",$B489)-1),WP!$E$2:$E$23,0),2),IF(FIND("-",$B489)&gt;0,INDEX(WP!$A$2:$F$23,MATCH(LEFT($B489,FIND("_",$B489)-1),WP!$E$2:$E$23,0),2))),INDEX(WP!$A$2:$F$23,MATCH(Results!$B489,WP!$E$2:$E$23,0),2)),6)="Series",LEFT(IFERROR(IF(FIND("_",$B489)&gt;0,INDEX(WP!$A$2:$F$23,MATCH(LEFT($B489,FIND("_",$B489)-1),WP!$E$2:$E$23,0),2),IF(FIND("-",$B489)&gt;0,INDEX(WP!$A$2:$F$23,MATCH(LEFT($B489,FIND("_",$B489)-1),WP!$E$2:$E$23,0),2))),INDEX(WP!$A$2:$F$23,MATCH(Results!$B489,WP!$E$2:$E$23,0),2)),5),(IFERROR(IF(FIND("_",$B489)&gt;0,INDEX(WP!$A$2:$F$23,MATCH(LEFT($B489,FIND("_",$B489)-1),WP!$E$2:$E$23,0),2),IF(FIND("-",$B489)&gt;0,INDEX(WP!$A$2:$F$23,MATCH(LEFT($B489,FIND("_",$B489)-1),WP!$E$2:$E$23,0),2))),INDEX(WP!$A$2:$F$23,MATCH(Results!$B489,WP!$E$2:$E$23,0),2)))),IF(RIGHT(IFERROR(IF(FIND("_",$B489)&gt;0,INDEX(WP!$A$2:$F$23,MATCH(LEFT($B489,FIND("_",$B489)-1),WP!$E$2:$E$23,0),2),IF(FIND("-",$B489)&gt;0,INDEX(WP!$A$2:$F$23,MATCH(LEFT($B489,FIND("_",$B489)-1),WP!$E$2:$E$23,0),2))),INDEX(WP!$A$2:$F$23,MATCH(Results!$B489,WP!$E$2:$E$23,0),2)),6)="Series",LEFT(IFERROR(IF(FIND("_",$B489)&gt;0,INDEX(WP!$A$2:$F$23,MATCH(LEFT($B489,FIND("_",$B489)-1),WP!$E$2:$E$23,0),2),IF(FIND("-",$B489)&gt;0,INDEX(WP!$A$2:$F$23,MATCH(LEFT($B489,FIND("_",$B489)-1),WP!$E$2:$E$23,0),2))),INDEX(WP!$A$2:$F$23,MATCH(Results!$B489,WP!$E$2:$E$23,0),2)),5),(IFERROR(IF(FIND("_",$B489)&gt;0,INDEX(WP!$A$2:$F$23,MATCH(LEFT($B489,FIND("_",$B489)-1),WP!$E$2:$E$23,0),2),IF(FIND("-",$B489)&gt;0,INDEX(WP!$A$2:$F$23,MATCH(LEFT($B489,FIND("_",$B489)-1),WP!$E$2:$E$23,0),2))),INDEX(WP!$A$2:$F$23,MATCH(Results!$B489,WP!$E$2:$E$23,0),2))))&amp;"-"&amp;$I489),"")</f>
        <v/>
      </c>
      <c r="G489" s="17" t="str">
        <f>IF(LEN(_xlfn.IFNA(IF(IFERROR(IF(FIND("_",$B489)&gt;0,MID($B489,FIND("_",$B489)+1,LEN($B489)),IF(FIND("-",$B489)&gt;0,MID($B489,FIND("-",$B489)+1,LEN($B489)))),"")="",IFERROR(VLOOKUP($F489,WP!$B$2:$C$23,2,0),VLOOKUP($C489,Series!$A$3:$F$11,6,0)),IFERROR(VLOOKUP($F489,WP!$B$2:$C$23,2,0),VLOOKUP($C489,Series!$A$3:$F$11,6,0))&amp;" - "&amp;(IFERROR(IF(FIND("_",$B489)&gt;0,MID($B489,FIND("_",$B489)+1,LEN($B489)),IF(FIND("-",$B489)&gt;0,MID($B489,FIND("-",$B489)+1,LEN($B489)))),""))),""))&lt;64,_xlfn.IFNA(IF(IFERROR(IF(FIND("_",$B489)&gt;0,MID($B489,FIND("_",$B489)+1,LEN($B489)),IF(FIND("-",$B489)&gt;0,MID($B489,FIND("-",$B489)+1,LEN($B489)))),"")="",IFERROR(VLOOKUP($F489,WP!$B$2:$C$23,2,0),VLOOKUP($C489,Series!$A$3:$F$11,6,0)),IFERROR(VLOOKUP($F489,WP!$B$2:$C$23,2,0),VLOOKUP($C489,Series!$A$3:$F$11,6,0))&amp;" - "&amp;(IFERROR(IF(FIND("_",$B489)&gt;0,MID($B489,FIND("_",$B489)+1,LEN($B489)),IF(FIND("-",$B489)&gt;0,MID($B489,FIND("-",$B489)+1,LEN($B489)))),""))),""),LEFT((_xlfn.IFNA(IF(IFERROR(IF(FIND("_",$B489)&gt;0,MID($B489,FIND("_",$B489)+1,LEN($B489)),IF(FIND("-",$B489)&gt;0,MID($B489,FIND("-",$B489)+1,LEN($B489)))),"")="",IFERROR(VLOOKUP($F489,WP!$B$2:$C$23,2,0),VLOOKUP($C489,Series!$A$3:$F$11,6,0)),IFERROR(VLOOKUP($F489,WP!$B$2:$C$23,2,0),VLOOKUP($C489,Series!$A$3:$F$11,6,0))&amp;" - "&amp;(IFERROR(IF(FIND("_",$B489)&gt;0,MID($B489,FIND("_",$B489)+1,LEN($B489)),IF(FIND("-",$B489)&gt;0,MID($B489,FIND("-",$B489)+1,LEN($B489)))),""))),"")),64))</f>
        <v/>
      </c>
      <c r="H489" s="12"/>
      <c r="I489" s="12" t="str">
        <f>IF($D489&lt;&gt;"",COUNTIF($D$7:$D489,"="&amp;$D489),"")</f>
        <v/>
      </c>
      <c r="J489"/>
      <c r="K489" s="8"/>
      <c r="L489"/>
    </row>
    <row r="490" spans="1:12" x14ac:dyDescent="0.3">
      <c r="A490" s="1"/>
      <c r="B490" s="26"/>
      <c r="C490" s="12" t="str">
        <f>_xlfn.IFNA(IFERROR(IF(FIND("_",$B490)&gt;0,INDEX(WP!$A$2:$F$23,MATCH(LEFT($B490,FIND("_",$B490)-1),WP!$E$2:$E$23,0),1),IF(FIND("-",$B490)&gt;0,INDEX(WP!$A$2:$F$23,MATCH(LEFT($B490,FIND("_",$B490)-1),WP!$E$2:$E$23,0),1))),INDEX(WP!$A$2:$F$23,MATCH(Results!$B490,WP!$E$2:$E$23,0),1)),"")</f>
        <v/>
      </c>
      <c r="D490" s="12" t="str">
        <f>IFERROR(IFERROR(IF(RIGHT(INDEX(WP!$A$2:$F$23,MATCH(IF(FIND("_",$B490)&gt;0,LEFT($B490,FIND("_",$B490)-1)),WP!$E$2:$E$23,0),2),6)="Series",LEFT(INDEX(WP!$A$2:$F$23,MATCH(IF(FIND("_",$B490)&gt;0,LEFT($B490,FIND("_",$B490)-1)),WP!$E$2:$E$23,0),2),5),""),IF(RIGHT(INDEX(WP!$A$2:$F$23,MATCH($B490,WP!$E$2:$E$23,0),2),6)="Series",LEFT(INDEX(WP!$A$2:$F$23,MATCH($B490,WP!$E$2:$E$23,0),2),5),"")),"")</f>
        <v/>
      </c>
      <c r="E490" s="17" t="str">
        <f>IFERROR(VLOOKUP(VALUE($D490),Series!$B$3:$F$11,2,0),"")</f>
        <v/>
      </c>
      <c r="F490" s="12" t="str">
        <f>_xlfn.IFNA(IF(IF($D490&lt;&gt;"",COUNTIF($E:$E,"="&amp;$D490),"")="",IF(RIGHT(IFERROR(IF(FIND("_",$B490)&gt;0,INDEX(WP!$A$2:$F$23,MATCH(LEFT($B490,FIND("_",$B490)-1),WP!$E$2:$E$23,0),2),IF(FIND("-",$B490)&gt;0,INDEX(WP!$A$2:$F$23,MATCH(LEFT($B490,FIND("_",$B490)-1),WP!$E$2:$E$23,0),2))),INDEX(WP!$A$2:$F$23,MATCH(Results!$B490,WP!$E$2:$E$23,0),2)),6)="Series",LEFT(IFERROR(IF(FIND("_",$B490)&gt;0,INDEX(WP!$A$2:$F$23,MATCH(LEFT($B490,FIND("_",$B490)-1),WP!$E$2:$E$23,0),2),IF(FIND("-",$B490)&gt;0,INDEX(WP!$A$2:$F$23,MATCH(LEFT($B490,FIND("_",$B490)-1),WP!$E$2:$E$23,0),2))),INDEX(WP!$A$2:$F$23,MATCH(Results!$B490,WP!$E$2:$E$23,0),2)),5),(IFERROR(IF(FIND("_",$B490)&gt;0,INDEX(WP!$A$2:$F$23,MATCH(LEFT($B490,FIND("_",$B490)-1),WP!$E$2:$E$23,0),2),IF(FIND("-",$B490)&gt;0,INDEX(WP!$A$2:$F$23,MATCH(LEFT($B490,FIND("_",$B490)-1),WP!$E$2:$E$23,0),2))),INDEX(WP!$A$2:$F$23,MATCH(Results!$B490,WP!$E$2:$E$23,0),2)))),IF(RIGHT(IFERROR(IF(FIND("_",$B490)&gt;0,INDEX(WP!$A$2:$F$23,MATCH(LEFT($B490,FIND("_",$B490)-1),WP!$E$2:$E$23,0),2),IF(FIND("-",$B490)&gt;0,INDEX(WP!$A$2:$F$23,MATCH(LEFT($B490,FIND("_",$B490)-1),WP!$E$2:$E$23,0),2))),INDEX(WP!$A$2:$F$23,MATCH(Results!$B490,WP!$E$2:$E$23,0),2)),6)="Series",LEFT(IFERROR(IF(FIND("_",$B490)&gt;0,INDEX(WP!$A$2:$F$23,MATCH(LEFT($B490,FIND("_",$B490)-1),WP!$E$2:$E$23,0),2),IF(FIND("-",$B490)&gt;0,INDEX(WP!$A$2:$F$23,MATCH(LEFT($B490,FIND("_",$B490)-1),WP!$E$2:$E$23,0),2))),INDEX(WP!$A$2:$F$23,MATCH(Results!$B490,WP!$E$2:$E$23,0),2)),5),(IFERROR(IF(FIND("_",$B490)&gt;0,INDEX(WP!$A$2:$F$23,MATCH(LEFT($B490,FIND("_",$B490)-1),WP!$E$2:$E$23,0),2),IF(FIND("-",$B490)&gt;0,INDEX(WP!$A$2:$F$23,MATCH(LEFT($B490,FIND("_",$B490)-1),WP!$E$2:$E$23,0),2))),INDEX(WP!$A$2:$F$23,MATCH(Results!$B490,WP!$E$2:$E$23,0),2))))&amp;"-"&amp;$I490),"")</f>
        <v/>
      </c>
      <c r="G490" s="17" t="str">
        <f>IF(LEN(_xlfn.IFNA(IF(IFERROR(IF(FIND("_",$B490)&gt;0,MID($B490,FIND("_",$B490)+1,LEN($B490)),IF(FIND("-",$B490)&gt;0,MID($B490,FIND("-",$B490)+1,LEN($B490)))),"")="",IFERROR(VLOOKUP($F490,WP!$B$2:$C$23,2,0),VLOOKUP($C490,Series!$A$3:$F$11,6,0)),IFERROR(VLOOKUP($F490,WP!$B$2:$C$23,2,0),VLOOKUP($C490,Series!$A$3:$F$11,6,0))&amp;" - "&amp;(IFERROR(IF(FIND("_",$B490)&gt;0,MID($B490,FIND("_",$B490)+1,LEN($B490)),IF(FIND("-",$B490)&gt;0,MID($B490,FIND("-",$B490)+1,LEN($B490)))),""))),""))&lt;64,_xlfn.IFNA(IF(IFERROR(IF(FIND("_",$B490)&gt;0,MID($B490,FIND("_",$B490)+1,LEN($B490)),IF(FIND("-",$B490)&gt;0,MID($B490,FIND("-",$B490)+1,LEN($B490)))),"")="",IFERROR(VLOOKUP($F490,WP!$B$2:$C$23,2,0),VLOOKUP($C490,Series!$A$3:$F$11,6,0)),IFERROR(VLOOKUP($F490,WP!$B$2:$C$23,2,0),VLOOKUP($C490,Series!$A$3:$F$11,6,0))&amp;" - "&amp;(IFERROR(IF(FIND("_",$B490)&gt;0,MID($B490,FIND("_",$B490)+1,LEN($B490)),IF(FIND("-",$B490)&gt;0,MID($B490,FIND("-",$B490)+1,LEN($B490)))),""))),""),LEFT((_xlfn.IFNA(IF(IFERROR(IF(FIND("_",$B490)&gt;0,MID($B490,FIND("_",$B490)+1,LEN($B490)),IF(FIND("-",$B490)&gt;0,MID($B490,FIND("-",$B490)+1,LEN($B490)))),"")="",IFERROR(VLOOKUP($F490,WP!$B$2:$C$23,2,0),VLOOKUP($C490,Series!$A$3:$F$11,6,0)),IFERROR(VLOOKUP($F490,WP!$B$2:$C$23,2,0),VLOOKUP($C490,Series!$A$3:$F$11,6,0))&amp;" - "&amp;(IFERROR(IF(FIND("_",$B490)&gt;0,MID($B490,FIND("_",$B490)+1,LEN($B490)),IF(FIND("-",$B490)&gt;0,MID($B490,FIND("-",$B490)+1,LEN($B490)))),""))),"")),64))</f>
        <v/>
      </c>
      <c r="H490" s="12"/>
      <c r="I490" s="12" t="str">
        <f>IF($D490&lt;&gt;"",COUNTIF($D$7:$D490,"="&amp;$D490),"")</f>
        <v/>
      </c>
      <c r="J490"/>
      <c r="K490" s="8"/>
      <c r="L490"/>
    </row>
    <row r="491" spans="1:12" x14ac:dyDescent="0.3">
      <c r="A491" s="1"/>
      <c r="B491" s="26"/>
      <c r="C491" s="12" t="str">
        <f>_xlfn.IFNA(IFERROR(IF(FIND("_",$B491)&gt;0,INDEX(WP!$A$2:$F$23,MATCH(LEFT($B491,FIND("_",$B491)-1),WP!$E$2:$E$23,0),1),IF(FIND("-",$B491)&gt;0,INDEX(WP!$A$2:$F$23,MATCH(LEFT($B491,FIND("_",$B491)-1),WP!$E$2:$E$23,0),1))),INDEX(WP!$A$2:$F$23,MATCH(Results!$B491,WP!$E$2:$E$23,0),1)),"")</f>
        <v/>
      </c>
      <c r="D491" s="12" t="str">
        <f>IFERROR(IFERROR(IF(RIGHT(INDEX(WP!$A$2:$F$23,MATCH(IF(FIND("_",$B491)&gt;0,LEFT($B491,FIND("_",$B491)-1)),WP!$E$2:$E$23,0),2),6)="Series",LEFT(INDEX(WP!$A$2:$F$23,MATCH(IF(FIND("_",$B491)&gt;0,LEFT($B491,FIND("_",$B491)-1)),WP!$E$2:$E$23,0),2),5),""),IF(RIGHT(INDEX(WP!$A$2:$F$23,MATCH($B491,WP!$E$2:$E$23,0),2),6)="Series",LEFT(INDEX(WP!$A$2:$F$23,MATCH($B491,WP!$E$2:$E$23,0),2),5),"")),"")</f>
        <v/>
      </c>
      <c r="E491" s="17" t="str">
        <f>IFERROR(VLOOKUP(VALUE($D491),Series!$B$3:$F$11,2,0),"")</f>
        <v/>
      </c>
      <c r="F491" s="12" t="str">
        <f>_xlfn.IFNA(IF(IF($D491&lt;&gt;"",COUNTIF($E:$E,"="&amp;$D491),"")="",IF(RIGHT(IFERROR(IF(FIND("_",$B491)&gt;0,INDEX(WP!$A$2:$F$23,MATCH(LEFT($B491,FIND("_",$B491)-1),WP!$E$2:$E$23,0),2),IF(FIND("-",$B491)&gt;0,INDEX(WP!$A$2:$F$23,MATCH(LEFT($B491,FIND("_",$B491)-1),WP!$E$2:$E$23,0),2))),INDEX(WP!$A$2:$F$23,MATCH(Results!$B491,WP!$E$2:$E$23,0),2)),6)="Series",LEFT(IFERROR(IF(FIND("_",$B491)&gt;0,INDEX(WP!$A$2:$F$23,MATCH(LEFT($B491,FIND("_",$B491)-1),WP!$E$2:$E$23,0),2),IF(FIND("-",$B491)&gt;0,INDEX(WP!$A$2:$F$23,MATCH(LEFT($B491,FIND("_",$B491)-1),WP!$E$2:$E$23,0),2))),INDEX(WP!$A$2:$F$23,MATCH(Results!$B491,WP!$E$2:$E$23,0),2)),5),(IFERROR(IF(FIND("_",$B491)&gt;0,INDEX(WP!$A$2:$F$23,MATCH(LEFT($B491,FIND("_",$B491)-1),WP!$E$2:$E$23,0),2),IF(FIND("-",$B491)&gt;0,INDEX(WP!$A$2:$F$23,MATCH(LEFT($B491,FIND("_",$B491)-1),WP!$E$2:$E$23,0),2))),INDEX(WP!$A$2:$F$23,MATCH(Results!$B491,WP!$E$2:$E$23,0),2)))),IF(RIGHT(IFERROR(IF(FIND("_",$B491)&gt;0,INDEX(WP!$A$2:$F$23,MATCH(LEFT($B491,FIND("_",$B491)-1),WP!$E$2:$E$23,0),2),IF(FIND("-",$B491)&gt;0,INDEX(WP!$A$2:$F$23,MATCH(LEFT($B491,FIND("_",$B491)-1),WP!$E$2:$E$23,0),2))),INDEX(WP!$A$2:$F$23,MATCH(Results!$B491,WP!$E$2:$E$23,0),2)),6)="Series",LEFT(IFERROR(IF(FIND("_",$B491)&gt;0,INDEX(WP!$A$2:$F$23,MATCH(LEFT($B491,FIND("_",$B491)-1),WP!$E$2:$E$23,0),2),IF(FIND("-",$B491)&gt;0,INDEX(WP!$A$2:$F$23,MATCH(LEFT($B491,FIND("_",$B491)-1),WP!$E$2:$E$23,0),2))),INDEX(WP!$A$2:$F$23,MATCH(Results!$B491,WP!$E$2:$E$23,0),2)),5),(IFERROR(IF(FIND("_",$B491)&gt;0,INDEX(WP!$A$2:$F$23,MATCH(LEFT($B491,FIND("_",$B491)-1),WP!$E$2:$E$23,0),2),IF(FIND("-",$B491)&gt;0,INDEX(WP!$A$2:$F$23,MATCH(LEFT($B491,FIND("_",$B491)-1),WP!$E$2:$E$23,0),2))),INDEX(WP!$A$2:$F$23,MATCH(Results!$B491,WP!$E$2:$E$23,0),2))))&amp;"-"&amp;$I491),"")</f>
        <v/>
      </c>
      <c r="G491" s="17" t="str">
        <f>IF(LEN(_xlfn.IFNA(IF(IFERROR(IF(FIND("_",$B491)&gt;0,MID($B491,FIND("_",$B491)+1,LEN($B491)),IF(FIND("-",$B491)&gt;0,MID($B491,FIND("-",$B491)+1,LEN($B491)))),"")="",IFERROR(VLOOKUP($F491,WP!$B$2:$C$23,2,0),VLOOKUP($C491,Series!$A$3:$F$11,6,0)),IFERROR(VLOOKUP($F491,WP!$B$2:$C$23,2,0),VLOOKUP($C491,Series!$A$3:$F$11,6,0))&amp;" - "&amp;(IFERROR(IF(FIND("_",$B491)&gt;0,MID($B491,FIND("_",$B491)+1,LEN($B491)),IF(FIND("-",$B491)&gt;0,MID($B491,FIND("-",$B491)+1,LEN($B491)))),""))),""))&lt;64,_xlfn.IFNA(IF(IFERROR(IF(FIND("_",$B491)&gt;0,MID($B491,FIND("_",$B491)+1,LEN($B491)),IF(FIND("-",$B491)&gt;0,MID($B491,FIND("-",$B491)+1,LEN($B491)))),"")="",IFERROR(VLOOKUP($F491,WP!$B$2:$C$23,2,0),VLOOKUP($C491,Series!$A$3:$F$11,6,0)),IFERROR(VLOOKUP($F491,WP!$B$2:$C$23,2,0),VLOOKUP($C491,Series!$A$3:$F$11,6,0))&amp;" - "&amp;(IFERROR(IF(FIND("_",$B491)&gt;0,MID($B491,FIND("_",$B491)+1,LEN($B491)),IF(FIND("-",$B491)&gt;0,MID($B491,FIND("-",$B491)+1,LEN($B491)))),""))),""),LEFT((_xlfn.IFNA(IF(IFERROR(IF(FIND("_",$B491)&gt;0,MID($B491,FIND("_",$B491)+1,LEN($B491)),IF(FIND("-",$B491)&gt;0,MID($B491,FIND("-",$B491)+1,LEN($B491)))),"")="",IFERROR(VLOOKUP($F491,WP!$B$2:$C$23,2,0),VLOOKUP($C491,Series!$A$3:$F$11,6,0)),IFERROR(VLOOKUP($F491,WP!$B$2:$C$23,2,0),VLOOKUP($C491,Series!$A$3:$F$11,6,0))&amp;" - "&amp;(IFERROR(IF(FIND("_",$B491)&gt;0,MID($B491,FIND("_",$B491)+1,LEN($B491)),IF(FIND("-",$B491)&gt;0,MID($B491,FIND("-",$B491)+1,LEN($B491)))),""))),"")),64))</f>
        <v/>
      </c>
      <c r="H491" s="12"/>
      <c r="I491" s="12" t="str">
        <f>IF($D491&lt;&gt;"",COUNTIF($D$7:$D491,"="&amp;$D491),"")</f>
        <v/>
      </c>
      <c r="J491"/>
      <c r="K491" s="8"/>
      <c r="L491"/>
    </row>
    <row r="492" spans="1:12" x14ac:dyDescent="0.3">
      <c r="A492" s="1"/>
      <c r="B492" s="26"/>
      <c r="C492" s="12" t="str">
        <f>_xlfn.IFNA(IFERROR(IF(FIND("_",$B492)&gt;0,INDEX(WP!$A$2:$F$23,MATCH(LEFT($B492,FIND("_",$B492)-1),WP!$E$2:$E$23,0),1),IF(FIND("-",$B492)&gt;0,INDEX(WP!$A$2:$F$23,MATCH(LEFT($B492,FIND("_",$B492)-1),WP!$E$2:$E$23,0),1))),INDEX(WP!$A$2:$F$23,MATCH(Results!$B492,WP!$E$2:$E$23,0),1)),"")</f>
        <v/>
      </c>
      <c r="D492" s="12" t="str">
        <f>IFERROR(IFERROR(IF(RIGHT(INDEX(WP!$A$2:$F$23,MATCH(IF(FIND("_",$B492)&gt;0,LEFT($B492,FIND("_",$B492)-1)),WP!$E$2:$E$23,0),2),6)="Series",LEFT(INDEX(WP!$A$2:$F$23,MATCH(IF(FIND("_",$B492)&gt;0,LEFT($B492,FIND("_",$B492)-1)),WP!$E$2:$E$23,0),2),5),""),IF(RIGHT(INDEX(WP!$A$2:$F$23,MATCH($B492,WP!$E$2:$E$23,0),2),6)="Series",LEFT(INDEX(WP!$A$2:$F$23,MATCH($B492,WP!$E$2:$E$23,0),2),5),"")),"")</f>
        <v/>
      </c>
      <c r="E492" s="17" t="str">
        <f>IFERROR(VLOOKUP(VALUE($D492),Series!$B$3:$F$11,2,0),"")</f>
        <v/>
      </c>
      <c r="F492" s="12" t="str">
        <f>_xlfn.IFNA(IF(IF($D492&lt;&gt;"",COUNTIF($E:$E,"="&amp;$D492),"")="",IF(RIGHT(IFERROR(IF(FIND("_",$B492)&gt;0,INDEX(WP!$A$2:$F$23,MATCH(LEFT($B492,FIND("_",$B492)-1),WP!$E$2:$E$23,0),2),IF(FIND("-",$B492)&gt;0,INDEX(WP!$A$2:$F$23,MATCH(LEFT($B492,FIND("_",$B492)-1),WP!$E$2:$E$23,0),2))),INDEX(WP!$A$2:$F$23,MATCH(Results!$B492,WP!$E$2:$E$23,0),2)),6)="Series",LEFT(IFERROR(IF(FIND("_",$B492)&gt;0,INDEX(WP!$A$2:$F$23,MATCH(LEFT($B492,FIND("_",$B492)-1),WP!$E$2:$E$23,0),2),IF(FIND("-",$B492)&gt;0,INDEX(WP!$A$2:$F$23,MATCH(LEFT($B492,FIND("_",$B492)-1),WP!$E$2:$E$23,0),2))),INDEX(WP!$A$2:$F$23,MATCH(Results!$B492,WP!$E$2:$E$23,0),2)),5),(IFERROR(IF(FIND("_",$B492)&gt;0,INDEX(WP!$A$2:$F$23,MATCH(LEFT($B492,FIND("_",$B492)-1),WP!$E$2:$E$23,0),2),IF(FIND("-",$B492)&gt;0,INDEX(WP!$A$2:$F$23,MATCH(LEFT($B492,FIND("_",$B492)-1),WP!$E$2:$E$23,0),2))),INDEX(WP!$A$2:$F$23,MATCH(Results!$B492,WP!$E$2:$E$23,0),2)))),IF(RIGHT(IFERROR(IF(FIND("_",$B492)&gt;0,INDEX(WP!$A$2:$F$23,MATCH(LEFT($B492,FIND("_",$B492)-1),WP!$E$2:$E$23,0),2),IF(FIND("-",$B492)&gt;0,INDEX(WP!$A$2:$F$23,MATCH(LEFT($B492,FIND("_",$B492)-1),WP!$E$2:$E$23,0),2))),INDEX(WP!$A$2:$F$23,MATCH(Results!$B492,WP!$E$2:$E$23,0),2)),6)="Series",LEFT(IFERROR(IF(FIND("_",$B492)&gt;0,INDEX(WP!$A$2:$F$23,MATCH(LEFT($B492,FIND("_",$B492)-1),WP!$E$2:$E$23,0),2),IF(FIND("-",$B492)&gt;0,INDEX(WP!$A$2:$F$23,MATCH(LEFT($B492,FIND("_",$B492)-1),WP!$E$2:$E$23,0),2))),INDEX(WP!$A$2:$F$23,MATCH(Results!$B492,WP!$E$2:$E$23,0),2)),5),(IFERROR(IF(FIND("_",$B492)&gt;0,INDEX(WP!$A$2:$F$23,MATCH(LEFT($B492,FIND("_",$B492)-1),WP!$E$2:$E$23,0),2),IF(FIND("-",$B492)&gt;0,INDEX(WP!$A$2:$F$23,MATCH(LEFT($B492,FIND("_",$B492)-1),WP!$E$2:$E$23,0),2))),INDEX(WP!$A$2:$F$23,MATCH(Results!$B492,WP!$E$2:$E$23,0),2))))&amp;"-"&amp;$I492),"")</f>
        <v/>
      </c>
      <c r="G492" s="17" t="str">
        <f>IF(LEN(_xlfn.IFNA(IF(IFERROR(IF(FIND("_",$B492)&gt;0,MID($B492,FIND("_",$B492)+1,LEN($B492)),IF(FIND("-",$B492)&gt;0,MID($B492,FIND("-",$B492)+1,LEN($B492)))),"")="",IFERROR(VLOOKUP($F492,WP!$B$2:$C$23,2,0),VLOOKUP($C492,Series!$A$3:$F$11,6,0)),IFERROR(VLOOKUP($F492,WP!$B$2:$C$23,2,0),VLOOKUP($C492,Series!$A$3:$F$11,6,0))&amp;" - "&amp;(IFERROR(IF(FIND("_",$B492)&gt;0,MID($B492,FIND("_",$B492)+1,LEN($B492)),IF(FIND("-",$B492)&gt;0,MID($B492,FIND("-",$B492)+1,LEN($B492)))),""))),""))&lt;64,_xlfn.IFNA(IF(IFERROR(IF(FIND("_",$B492)&gt;0,MID($B492,FIND("_",$B492)+1,LEN($B492)),IF(FIND("-",$B492)&gt;0,MID($B492,FIND("-",$B492)+1,LEN($B492)))),"")="",IFERROR(VLOOKUP($F492,WP!$B$2:$C$23,2,0),VLOOKUP($C492,Series!$A$3:$F$11,6,0)),IFERROR(VLOOKUP($F492,WP!$B$2:$C$23,2,0),VLOOKUP($C492,Series!$A$3:$F$11,6,0))&amp;" - "&amp;(IFERROR(IF(FIND("_",$B492)&gt;0,MID($B492,FIND("_",$B492)+1,LEN($B492)),IF(FIND("-",$B492)&gt;0,MID($B492,FIND("-",$B492)+1,LEN($B492)))),""))),""),LEFT((_xlfn.IFNA(IF(IFERROR(IF(FIND("_",$B492)&gt;0,MID($B492,FIND("_",$B492)+1,LEN($B492)),IF(FIND("-",$B492)&gt;0,MID($B492,FIND("-",$B492)+1,LEN($B492)))),"")="",IFERROR(VLOOKUP($F492,WP!$B$2:$C$23,2,0),VLOOKUP($C492,Series!$A$3:$F$11,6,0)),IFERROR(VLOOKUP($F492,WP!$B$2:$C$23,2,0),VLOOKUP($C492,Series!$A$3:$F$11,6,0))&amp;" - "&amp;(IFERROR(IF(FIND("_",$B492)&gt;0,MID($B492,FIND("_",$B492)+1,LEN($B492)),IF(FIND("-",$B492)&gt;0,MID($B492,FIND("-",$B492)+1,LEN($B492)))),""))),"")),64))</f>
        <v/>
      </c>
      <c r="H492" s="12"/>
      <c r="I492" s="12" t="str">
        <f>IF($D492&lt;&gt;"",COUNTIF($D$7:$D492,"="&amp;$D492),"")</f>
        <v/>
      </c>
      <c r="J492"/>
      <c r="K492" s="8"/>
      <c r="L492"/>
    </row>
    <row r="493" spans="1:12" x14ac:dyDescent="0.3">
      <c r="A493" s="1"/>
      <c r="B493" s="26"/>
      <c r="C493" s="12" t="str">
        <f>_xlfn.IFNA(IFERROR(IF(FIND("_",$B493)&gt;0,INDEX(WP!$A$2:$F$23,MATCH(LEFT($B493,FIND("_",$B493)-1),WP!$E$2:$E$23,0),1),IF(FIND("-",$B493)&gt;0,INDEX(WP!$A$2:$F$23,MATCH(LEFT($B493,FIND("_",$B493)-1),WP!$E$2:$E$23,0),1))),INDEX(WP!$A$2:$F$23,MATCH(Results!$B493,WP!$E$2:$E$23,0),1)),"")</f>
        <v/>
      </c>
      <c r="D493" s="12" t="str">
        <f>IFERROR(IFERROR(IF(RIGHT(INDEX(WP!$A$2:$F$23,MATCH(IF(FIND("_",$B493)&gt;0,LEFT($B493,FIND("_",$B493)-1)),WP!$E$2:$E$23,0),2),6)="Series",LEFT(INDEX(WP!$A$2:$F$23,MATCH(IF(FIND("_",$B493)&gt;0,LEFT($B493,FIND("_",$B493)-1)),WP!$E$2:$E$23,0),2),5),""),IF(RIGHT(INDEX(WP!$A$2:$F$23,MATCH($B493,WP!$E$2:$E$23,0),2),6)="Series",LEFT(INDEX(WP!$A$2:$F$23,MATCH($B493,WP!$E$2:$E$23,0),2),5),"")),"")</f>
        <v/>
      </c>
      <c r="E493" s="17" t="str">
        <f>IFERROR(VLOOKUP(VALUE($D493),Series!$B$3:$F$11,2,0),"")</f>
        <v/>
      </c>
      <c r="F493" s="12" t="str">
        <f>_xlfn.IFNA(IF(IF($D493&lt;&gt;"",COUNTIF($E:$E,"="&amp;$D493),"")="",IF(RIGHT(IFERROR(IF(FIND("_",$B493)&gt;0,INDEX(WP!$A$2:$F$23,MATCH(LEFT($B493,FIND("_",$B493)-1),WP!$E$2:$E$23,0),2),IF(FIND("-",$B493)&gt;0,INDEX(WP!$A$2:$F$23,MATCH(LEFT($B493,FIND("_",$B493)-1),WP!$E$2:$E$23,0),2))),INDEX(WP!$A$2:$F$23,MATCH(Results!$B493,WP!$E$2:$E$23,0),2)),6)="Series",LEFT(IFERROR(IF(FIND("_",$B493)&gt;0,INDEX(WP!$A$2:$F$23,MATCH(LEFT($B493,FIND("_",$B493)-1),WP!$E$2:$E$23,0),2),IF(FIND("-",$B493)&gt;0,INDEX(WP!$A$2:$F$23,MATCH(LEFT($B493,FIND("_",$B493)-1),WP!$E$2:$E$23,0),2))),INDEX(WP!$A$2:$F$23,MATCH(Results!$B493,WP!$E$2:$E$23,0),2)),5),(IFERROR(IF(FIND("_",$B493)&gt;0,INDEX(WP!$A$2:$F$23,MATCH(LEFT($B493,FIND("_",$B493)-1),WP!$E$2:$E$23,0),2),IF(FIND("-",$B493)&gt;0,INDEX(WP!$A$2:$F$23,MATCH(LEFT($B493,FIND("_",$B493)-1),WP!$E$2:$E$23,0),2))),INDEX(WP!$A$2:$F$23,MATCH(Results!$B493,WP!$E$2:$E$23,0),2)))),IF(RIGHT(IFERROR(IF(FIND("_",$B493)&gt;0,INDEX(WP!$A$2:$F$23,MATCH(LEFT($B493,FIND("_",$B493)-1),WP!$E$2:$E$23,0),2),IF(FIND("-",$B493)&gt;0,INDEX(WP!$A$2:$F$23,MATCH(LEFT($B493,FIND("_",$B493)-1),WP!$E$2:$E$23,0),2))),INDEX(WP!$A$2:$F$23,MATCH(Results!$B493,WP!$E$2:$E$23,0),2)),6)="Series",LEFT(IFERROR(IF(FIND("_",$B493)&gt;0,INDEX(WP!$A$2:$F$23,MATCH(LEFT($B493,FIND("_",$B493)-1),WP!$E$2:$E$23,0),2),IF(FIND("-",$B493)&gt;0,INDEX(WP!$A$2:$F$23,MATCH(LEFT($B493,FIND("_",$B493)-1),WP!$E$2:$E$23,0),2))),INDEX(WP!$A$2:$F$23,MATCH(Results!$B493,WP!$E$2:$E$23,0),2)),5),(IFERROR(IF(FIND("_",$B493)&gt;0,INDEX(WP!$A$2:$F$23,MATCH(LEFT($B493,FIND("_",$B493)-1),WP!$E$2:$E$23,0),2),IF(FIND("-",$B493)&gt;0,INDEX(WP!$A$2:$F$23,MATCH(LEFT($B493,FIND("_",$B493)-1),WP!$E$2:$E$23,0),2))),INDEX(WP!$A$2:$F$23,MATCH(Results!$B493,WP!$E$2:$E$23,0),2))))&amp;"-"&amp;$I493),"")</f>
        <v/>
      </c>
      <c r="G493" s="17" t="str">
        <f>IF(LEN(_xlfn.IFNA(IF(IFERROR(IF(FIND("_",$B493)&gt;0,MID($B493,FIND("_",$B493)+1,LEN($B493)),IF(FIND("-",$B493)&gt;0,MID($B493,FIND("-",$B493)+1,LEN($B493)))),"")="",IFERROR(VLOOKUP($F493,WP!$B$2:$C$23,2,0),VLOOKUP($C493,Series!$A$3:$F$11,6,0)),IFERROR(VLOOKUP($F493,WP!$B$2:$C$23,2,0),VLOOKUP($C493,Series!$A$3:$F$11,6,0))&amp;" - "&amp;(IFERROR(IF(FIND("_",$B493)&gt;0,MID($B493,FIND("_",$B493)+1,LEN($B493)),IF(FIND("-",$B493)&gt;0,MID($B493,FIND("-",$B493)+1,LEN($B493)))),""))),""))&lt;64,_xlfn.IFNA(IF(IFERROR(IF(FIND("_",$B493)&gt;0,MID($B493,FIND("_",$B493)+1,LEN($B493)),IF(FIND("-",$B493)&gt;0,MID($B493,FIND("-",$B493)+1,LEN($B493)))),"")="",IFERROR(VLOOKUP($F493,WP!$B$2:$C$23,2,0),VLOOKUP($C493,Series!$A$3:$F$11,6,0)),IFERROR(VLOOKUP($F493,WP!$B$2:$C$23,2,0),VLOOKUP($C493,Series!$A$3:$F$11,6,0))&amp;" - "&amp;(IFERROR(IF(FIND("_",$B493)&gt;0,MID($B493,FIND("_",$B493)+1,LEN($B493)),IF(FIND("-",$B493)&gt;0,MID($B493,FIND("-",$B493)+1,LEN($B493)))),""))),""),LEFT((_xlfn.IFNA(IF(IFERROR(IF(FIND("_",$B493)&gt;0,MID($B493,FIND("_",$B493)+1,LEN($B493)),IF(FIND("-",$B493)&gt;0,MID($B493,FIND("-",$B493)+1,LEN($B493)))),"")="",IFERROR(VLOOKUP($F493,WP!$B$2:$C$23,2,0),VLOOKUP($C493,Series!$A$3:$F$11,6,0)),IFERROR(VLOOKUP($F493,WP!$B$2:$C$23,2,0),VLOOKUP($C493,Series!$A$3:$F$11,6,0))&amp;" - "&amp;(IFERROR(IF(FIND("_",$B493)&gt;0,MID($B493,FIND("_",$B493)+1,LEN($B493)),IF(FIND("-",$B493)&gt;0,MID($B493,FIND("-",$B493)+1,LEN($B493)))),""))),"")),64))</f>
        <v/>
      </c>
      <c r="H493" s="12"/>
      <c r="I493" s="12" t="str">
        <f>IF($D493&lt;&gt;"",COUNTIF($D$7:$D493,"="&amp;$D493),"")</f>
        <v/>
      </c>
      <c r="J493"/>
      <c r="K493" s="8"/>
      <c r="L493"/>
    </row>
    <row r="494" spans="1:12" x14ac:dyDescent="0.3">
      <c r="A494" s="1"/>
      <c r="B494" s="26"/>
      <c r="C494" s="12" t="str">
        <f>_xlfn.IFNA(IFERROR(IF(FIND("_",$B494)&gt;0,INDEX(WP!$A$2:$F$23,MATCH(LEFT($B494,FIND("_",$B494)-1),WP!$E$2:$E$23,0),1),IF(FIND("-",$B494)&gt;0,INDEX(WP!$A$2:$F$23,MATCH(LEFT($B494,FIND("_",$B494)-1),WP!$E$2:$E$23,0),1))),INDEX(WP!$A$2:$F$23,MATCH(Results!$B494,WP!$E$2:$E$23,0),1)),"")</f>
        <v/>
      </c>
      <c r="D494" s="12" t="str">
        <f>IFERROR(IFERROR(IF(RIGHT(INDEX(WP!$A$2:$F$23,MATCH(IF(FIND("_",$B494)&gt;0,LEFT($B494,FIND("_",$B494)-1)),WP!$E$2:$E$23,0),2),6)="Series",LEFT(INDEX(WP!$A$2:$F$23,MATCH(IF(FIND("_",$B494)&gt;0,LEFT($B494,FIND("_",$B494)-1)),WP!$E$2:$E$23,0),2),5),""),IF(RIGHT(INDEX(WP!$A$2:$F$23,MATCH($B494,WP!$E$2:$E$23,0),2),6)="Series",LEFT(INDEX(WP!$A$2:$F$23,MATCH($B494,WP!$E$2:$E$23,0),2),5),"")),"")</f>
        <v/>
      </c>
      <c r="E494" s="17" t="str">
        <f>IFERROR(VLOOKUP(VALUE($D494),Series!$B$3:$F$11,2,0),"")</f>
        <v/>
      </c>
      <c r="F494" s="12" t="str">
        <f>_xlfn.IFNA(IF(IF($D494&lt;&gt;"",COUNTIF($E:$E,"="&amp;$D494),"")="",IF(RIGHT(IFERROR(IF(FIND("_",$B494)&gt;0,INDEX(WP!$A$2:$F$23,MATCH(LEFT($B494,FIND("_",$B494)-1),WP!$E$2:$E$23,0),2),IF(FIND("-",$B494)&gt;0,INDEX(WP!$A$2:$F$23,MATCH(LEFT($B494,FIND("_",$B494)-1),WP!$E$2:$E$23,0),2))),INDEX(WP!$A$2:$F$23,MATCH(Results!$B494,WP!$E$2:$E$23,0),2)),6)="Series",LEFT(IFERROR(IF(FIND("_",$B494)&gt;0,INDEX(WP!$A$2:$F$23,MATCH(LEFT($B494,FIND("_",$B494)-1),WP!$E$2:$E$23,0),2),IF(FIND("-",$B494)&gt;0,INDEX(WP!$A$2:$F$23,MATCH(LEFT($B494,FIND("_",$B494)-1),WP!$E$2:$E$23,0),2))),INDEX(WP!$A$2:$F$23,MATCH(Results!$B494,WP!$E$2:$E$23,0),2)),5),(IFERROR(IF(FIND("_",$B494)&gt;0,INDEX(WP!$A$2:$F$23,MATCH(LEFT($B494,FIND("_",$B494)-1),WP!$E$2:$E$23,0),2),IF(FIND("-",$B494)&gt;0,INDEX(WP!$A$2:$F$23,MATCH(LEFT($B494,FIND("_",$B494)-1),WP!$E$2:$E$23,0),2))),INDEX(WP!$A$2:$F$23,MATCH(Results!$B494,WP!$E$2:$E$23,0),2)))),IF(RIGHT(IFERROR(IF(FIND("_",$B494)&gt;0,INDEX(WP!$A$2:$F$23,MATCH(LEFT($B494,FIND("_",$B494)-1),WP!$E$2:$E$23,0),2),IF(FIND("-",$B494)&gt;0,INDEX(WP!$A$2:$F$23,MATCH(LEFT($B494,FIND("_",$B494)-1),WP!$E$2:$E$23,0),2))),INDEX(WP!$A$2:$F$23,MATCH(Results!$B494,WP!$E$2:$E$23,0),2)),6)="Series",LEFT(IFERROR(IF(FIND("_",$B494)&gt;0,INDEX(WP!$A$2:$F$23,MATCH(LEFT($B494,FIND("_",$B494)-1),WP!$E$2:$E$23,0),2),IF(FIND("-",$B494)&gt;0,INDEX(WP!$A$2:$F$23,MATCH(LEFT($B494,FIND("_",$B494)-1),WP!$E$2:$E$23,0),2))),INDEX(WP!$A$2:$F$23,MATCH(Results!$B494,WP!$E$2:$E$23,0),2)),5),(IFERROR(IF(FIND("_",$B494)&gt;0,INDEX(WP!$A$2:$F$23,MATCH(LEFT($B494,FIND("_",$B494)-1),WP!$E$2:$E$23,0),2),IF(FIND("-",$B494)&gt;0,INDEX(WP!$A$2:$F$23,MATCH(LEFT($B494,FIND("_",$B494)-1),WP!$E$2:$E$23,0),2))),INDEX(WP!$A$2:$F$23,MATCH(Results!$B494,WP!$E$2:$E$23,0),2))))&amp;"-"&amp;$I494),"")</f>
        <v/>
      </c>
      <c r="G494" s="17" t="str">
        <f>IF(LEN(_xlfn.IFNA(IF(IFERROR(IF(FIND("_",$B494)&gt;0,MID($B494,FIND("_",$B494)+1,LEN($B494)),IF(FIND("-",$B494)&gt;0,MID($B494,FIND("-",$B494)+1,LEN($B494)))),"")="",IFERROR(VLOOKUP($F494,WP!$B$2:$C$23,2,0),VLOOKUP($C494,Series!$A$3:$F$11,6,0)),IFERROR(VLOOKUP($F494,WP!$B$2:$C$23,2,0),VLOOKUP($C494,Series!$A$3:$F$11,6,0))&amp;" - "&amp;(IFERROR(IF(FIND("_",$B494)&gt;0,MID($B494,FIND("_",$B494)+1,LEN($B494)),IF(FIND("-",$B494)&gt;0,MID($B494,FIND("-",$B494)+1,LEN($B494)))),""))),""))&lt;64,_xlfn.IFNA(IF(IFERROR(IF(FIND("_",$B494)&gt;0,MID($B494,FIND("_",$B494)+1,LEN($B494)),IF(FIND("-",$B494)&gt;0,MID($B494,FIND("-",$B494)+1,LEN($B494)))),"")="",IFERROR(VLOOKUP($F494,WP!$B$2:$C$23,2,0),VLOOKUP($C494,Series!$A$3:$F$11,6,0)),IFERROR(VLOOKUP($F494,WP!$B$2:$C$23,2,0),VLOOKUP($C494,Series!$A$3:$F$11,6,0))&amp;" - "&amp;(IFERROR(IF(FIND("_",$B494)&gt;0,MID($B494,FIND("_",$B494)+1,LEN($B494)),IF(FIND("-",$B494)&gt;0,MID($B494,FIND("-",$B494)+1,LEN($B494)))),""))),""),LEFT((_xlfn.IFNA(IF(IFERROR(IF(FIND("_",$B494)&gt;0,MID($B494,FIND("_",$B494)+1,LEN($B494)),IF(FIND("-",$B494)&gt;0,MID($B494,FIND("-",$B494)+1,LEN($B494)))),"")="",IFERROR(VLOOKUP($F494,WP!$B$2:$C$23,2,0),VLOOKUP($C494,Series!$A$3:$F$11,6,0)),IFERROR(VLOOKUP($F494,WP!$B$2:$C$23,2,0),VLOOKUP($C494,Series!$A$3:$F$11,6,0))&amp;" - "&amp;(IFERROR(IF(FIND("_",$B494)&gt;0,MID($B494,FIND("_",$B494)+1,LEN($B494)),IF(FIND("-",$B494)&gt;0,MID($B494,FIND("-",$B494)+1,LEN($B494)))),""))),"")),64))</f>
        <v/>
      </c>
      <c r="H494" s="12"/>
      <c r="I494" s="12" t="str">
        <f>IF($D494&lt;&gt;"",COUNTIF($D$7:$D494,"="&amp;$D494),"")</f>
        <v/>
      </c>
      <c r="J494"/>
      <c r="K494" s="8"/>
      <c r="L494"/>
    </row>
    <row r="495" spans="1:12" x14ac:dyDescent="0.3">
      <c r="A495" s="1"/>
      <c r="B495" s="26"/>
      <c r="C495" s="12" t="str">
        <f>_xlfn.IFNA(IFERROR(IF(FIND("_",$B495)&gt;0,INDEX(WP!$A$2:$F$23,MATCH(LEFT($B495,FIND("_",$B495)-1),WP!$E$2:$E$23,0),1),IF(FIND("-",$B495)&gt;0,INDEX(WP!$A$2:$F$23,MATCH(LEFT($B495,FIND("_",$B495)-1),WP!$E$2:$E$23,0),1))),INDEX(WP!$A$2:$F$23,MATCH(Results!$B495,WP!$E$2:$E$23,0),1)),"")</f>
        <v/>
      </c>
      <c r="D495" s="12" t="str">
        <f>IFERROR(IFERROR(IF(RIGHT(INDEX(WP!$A$2:$F$23,MATCH(IF(FIND("_",$B495)&gt;0,LEFT($B495,FIND("_",$B495)-1)),WP!$E$2:$E$23,0),2),6)="Series",LEFT(INDEX(WP!$A$2:$F$23,MATCH(IF(FIND("_",$B495)&gt;0,LEFT($B495,FIND("_",$B495)-1)),WP!$E$2:$E$23,0),2),5),""),IF(RIGHT(INDEX(WP!$A$2:$F$23,MATCH($B495,WP!$E$2:$E$23,0),2),6)="Series",LEFT(INDEX(WP!$A$2:$F$23,MATCH($B495,WP!$E$2:$E$23,0),2),5),"")),"")</f>
        <v/>
      </c>
      <c r="E495" s="17" t="str">
        <f>IFERROR(VLOOKUP(VALUE($D495),Series!$B$3:$F$11,2,0),"")</f>
        <v/>
      </c>
      <c r="F495" s="12" t="str">
        <f>_xlfn.IFNA(IF(IF($D495&lt;&gt;"",COUNTIF($E:$E,"="&amp;$D495),"")="",IF(RIGHT(IFERROR(IF(FIND("_",$B495)&gt;0,INDEX(WP!$A$2:$F$23,MATCH(LEFT($B495,FIND("_",$B495)-1),WP!$E$2:$E$23,0),2),IF(FIND("-",$B495)&gt;0,INDEX(WP!$A$2:$F$23,MATCH(LEFT($B495,FIND("_",$B495)-1),WP!$E$2:$E$23,0),2))),INDEX(WP!$A$2:$F$23,MATCH(Results!$B495,WP!$E$2:$E$23,0),2)),6)="Series",LEFT(IFERROR(IF(FIND("_",$B495)&gt;0,INDEX(WP!$A$2:$F$23,MATCH(LEFT($B495,FIND("_",$B495)-1),WP!$E$2:$E$23,0),2),IF(FIND("-",$B495)&gt;0,INDEX(WP!$A$2:$F$23,MATCH(LEFT($B495,FIND("_",$B495)-1),WP!$E$2:$E$23,0),2))),INDEX(WP!$A$2:$F$23,MATCH(Results!$B495,WP!$E$2:$E$23,0),2)),5),(IFERROR(IF(FIND("_",$B495)&gt;0,INDEX(WP!$A$2:$F$23,MATCH(LEFT($B495,FIND("_",$B495)-1),WP!$E$2:$E$23,0),2),IF(FIND("-",$B495)&gt;0,INDEX(WP!$A$2:$F$23,MATCH(LEFT($B495,FIND("_",$B495)-1),WP!$E$2:$E$23,0),2))),INDEX(WP!$A$2:$F$23,MATCH(Results!$B495,WP!$E$2:$E$23,0),2)))),IF(RIGHT(IFERROR(IF(FIND("_",$B495)&gt;0,INDEX(WP!$A$2:$F$23,MATCH(LEFT($B495,FIND("_",$B495)-1),WP!$E$2:$E$23,0),2),IF(FIND("-",$B495)&gt;0,INDEX(WP!$A$2:$F$23,MATCH(LEFT($B495,FIND("_",$B495)-1),WP!$E$2:$E$23,0),2))),INDEX(WP!$A$2:$F$23,MATCH(Results!$B495,WP!$E$2:$E$23,0),2)),6)="Series",LEFT(IFERROR(IF(FIND("_",$B495)&gt;0,INDEX(WP!$A$2:$F$23,MATCH(LEFT($B495,FIND("_",$B495)-1),WP!$E$2:$E$23,0),2),IF(FIND("-",$B495)&gt;0,INDEX(WP!$A$2:$F$23,MATCH(LEFT($B495,FIND("_",$B495)-1),WP!$E$2:$E$23,0),2))),INDEX(WP!$A$2:$F$23,MATCH(Results!$B495,WP!$E$2:$E$23,0),2)),5),(IFERROR(IF(FIND("_",$B495)&gt;0,INDEX(WP!$A$2:$F$23,MATCH(LEFT($B495,FIND("_",$B495)-1),WP!$E$2:$E$23,0),2),IF(FIND("-",$B495)&gt;0,INDEX(WP!$A$2:$F$23,MATCH(LEFT($B495,FIND("_",$B495)-1),WP!$E$2:$E$23,0),2))),INDEX(WP!$A$2:$F$23,MATCH(Results!$B495,WP!$E$2:$E$23,0),2))))&amp;"-"&amp;$I495),"")</f>
        <v/>
      </c>
      <c r="G495" s="17" t="str">
        <f>IF(LEN(_xlfn.IFNA(IF(IFERROR(IF(FIND("_",$B495)&gt;0,MID($B495,FIND("_",$B495)+1,LEN($B495)),IF(FIND("-",$B495)&gt;0,MID($B495,FIND("-",$B495)+1,LEN($B495)))),"")="",IFERROR(VLOOKUP($F495,WP!$B$2:$C$23,2,0),VLOOKUP($C495,Series!$A$3:$F$11,6,0)),IFERROR(VLOOKUP($F495,WP!$B$2:$C$23,2,0),VLOOKUP($C495,Series!$A$3:$F$11,6,0))&amp;" - "&amp;(IFERROR(IF(FIND("_",$B495)&gt;0,MID($B495,FIND("_",$B495)+1,LEN($B495)),IF(FIND("-",$B495)&gt;0,MID($B495,FIND("-",$B495)+1,LEN($B495)))),""))),""))&lt;64,_xlfn.IFNA(IF(IFERROR(IF(FIND("_",$B495)&gt;0,MID($B495,FIND("_",$B495)+1,LEN($B495)),IF(FIND("-",$B495)&gt;0,MID($B495,FIND("-",$B495)+1,LEN($B495)))),"")="",IFERROR(VLOOKUP($F495,WP!$B$2:$C$23,2,0),VLOOKUP($C495,Series!$A$3:$F$11,6,0)),IFERROR(VLOOKUP($F495,WP!$B$2:$C$23,2,0),VLOOKUP($C495,Series!$A$3:$F$11,6,0))&amp;" - "&amp;(IFERROR(IF(FIND("_",$B495)&gt;0,MID($B495,FIND("_",$B495)+1,LEN($B495)),IF(FIND("-",$B495)&gt;0,MID($B495,FIND("-",$B495)+1,LEN($B495)))),""))),""),LEFT((_xlfn.IFNA(IF(IFERROR(IF(FIND("_",$B495)&gt;0,MID($B495,FIND("_",$B495)+1,LEN($B495)),IF(FIND("-",$B495)&gt;0,MID($B495,FIND("-",$B495)+1,LEN($B495)))),"")="",IFERROR(VLOOKUP($F495,WP!$B$2:$C$23,2,0),VLOOKUP($C495,Series!$A$3:$F$11,6,0)),IFERROR(VLOOKUP($F495,WP!$B$2:$C$23,2,0),VLOOKUP($C495,Series!$A$3:$F$11,6,0))&amp;" - "&amp;(IFERROR(IF(FIND("_",$B495)&gt;0,MID($B495,FIND("_",$B495)+1,LEN($B495)),IF(FIND("-",$B495)&gt;0,MID($B495,FIND("-",$B495)+1,LEN($B495)))),""))),"")),64))</f>
        <v/>
      </c>
      <c r="H495" s="12"/>
      <c r="I495" s="12" t="str">
        <f>IF($D495&lt;&gt;"",COUNTIF($D$7:$D495,"="&amp;$D495),"")</f>
        <v/>
      </c>
      <c r="J495"/>
      <c r="K495" s="8"/>
      <c r="L495"/>
    </row>
    <row r="496" spans="1:12" x14ac:dyDescent="0.3">
      <c r="A496" s="1"/>
      <c r="B496" s="26"/>
      <c r="C496" s="12" t="str">
        <f>_xlfn.IFNA(IFERROR(IF(FIND("_",$B496)&gt;0,INDEX(WP!$A$2:$F$23,MATCH(LEFT($B496,FIND("_",$B496)-1),WP!$E$2:$E$23,0),1),IF(FIND("-",$B496)&gt;0,INDEX(WP!$A$2:$F$23,MATCH(LEFT($B496,FIND("_",$B496)-1),WP!$E$2:$E$23,0),1))),INDEX(WP!$A$2:$F$23,MATCH(Results!$B496,WP!$E$2:$E$23,0),1)),"")</f>
        <v/>
      </c>
      <c r="D496" s="12" t="str">
        <f>IFERROR(IFERROR(IF(RIGHT(INDEX(WP!$A$2:$F$23,MATCH(IF(FIND("_",$B496)&gt;0,LEFT($B496,FIND("_",$B496)-1)),WP!$E$2:$E$23,0),2),6)="Series",LEFT(INDEX(WP!$A$2:$F$23,MATCH(IF(FIND("_",$B496)&gt;0,LEFT($B496,FIND("_",$B496)-1)),WP!$E$2:$E$23,0),2),5),""),IF(RIGHT(INDEX(WP!$A$2:$F$23,MATCH($B496,WP!$E$2:$E$23,0),2),6)="Series",LEFT(INDEX(WP!$A$2:$F$23,MATCH($B496,WP!$E$2:$E$23,0),2),5),"")),"")</f>
        <v/>
      </c>
      <c r="E496" s="17" t="str">
        <f>IFERROR(VLOOKUP(VALUE($D496),Series!$B$3:$F$11,2,0),"")</f>
        <v/>
      </c>
      <c r="F496" s="12" t="str">
        <f>_xlfn.IFNA(IF(IF($D496&lt;&gt;"",COUNTIF($E:$E,"="&amp;$D496),"")="",IF(RIGHT(IFERROR(IF(FIND("_",$B496)&gt;0,INDEX(WP!$A$2:$F$23,MATCH(LEFT($B496,FIND("_",$B496)-1),WP!$E$2:$E$23,0),2),IF(FIND("-",$B496)&gt;0,INDEX(WP!$A$2:$F$23,MATCH(LEFT($B496,FIND("_",$B496)-1),WP!$E$2:$E$23,0),2))),INDEX(WP!$A$2:$F$23,MATCH(Results!$B496,WP!$E$2:$E$23,0),2)),6)="Series",LEFT(IFERROR(IF(FIND("_",$B496)&gt;0,INDEX(WP!$A$2:$F$23,MATCH(LEFT($B496,FIND("_",$B496)-1),WP!$E$2:$E$23,0),2),IF(FIND("-",$B496)&gt;0,INDEX(WP!$A$2:$F$23,MATCH(LEFT($B496,FIND("_",$B496)-1),WP!$E$2:$E$23,0),2))),INDEX(WP!$A$2:$F$23,MATCH(Results!$B496,WP!$E$2:$E$23,0),2)),5),(IFERROR(IF(FIND("_",$B496)&gt;0,INDEX(WP!$A$2:$F$23,MATCH(LEFT($B496,FIND("_",$B496)-1),WP!$E$2:$E$23,0),2),IF(FIND("-",$B496)&gt;0,INDEX(WP!$A$2:$F$23,MATCH(LEFT($B496,FIND("_",$B496)-1),WP!$E$2:$E$23,0),2))),INDEX(WP!$A$2:$F$23,MATCH(Results!$B496,WP!$E$2:$E$23,0),2)))),IF(RIGHT(IFERROR(IF(FIND("_",$B496)&gt;0,INDEX(WP!$A$2:$F$23,MATCH(LEFT($B496,FIND("_",$B496)-1),WP!$E$2:$E$23,0),2),IF(FIND("-",$B496)&gt;0,INDEX(WP!$A$2:$F$23,MATCH(LEFT($B496,FIND("_",$B496)-1),WP!$E$2:$E$23,0),2))),INDEX(WP!$A$2:$F$23,MATCH(Results!$B496,WP!$E$2:$E$23,0),2)),6)="Series",LEFT(IFERROR(IF(FIND("_",$B496)&gt;0,INDEX(WP!$A$2:$F$23,MATCH(LEFT($B496,FIND("_",$B496)-1),WP!$E$2:$E$23,0),2),IF(FIND("-",$B496)&gt;0,INDEX(WP!$A$2:$F$23,MATCH(LEFT($B496,FIND("_",$B496)-1),WP!$E$2:$E$23,0),2))),INDEX(WP!$A$2:$F$23,MATCH(Results!$B496,WP!$E$2:$E$23,0),2)),5),(IFERROR(IF(FIND("_",$B496)&gt;0,INDEX(WP!$A$2:$F$23,MATCH(LEFT($B496,FIND("_",$B496)-1),WP!$E$2:$E$23,0),2),IF(FIND("-",$B496)&gt;0,INDEX(WP!$A$2:$F$23,MATCH(LEFT($B496,FIND("_",$B496)-1),WP!$E$2:$E$23,0),2))),INDEX(WP!$A$2:$F$23,MATCH(Results!$B496,WP!$E$2:$E$23,0),2))))&amp;"-"&amp;$I496),"")</f>
        <v/>
      </c>
      <c r="G496" s="17" t="str">
        <f>IF(LEN(_xlfn.IFNA(IF(IFERROR(IF(FIND("_",$B496)&gt;0,MID($B496,FIND("_",$B496)+1,LEN($B496)),IF(FIND("-",$B496)&gt;0,MID($B496,FIND("-",$B496)+1,LEN($B496)))),"")="",IFERROR(VLOOKUP($F496,WP!$B$2:$C$23,2,0),VLOOKUP($C496,Series!$A$3:$F$11,6,0)),IFERROR(VLOOKUP($F496,WP!$B$2:$C$23,2,0),VLOOKUP($C496,Series!$A$3:$F$11,6,0))&amp;" - "&amp;(IFERROR(IF(FIND("_",$B496)&gt;0,MID($B496,FIND("_",$B496)+1,LEN($B496)),IF(FIND("-",$B496)&gt;0,MID($B496,FIND("-",$B496)+1,LEN($B496)))),""))),""))&lt;64,_xlfn.IFNA(IF(IFERROR(IF(FIND("_",$B496)&gt;0,MID($B496,FIND("_",$B496)+1,LEN($B496)),IF(FIND("-",$B496)&gt;0,MID($B496,FIND("-",$B496)+1,LEN($B496)))),"")="",IFERROR(VLOOKUP($F496,WP!$B$2:$C$23,2,0),VLOOKUP($C496,Series!$A$3:$F$11,6,0)),IFERROR(VLOOKUP($F496,WP!$B$2:$C$23,2,0),VLOOKUP($C496,Series!$A$3:$F$11,6,0))&amp;" - "&amp;(IFERROR(IF(FIND("_",$B496)&gt;0,MID($B496,FIND("_",$B496)+1,LEN($B496)),IF(FIND("-",$B496)&gt;0,MID($B496,FIND("-",$B496)+1,LEN($B496)))),""))),""),LEFT((_xlfn.IFNA(IF(IFERROR(IF(FIND("_",$B496)&gt;0,MID($B496,FIND("_",$B496)+1,LEN($B496)),IF(FIND("-",$B496)&gt;0,MID($B496,FIND("-",$B496)+1,LEN($B496)))),"")="",IFERROR(VLOOKUP($F496,WP!$B$2:$C$23,2,0),VLOOKUP($C496,Series!$A$3:$F$11,6,0)),IFERROR(VLOOKUP($F496,WP!$B$2:$C$23,2,0),VLOOKUP($C496,Series!$A$3:$F$11,6,0))&amp;" - "&amp;(IFERROR(IF(FIND("_",$B496)&gt;0,MID($B496,FIND("_",$B496)+1,LEN($B496)),IF(FIND("-",$B496)&gt;0,MID($B496,FIND("-",$B496)+1,LEN($B496)))),""))),"")),64))</f>
        <v/>
      </c>
      <c r="H496" s="12"/>
      <c r="I496" s="12" t="str">
        <f>IF($D496&lt;&gt;"",COUNTIF($D$7:$D496,"="&amp;$D496),"")</f>
        <v/>
      </c>
      <c r="J496"/>
      <c r="K496" s="8"/>
      <c r="L496"/>
    </row>
    <row r="497" spans="1:12" x14ac:dyDescent="0.3">
      <c r="A497" s="1"/>
      <c r="B497" s="26"/>
      <c r="C497" s="12" t="str">
        <f>_xlfn.IFNA(IFERROR(IF(FIND("_",$B497)&gt;0,INDEX(WP!$A$2:$F$23,MATCH(LEFT($B497,FIND("_",$B497)-1),WP!$E$2:$E$23,0),1),IF(FIND("-",$B497)&gt;0,INDEX(WP!$A$2:$F$23,MATCH(LEFT($B497,FIND("_",$B497)-1),WP!$E$2:$E$23,0),1))),INDEX(WP!$A$2:$F$23,MATCH(Results!$B497,WP!$E$2:$E$23,0),1)),"")</f>
        <v/>
      </c>
      <c r="D497" s="12" t="str">
        <f>IFERROR(IFERROR(IF(RIGHT(INDEX(WP!$A$2:$F$23,MATCH(IF(FIND("_",$B497)&gt;0,LEFT($B497,FIND("_",$B497)-1)),WP!$E$2:$E$23,0),2),6)="Series",LEFT(INDEX(WP!$A$2:$F$23,MATCH(IF(FIND("_",$B497)&gt;0,LEFT($B497,FIND("_",$B497)-1)),WP!$E$2:$E$23,0),2),5),""),IF(RIGHT(INDEX(WP!$A$2:$F$23,MATCH($B497,WP!$E$2:$E$23,0),2),6)="Series",LEFT(INDEX(WP!$A$2:$F$23,MATCH($B497,WP!$E$2:$E$23,0),2),5),"")),"")</f>
        <v/>
      </c>
      <c r="E497" s="17" t="str">
        <f>IFERROR(VLOOKUP(VALUE($D497),Series!$B$3:$F$11,2,0),"")</f>
        <v/>
      </c>
      <c r="F497" s="12" t="str">
        <f>_xlfn.IFNA(IF(IF($D497&lt;&gt;"",COUNTIF($E:$E,"="&amp;$D497),"")="",IF(RIGHT(IFERROR(IF(FIND("_",$B497)&gt;0,INDEX(WP!$A$2:$F$23,MATCH(LEFT($B497,FIND("_",$B497)-1),WP!$E$2:$E$23,0),2),IF(FIND("-",$B497)&gt;0,INDEX(WP!$A$2:$F$23,MATCH(LEFT($B497,FIND("_",$B497)-1),WP!$E$2:$E$23,0),2))),INDEX(WP!$A$2:$F$23,MATCH(Results!$B497,WP!$E$2:$E$23,0),2)),6)="Series",LEFT(IFERROR(IF(FIND("_",$B497)&gt;0,INDEX(WP!$A$2:$F$23,MATCH(LEFT($B497,FIND("_",$B497)-1),WP!$E$2:$E$23,0),2),IF(FIND("-",$B497)&gt;0,INDEX(WP!$A$2:$F$23,MATCH(LEFT($B497,FIND("_",$B497)-1),WP!$E$2:$E$23,0),2))),INDEX(WP!$A$2:$F$23,MATCH(Results!$B497,WP!$E$2:$E$23,0),2)),5),(IFERROR(IF(FIND("_",$B497)&gt;0,INDEX(WP!$A$2:$F$23,MATCH(LEFT($B497,FIND("_",$B497)-1),WP!$E$2:$E$23,0),2),IF(FIND("-",$B497)&gt;0,INDEX(WP!$A$2:$F$23,MATCH(LEFT($B497,FIND("_",$B497)-1),WP!$E$2:$E$23,0),2))),INDEX(WP!$A$2:$F$23,MATCH(Results!$B497,WP!$E$2:$E$23,0),2)))),IF(RIGHT(IFERROR(IF(FIND("_",$B497)&gt;0,INDEX(WP!$A$2:$F$23,MATCH(LEFT($B497,FIND("_",$B497)-1),WP!$E$2:$E$23,0),2),IF(FIND("-",$B497)&gt;0,INDEX(WP!$A$2:$F$23,MATCH(LEFT($B497,FIND("_",$B497)-1),WP!$E$2:$E$23,0),2))),INDEX(WP!$A$2:$F$23,MATCH(Results!$B497,WP!$E$2:$E$23,0),2)),6)="Series",LEFT(IFERROR(IF(FIND("_",$B497)&gt;0,INDEX(WP!$A$2:$F$23,MATCH(LEFT($B497,FIND("_",$B497)-1),WP!$E$2:$E$23,0),2),IF(FIND("-",$B497)&gt;0,INDEX(WP!$A$2:$F$23,MATCH(LEFT($B497,FIND("_",$B497)-1),WP!$E$2:$E$23,0),2))),INDEX(WP!$A$2:$F$23,MATCH(Results!$B497,WP!$E$2:$E$23,0),2)),5),(IFERROR(IF(FIND("_",$B497)&gt;0,INDEX(WP!$A$2:$F$23,MATCH(LEFT($B497,FIND("_",$B497)-1),WP!$E$2:$E$23,0),2),IF(FIND("-",$B497)&gt;0,INDEX(WP!$A$2:$F$23,MATCH(LEFT($B497,FIND("_",$B497)-1),WP!$E$2:$E$23,0),2))),INDEX(WP!$A$2:$F$23,MATCH(Results!$B497,WP!$E$2:$E$23,0),2))))&amp;"-"&amp;$I497),"")</f>
        <v/>
      </c>
      <c r="G497" s="17" t="str">
        <f>IF(LEN(_xlfn.IFNA(IF(IFERROR(IF(FIND("_",$B497)&gt;0,MID($B497,FIND("_",$B497)+1,LEN($B497)),IF(FIND("-",$B497)&gt;0,MID($B497,FIND("-",$B497)+1,LEN($B497)))),"")="",IFERROR(VLOOKUP($F497,WP!$B$2:$C$23,2,0),VLOOKUP($C497,Series!$A$3:$F$11,6,0)),IFERROR(VLOOKUP($F497,WP!$B$2:$C$23,2,0),VLOOKUP($C497,Series!$A$3:$F$11,6,0))&amp;" - "&amp;(IFERROR(IF(FIND("_",$B497)&gt;0,MID($B497,FIND("_",$B497)+1,LEN($B497)),IF(FIND("-",$B497)&gt;0,MID($B497,FIND("-",$B497)+1,LEN($B497)))),""))),""))&lt;64,_xlfn.IFNA(IF(IFERROR(IF(FIND("_",$B497)&gt;0,MID($B497,FIND("_",$B497)+1,LEN($B497)),IF(FIND("-",$B497)&gt;0,MID($B497,FIND("-",$B497)+1,LEN($B497)))),"")="",IFERROR(VLOOKUP($F497,WP!$B$2:$C$23,2,0),VLOOKUP($C497,Series!$A$3:$F$11,6,0)),IFERROR(VLOOKUP($F497,WP!$B$2:$C$23,2,0),VLOOKUP($C497,Series!$A$3:$F$11,6,0))&amp;" - "&amp;(IFERROR(IF(FIND("_",$B497)&gt;0,MID($B497,FIND("_",$B497)+1,LEN($B497)),IF(FIND("-",$B497)&gt;0,MID($B497,FIND("-",$B497)+1,LEN($B497)))),""))),""),LEFT((_xlfn.IFNA(IF(IFERROR(IF(FIND("_",$B497)&gt;0,MID($B497,FIND("_",$B497)+1,LEN($B497)),IF(FIND("-",$B497)&gt;0,MID($B497,FIND("-",$B497)+1,LEN($B497)))),"")="",IFERROR(VLOOKUP($F497,WP!$B$2:$C$23,2,0),VLOOKUP($C497,Series!$A$3:$F$11,6,0)),IFERROR(VLOOKUP($F497,WP!$B$2:$C$23,2,0),VLOOKUP($C497,Series!$A$3:$F$11,6,0))&amp;" - "&amp;(IFERROR(IF(FIND("_",$B497)&gt;0,MID($B497,FIND("_",$B497)+1,LEN($B497)),IF(FIND("-",$B497)&gt;0,MID($B497,FIND("-",$B497)+1,LEN($B497)))),""))),"")),64))</f>
        <v/>
      </c>
      <c r="H497" s="12"/>
      <c r="I497" s="12" t="str">
        <f>IF($D497&lt;&gt;"",COUNTIF($D$7:$D497,"="&amp;$D497),"")</f>
        <v/>
      </c>
      <c r="J497"/>
      <c r="K497" s="8"/>
      <c r="L497"/>
    </row>
    <row r="498" spans="1:12" x14ac:dyDescent="0.3">
      <c r="A498" s="1"/>
      <c r="B498" s="26"/>
      <c r="C498" s="12" t="str">
        <f>_xlfn.IFNA(IFERROR(IF(FIND("_",$B498)&gt;0,INDEX(WP!$A$2:$F$23,MATCH(LEFT($B498,FIND("_",$B498)-1),WP!$E$2:$E$23,0),1),IF(FIND("-",$B498)&gt;0,INDEX(WP!$A$2:$F$23,MATCH(LEFT($B498,FIND("_",$B498)-1),WP!$E$2:$E$23,0),1))),INDEX(WP!$A$2:$F$23,MATCH(Results!$B498,WP!$E$2:$E$23,0),1)),"")</f>
        <v/>
      </c>
      <c r="D498" s="12" t="str">
        <f>IFERROR(IFERROR(IF(RIGHT(INDEX(WP!$A$2:$F$23,MATCH(IF(FIND("_",$B498)&gt;0,LEFT($B498,FIND("_",$B498)-1)),WP!$E$2:$E$23,0),2),6)="Series",LEFT(INDEX(WP!$A$2:$F$23,MATCH(IF(FIND("_",$B498)&gt;0,LEFT($B498,FIND("_",$B498)-1)),WP!$E$2:$E$23,0),2),5),""),IF(RIGHT(INDEX(WP!$A$2:$F$23,MATCH($B498,WP!$E$2:$E$23,0),2),6)="Series",LEFT(INDEX(WP!$A$2:$F$23,MATCH($B498,WP!$E$2:$E$23,0),2),5),"")),"")</f>
        <v/>
      </c>
      <c r="E498" s="17" t="str">
        <f>IFERROR(VLOOKUP(VALUE($D498),Series!$B$3:$F$11,2,0),"")</f>
        <v/>
      </c>
      <c r="F498" s="12" t="str">
        <f>_xlfn.IFNA(IF(IF($D498&lt;&gt;"",COUNTIF($E:$E,"="&amp;$D498),"")="",IF(RIGHT(IFERROR(IF(FIND("_",$B498)&gt;0,INDEX(WP!$A$2:$F$23,MATCH(LEFT($B498,FIND("_",$B498)-1),WP!$E$2:$E$23,0),2),IF(FIND("-",$B498)&gt;0,INDEX(WP!$A$2:$F$23,MATCH(LEFT($B498,FIND("_",$B498)-1),WP!$E$2:$E$23,0),2))),INDEX(WP!$A$2:$F$23,MATCH(Results!$B498,WP!$E$2:$E$23,0),2)),6)="Series",LEFT(IFERROR(IF(FIND("_",$B498)&gt;0,INDEX(WP!$A$2:$F$23,MATCH(LEFT($B498,FIND("_",$B498)-1),WP!$E$2:$E$23,0),2),IF(FIND("-",$B498)&gt;0,INDEX(WP!$A$2:$F$23,MATCH(LEFT($B498,FIND("_",$B498)-1),WP!$E$2:$E$23,0),2))),INDEX(WP!$A$2:$F$23,MATCH(Results!$B498,WP!$E$2:$E$23,0),2)),5),(IFERROR(IF(FIND("_",$B498)&gt;0,INDEX(WP!$A$2:$F$23,MATCH(LEFT($B498,FIND("_",$B498)-1),WP!$E$2:$E$23,0),2),IF(FIND("-",$B498)&gt;0,INDEX(WP!$A$2:$F$23,MATCH(LEFT($B498,FIND("_",$B498)-1),WP!$E$2:$E$23,0),2))),INDEX(WP!$A$2:$F$23,MATCH(Results!$B498,WP!$E$2:$E$23,0),2)))),IF(RIGHT(IFERROR(IF(FIND("_",$B498)&gt;0,INDEX(WP!$A$2:$F$23,MATCH(LEFT($B498,FIND("_",$B498)-1),WP!$E$2:$E$23,0),2),IF(FIND("-",$B498)&gt;0,INDEX(WP!$A$2:$F$23,MATCH(LEFT($B498,FIND("_",$B498)-1),WP!$E$2:$E$23,0),2))),INDEX(WP!$A$2:$F$23,MATCH(Results!$B498,WP!$E$2:$E$23,0),2)),6)="Series",LEFT(IFERROR(IF(FIND("_",$B498)&gt;0,INDEX(WP!$A$2:$F$23,MATCH(LEFT($B498,FIND("_",$B498)-1),WP!$E$2:$E$23,0),2),IF(FIND("-",$B498)&gt;0,INDEX(WP!$A$2:$F$23,MATCH(LEFT($B498,FIND("_",$B498)-1),WP!$E$2:$E$23,0),2))),INDEX(WP!$A$2:$F$23,MATCH(Results!$B498,WP!$E$2:$E$23,0),2)),5),(IFERROR(IF(FIND("_",$B498)&gt;0,INDEX(WP!$A$2:$F$23,MATCH(LEFT($B498,FIND("_",$B498)-1),WP!$E$2:$E$23,0),2),IF(FIND("-",$B498)&gt;0,INDEX(WP!$A$2:$F$23,MATCH(LEFT($B498,FIND("_",$B498)-1),WP!$E$2:$E$23,0),2))),INDEX(WP!$A$2:$F$23,MATCH(Results!$B498,WP!$E$2:$E$23,0),2))))&amp;"-"&amp;$I498),"")</f>
        <v/>
      </c>
      <c r="G498" s="17" t="str">
        <f>IF(LEN(_xlfn.IFNA(IF(IFERROR(IF(FIND("_",$B498)&gt;0,MID($B498,FIND("_",$B498)+1,LEN($B498)),IF(FIND("-",$B498)&gt;0,MID($B498,FIND("-",$B498)+1,LEN($B498)))),"")="",IFERROR(VLOOKUP($F498,WP!$B$2:$C$23,2,0),VLOOKUP($C498,Series!$A$3:$F$11,6,0)),IFERROR(VLOOKUP($F498,WP!$B$2:$C$23,2,0),VLOOKUP($C498,Series!$A$3:$F$11,6,0))&amp;" - "&amp;(IFERROR(IF(FIND("_",$B498)&gt;0,MID($B498,FIND("_",$B498)+1,LEN($B498)),IF(FIND("-",$B498)&gt;0,MID($B498,FIND("-",$B498)+1,LEN($B498)))),""))),""))&lt;64,_xlfn.IFNA(IF(IFERROR(IF(FIND("_",$B498)&gt;0,MID($B498,FIND("_",$B498)+1,LEN($B498)),IF(FIND("-",$B498)&gt;0,MID($B498,FIND("-",$B498)+1,LEN($B498)))),"")="",IFERROR(VLOOKUP($F498,WP!$B$2:$C$23,2,0),VLOOKUP($C498,Series!$A$3:$F$11,6,0)),IFERROR(VLOOKUP($F498,WP!$B$2:$C$23,2,0),VLOOKUP($C498,Series!$A$3:$F$11,6,0))&amp;" - "&amp;(IFERROR(IF(FIND("_",$B498)&gt;0,MID($B498,FIND("_",$B498)+1,LEN($B498)),IF(FIND("-",$B498)&gt;0,MID($B498,FIND("-",$B498)+1,LEN($B498)))),""))),""),LEFT((_xlfn.IFNA(IF(IFERROR(IF(FIND("_",$B498)&gt;0,MID($B498,FIND("_",$B498)+1,LEN($B498)),IF(FIND("-",$B498)&gt;0,MID($B498,FIND("-",$B498)+1,LEN($B498)))),"")="",IFERROR(VLOOKUP($F498,WP!$B$2:$C$23,2,0),VLOOKUP($C498,Series!$A$3:$F$11,6,0)),IFERROR(VLOOKUP($F498,WP!$B$2:$C$23,2,0),VLOOKUP($C498,Series!$A$3:$F$11,6,0))&amp;" - "&amp;(IFERROR(IF(FIND("_",$B498)&gt;0,MID($B498,FIND("_",$B498)+1,LEN($B498)),IF(FIND("-",$B498)&gt;0,MID($B498,FIND("-",$B498)+1,LEN($B498)))),""))),"")),64))</f>
        <v/>
      </c>
      <c r="H498" s="12"/>
      <c r="I498" s="12" t="str">
        <f>IF($D498&lt;&gt;"",COUNTIF($D$7:$D498,"="&amp;$D498),"")</f>
        <v/>
      </c>
      <c r="J498"/>
      <c r="K498" s="8"/>
      <c r="L498"/>
    </row>
    <row r="499" spans="1:12" x14ac:dyDescent="0.3">
      <c r="A499" s="1"/>
      <c r="B499" s="26"/>
      <c r="C499" s="12" t="str">
        <f>_xlfn.IFNA(IFERROR(IF(FIND("_",$B499)&gt;0,INDEX(WP!$A$2:$F$23,MATCH(LEFT($B499,FIND("_",$B499)-1),WP!$E$2:$E$23,0),1),IF(FIND("-",$B499)&gt;0,INDEX(WP!$A$2:$F$23,MATCH(LEFT($B499,FIND("_",$B499)-1),WP!$E$2:$E$23,0),1))),INDEX(WP!$A$2:$F$23,MATCH(Results!$B499,WP!$E$2:$E$23,0),1)),"")</f>
        <v/>
      </c>
      <c r="D499" s="12" t="str">
        <f>IFERROR(IFERROR(IF(RIGHT(INDEX(WP!$A$2:$F$23,MATCH(IF(FIND("_",$B499)&gt;0,LEFT($B499,FIND("_",$B499)-1)),WP!$E$2:$E$23,0),2),6)="Series",LEFT(INDEX(WP!$A$2:$F$23,MATCH(IF(FIND("_",$B499)&gt;0,LEFT($B499,FIND("_",$B499)-1)),WP!$E$2:$E$23,0),2),5),""),IF(RIGHT(INDEX(WP!$A$2:$F$23,MATCH($B499,WP!$E$2:$E$23,0),2),6)="Series",LEFT(INDEX(WP!$A$2:$F$23,MATCH($B499,WP!$E$2:$E$23,0),2),5),"")),"")</f>
        <v/>
      </c>
      <c r="E499" s="17" t="str">
        <f>IFERROR(VLOOKUP(VALUE($D499),Series!$B$3:$F$11,2,0),"")</f>
        <v/>
      </c>
      <c r="F499" s="12" t="str">
        <f>_xlfn.IFNA(IF(IF($D499&lt;&gt;"",COUNTIF($E:$E,"="&amp;$D499),"")="",IF(RIGHT(IFERROR(IF(FIND("_",$B499)&gt;0,INDEX(WP!$A$2:$F$23,MATCH(LEFT($B499,FIND("_",$B499)-1),WP!$E$2:$E$23,0),2),IF(FIND("-",$B499)&gt;0,INDEX(WP!$A$2:$F$23,MATCH(LEFT($B499,FIND("_",$B499)-1),WP!$E$2:$E$23,0),2))),INDEX(WP!$A$2:$F$23,MATCH(Results!$B499,WP!$E$2:$E$23,0),2)),6)="Series",LEFT(IFERROR(IF(FIND("_",$B499)&gt;0,INDEX(WP!$A$2:$F$23,MATCH(LEFT($B499,FIND("_",$B499)-1),WP!$E$2:$E$23,0),2),IF(FIND("-",$B499)&gt;0,INDEX(WP!$A$2:$F$23,MATCH(LEFT($B499,FIND("_",$B499)-1),WP!$E$2:$E$23,0),2))),INDEX(WP!$A$2:$F$23,MATCH(Results!$B499,WP!$E$2:$E$23,0),2)),5),(IFERROR(IF(FIND("_",$B499)&gt;0,INDEX(WP!$A$2:$F$23,MATCH(LEFT($B499,FIND("_",$B499)-1),WP!$E$2:$E$23,0),2),IF(FIND("-",$B499)&gt;0,INDEX(WP!$A$2:$F$23,MATCH(LEFT($B499,FIND("_",$B499)-1),WP!$E$2:$E$23,0),2))),INDEX(WP!$A$2:$F$23,MATCH(Results!$B499,WP!$E$2:$E$23,0),2)))),IF(RIGHT(IFERROR(IF(FIND("_",$B499)&gt;0,INDEX(WP!$A$2:$F$23,MATCH(LEFT($B499,FIND("_",$B499)-1),WP!$E$2:$E$23,0),2),IF(FIND("-",$B499)&gt;0,INDEX(WP!$A$2:$F$23,MATCH(LEFT($B499,FIND("_",$B499)-1),WP!$E$2:$E$23,0),2))),INDEX(WP!$A$2:$F$23,MATCH(Results!$B499,WP!$E$2:$E$23,0),2)),6)="Series",LEFT(IFERROR(IF(FIND("_",$B499)&gt;0,INDEX(WP!$A$2:$F$23,MATCH(LEFT($B499,FIND("_",$B499)-1),WP!$E$2:$E$23,0),2),IF(FIND("-",$B499)&gt;0,INDEX(WP!$A$2:$F$23,MATCH(LEFT($B499,FIND("_",$B499)-1),WP!$E$2:$E$23,0),2))),INDEX(WP!$A$2:$F$23,MATCH(Results!$B499,WP!$E$2:$E$23,0),2)),5),(IFERROR(IF(FIND("_",$B499)&gt;0,INDEX(WP!$A$2:$F$23,MATCH(LEFT($B499,FIND("_",$B499)-1),WP!$E$2:$E$23,0),2),IF(FIND("-",$B499)&gt;0,INDEX(WP!$A$2:$F$23,MATCH(LEFT($B499,FIND("_",$B499)-1),WP!$E$2:$E$23,0),2))),INDEX(WP!$A$2:$F$23,MATCH(Results!$B499,WP!$E$2:$E$23,0),2))))&amp;"-"&amp;$I499),"")</f>
        <v/>
      </c>
      <c r="G499" s="17" t="str">
        <f>IF(LEN(_xlfn.IFNA(IF(IFERROR(IF(FIND("_",$B499)&gt;0,MID($B499,FIND("_",$B499)+1,LEN($B499)),IF(FIND("-",$B499)&gt;0,MID($B499,FIND("-",$B499)+1,LEN($B499)))),"")="",IFERROR(VLOOKUP($F499,WP!$B$2:$C$23,2,0),VLOOKUP($C499,Series!$A$3:$F$11,6,0)),IFERROR(VLOOKUP($F499,WP!$B$2:$C$23,2,0),VLOOKUP($C499,Series!$A$3:$F$11,6,0))&amp;" - "&amp;(IFERROR(IF(FIND("_",$B499)&gt;0,MID($B499,FIND("_",$B499)+1,LEN($B499)),IF(FIND("-",$B499)&gt;0,MID($B499,FIND("-",$B499)+1,LEN($B499)))),""))),""))&lt;64,_xlfn.IFNA(IF(IFERROR(IF(FIND("_",$B499)&gt;0,MID($B499,FIND("_",$B499)+1,LEN($B499)),IF(FIND("-",$B499)&gt;0,MID($B499,FIND("-",$B499)+1,LEN($B499)))),"")="",IFERROR(VLOOKUP($F499,WP!$B$2:$C$23,2,0),VLOOKUP($C499,Series!$A$3:$F$11,6,0)),IFERROR(VLOOKUP($F499,WP!$B$2:$C$23,2,0),VLOOKUP($C499,Series!$A$3:$F$11,6,0))&amp;" - "&amp;(IFERROR(IF(FIND("_",$B499)&gt;0,MID($B499,FIND("_",$B499)+1,LEN($B499)),IF(FIND("-",$B499)&gt;0,MID($B499,FIND("-",$B499)+1,LEN($B499)))),""))),""),LEFT((_xlfn.IFNA(IF(IFERROR(IF(FIND("_",$B499)&gt;0,MID($B499,FIND("_",$B499)+1,LEN($B499)),IF(FIND("-",$B499)&gt;0,MID($B499,FIND("-",$B499)+1,LEN($B499)))),"")="",IFERROR(VLOOKUP($F499,WP!$B$2:$C$23,2,0),VLOOKUP($C499,Series!$A$3:$F$11,6,0)),IFERROR(VLOOKUP($F499,WP!$B$2:$C$23,2,0),VLOOKUP($C499,Series!$A$3:$F$11,6,0))&amp;" - "&amp;(IFERROR(IF(FIND("_",$B499)&gt;0,MID($B499,FIND("_",$B499)+1,LEN($B499)),IF(FIND("-",$B499)&gt;0,MID($B499,FIND("-",$B499)+1,LEN($B499)))),""))),"")),64))</f>
        <v/>
      </c>
      <c r="H499" s="12"/>
      <c r="I499" s="12" t="str">
        <f>IF($D499&lt;&gt;"",COUNTIF($D$7:$D499,"="&amp;$D499),"")</f>
        <v/>
      </c>
      <c r="J499"/>
      <c r="K499" s="8"/>
      <c r="L499"/>
    </row>
    <row r="500" spans="1:12" x14ac:dyDescent="0.3">
      <c r="B500" s="26"/>
      <c r="C500" s="12" t="str">
        <f>_xlfn.IFNA(IFERROR(IF(FIND("_",$B500)&gt;0,INDEX(WP!$A$2:$F$23,MATCH(LEFT($B500,FIND("_",$B500)-1),WP!$E$2:$E$23,0),1),IF(FIND("-",$B500)&gt;0,INDEX(WP!$A$2:$F$23,MATCH(LEFT($B500,FIND("_",$B500)-1),WP!$E$2:$E$23,0),1))),INDEX(WP!$A$2:$F$23,MATCH(Results!$B500,WP!$E$2:$E$23,0),1)),"")</f>
        <v/>
      </c>
      <c r="D500" s="12" t="str">
        <f>IFERROR(IFERROR(IF(RIGHT(INDEX(WP!$A$2:$F$23,MATCH(IF(FIND("_",$B500)&gt;0,LEFT($B500,FIND("_",$B500)-1)),WP!$E$2:$E$23,0),2),6)="Series",LEFT(INDEX(WP!$A$2:$F$23,MATCH(IF(FIND("_",$B500)&gt;0,LEFT($B500,FIND("_",$B500)-1)),WP!$E$2:$E$23,0),2),5),""),IF(RIGHT(INDEX(WP!$A$2:$F$23,MATCH($B500,WP!$E$2:$E$23,0),2),6)="Series",LEFT(INDEX(WP!$A$2:$F$23,MATCH($B500,WP!$E$2:$E$23,0),2),5),"")),"")</f>
        <v/>
      </c>
      <c r="E500" s="17" t="str">
        <f>IFERROR(VLOOKUP(VALUE($D500),Series!$B$3:$F$11,2,0),"")</f>
        <v/>
      </c>
      <c r="F500" s="12" t="str">
        <f>_xlfn.IFNA(IF(IF($D500&lt;&gt;"",COUNTIF($E:$E,"="&amp;$D500),"")="",IF(RIGHT(IFERROR(IF(FIND("_",$B500)&gt;0,INDEX(WP!$A$2:$F$23,MATCH(LEFT($B500,FIND("_",$B500)-1),WP!$E$2:$E$23,0),2),IF(FIND("-",$B500)&gt;0,INDEX(WP!$A$2:$F$23,MATCH(LEFT($B500,FIND("_",$B500)-1),WP!$E$2:$E$23,0),2))),INDEX(WP!$A$2:$F$23,MATCH(Results!$B500,WP!$E$2:$E$23,0),2)),6)="Series",LEFT(IFERROR(IF(FIND("_",$B500)&gt;0,INDEX(WP!$A$2:$F$23,MATCH(LEFT($B500,FIND("_",$B500)-1),WP!$E$2:$E$23,0),2),IF(FIND("-",$B500)&gt;0,INDEX(WP!$A$2:$F$23,MATCH(LEFT($B500,FIND("_",$B500)-1),WP!$E$2:$E$23,0),2))),INDEX(WP!$A$2:$F$23,MATCH(Results!$B500,WP!$E$2:$E$23,0),2)),5),(IFERROR(IF(FIND("_",$B500)&gt;0,INDEX(WP!$A$2:$F$23,MATCH(LEFT($B500,FIND("_",$B500)-1),WP!$E$2:$E$23,0),2),IF(FIND("-",$B500)&gt;0,INDEX(WP!$A$2:$F$23,MATCH(LEFT($B500,FIND("_",$B500)-1),WP!$E$2:$E$23,0),2))),INDEX(WP!$A$2:$F$23,MATCH(Results!$B500,WP!$E$2:$E$23,0),2)))),IF(RIGHT(IFERROR(IF(FIND("_",$B500)&gt;0,INDEX(WP!$A$2:$F$23,MATCH(LEFT($B500,FIND("_",$B500)-1),WP!$E$2:$E$23,0),2),IF(FIND("-",$B500)&gt;0,INDEX(WP!$A$2:$F$23,MATCH(LEFT($B500,FIND("_",$B500)-1),WP!$E$2:$E$23,0),2))),INDEX(WP!$A$2:$F$23,MATCH(Results!$B500,WP!$E$2:$E$23,0),2)),6)="Series",LEFT(IFERROR(IF(FIND("_",$B500)&gt;0,INDEX(WP!$A$2:$F$23,MATCH(LEFT($B500,FIND("_",$B500)-1),WP!$E$2:$E$23,0),2),IF(FIND("-",$B500)&gt;0,INDEX(WP!$A$2:$F$23,MATCH(LEFT($B500,FIND("_",$B500)-1),WP!$E$2:$E$23,0),2))),INDEX(WP!$A$2:$F$23,MATCH(Results!$B500,WP!$E$2:$E$23,0),2)),5),(IFERROR(IF(FIND("_",$B500)&gt;0,INDEX(WP!$A$2:$F$23,MATCH(LEFT($B500,FIND("_",$B500)-1),WP!$E$2:$E$23,0),2),IF(FIND("-",$B500)&gt;0,INDEX(WP!$A$2:$F$23,MATCH(LEFT($B500,FIND("_",$B500)-1),WP!$E$2:$E$23,0),2))),INDEX(WP!$A$2:$F$23,MATCH(Results!$B500,WP!$E$2:$E$23,0),2))))&amp;"-"&amp;$I500),"")</f>
        <v/>
      </c>
      <c r="G500" s="17" t="str">
        <f>IF(LEN(_xlfn.IFNA(IF(IFERROR(IF(FIND("_",$B500)&gt;0,MID($B500,FIND("_",$B500)+1,LEN($B500)),IF(FIND("-",$B500)&gt;0,MID($B500,FIND("-",$B500)+1,LEN($B500)))),"")="",IFERROR(VLOOKUP($F500,WP!$B$2:$C$23,2,0),VLOOKUP($C500,Series!$A$3:$F$11,6,0)),IFERROR(VLOOKUP($F500,WP!$B$2:$C$23,2,0),VLOOKUP($C500,Series!$A$3:$F$11,6,0))&amp;" - "&amp;(IFERROR(IF(FIND("_",$B500)&gt;0,MID($B500,FIND("_",$B500)+1,LEN($B500)),IF(FIND("-",$B500)&gt;0,MID($B500,FIND("-",$B500)+1,LEN($B500)))),""))),""))&lt;64,_xlfn.IFNA(IF(IFERROR(IF(FIND("_",$B500)&gt;0,MID($B500,FIND("_",$B500)+1,LEN($B500)),IF(FIND("-",$B500)&gt;0,MID($B500,FIND("-",$B500)+1,LEN($B500)))),"")="",IFERROR(VLOOKUP($F500,WP!$B$2:$C$23,2,0),VLOOKUP($C500,Series!$A$3:$F$11,6,0)),IFERROR(VLOOKUP($F500,WP!$B$2:$C$23,2,0),VLOOKUP($C500,Series!$A$3:$F$11,6,0))&amp;" - "&amp;(IFERROR(IF(FIND("_",$B500)&gt;0,MID($B500,FIND("_",$B500)+1,LEN($B500)),IF(FIND("-",$B500)&gt;0,MID($B500,FIND("-",$B500)+1,LEN($B500)))),""))),""),LEFT((_xlfn.IFNA(IF(IFERROR(IF(FIND("_",$B500)&gt;0,MID($B500,FIND("_",$B500)+1,LEN($B500)),IF(FIND("-",$B500)&gt;0,MID($B500,FIND("-",$B500)+1,LEN($B500)))),"")="",IFERROR(VLOOKUP($F500,WP!$B$2:$C$23,2,0),VLOOKUP($C500,Series!$A$3:$F$11,6,0)),IFERROR(VLOOKUP($F500,WP!$B$2:$C$23,2,0),VLOOKUP($C500,Series!$A$3:$F$11,6,0))&amp;" - "&amp;(IFERROR(IF(FIND("_",$B500)&gt;0,MID($B500,FIND("_",$B500)+1,LEN($B500)),IF(FIND("-",$B500)&gt;0,MID($B500,FIND("-",$B500)+1,LEN($B500)))),""))),"")),64))</f>
        <v/>
      </c>
      <c r="H500" s="12"/>
      <c r="I500" s="12" t="str">
        <f>IF($D500&lt;&gt;"",COUNTIF($D$7:$D500,"="&amp;$D500),"")</f>
        <v/>
      </c>
      <c r="J500"/>
      <c r="K500" s="8"/>
      <c r="L500"/>
    </row>
  </sheetData>
  <mergeCells count="3">
    <mergeCell ref="B3:F3"/>
    <mergeCell ref="B4:F4"/>
    <mergeCell ref="B1:I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F6A3-EA11-45A1-9AC1-800D6ABC6327}">
  <sheetPr codeName="Sheet2"/>
  <dimension ref="A1:F23"/>
  <sheetViews>
    <sheetView zoomScale="85" zoomScaleNormal="85" workbookViewId="0">
      <selection activeCell="E9" sqref="E9"/>
    </sheetView>
  </sheetViews>
  <sheetFormatPr defaultRowHeight="14.4" x14ac:dyDescent="0.3"/>
  <cols>
    <col min="1" max="2" width="12.109375" style="8" bestFit="1" customWidth="1"/>
    <col min="3" max="3" width="56.33203125" bestFit="1" customWidth="1"/>
    <col min="4" max="4" width="0.88671875" customWidth="1"/>
    <col min="5" max="5" width="43.33203125" bestFit="1" customWidth="1"/>
    <col min="6" max="6" width="56.33203125" bestFit="1" customWidth="1"/>
    <col min="7" max="7" width="9.6640625" bestFit="1" customWidth="1"/>
  </cols>
  <sheetData>
    <row r="1" spans="1:6" s="7" customFormat="1" x14ac:dyDescent="0.3">
      <c r="A1" s="5" t="s">
        <v>1</v>
      </c>
      <c r="B1" s="5" t="s">
        <v>13</v>
      </c>
      <c r="C1" s="6" t="s">
        <v>6</v>
      </c>
      <c r="E1" s="6" t="s">
        <v>0</v>
      </c>
      <c r="F1" s="6" t="s">
        <v>14</v>
      </c>
    </row>
    <row r="2" spans="1:6" x14ac:dyDescent="0.3">
      <c r="A2" s="8">
        <v>31200</v>
      </c>
      <c r="B2" s="8" t="s">
        <v>15</v>
      </c>
      <c r="C2" t="s">
        <v>16</v>
      </c>
      <c r="E2" s="13" t="s">
        <v>73</v>
      </c>
      <c r="F2" t="s">
        <v>17</v>
      </c>
    </row>
    <row r="3" spans="1:6" x14ac:dyDescent="0.3">
      <c r="A3" s="8">
        <v>31200</v>
      </c>
      <c r="B3" s="8" t="s">
        <v>15</v>
      </c>
      <c r="C3" t="s">
        <v>16</v>
      </c>
      <c r="E3" s="13" t="s">
        <v>74</v>
      </c>
      <c r="F3" t="s">
        <v>17</v>
      </c>
    </row>
    <row r="4" spans="1:6" x14ac:dyDescent="0.3">
      <c r="A4" s="8">
        <v>40800</v>
      </c>
      <c r="B4" s="16">
        <v>40860</v>
      </c>
      <c r="C4" t="s">
        <v>18</v>
      </c>
      <c r="E4" s="11" t="s">
        <v>11</v>
      </c>
      <c r="F4" t="s">
        <v>19</v>
      </c>
    </row>
    <row r="5" spans="1:6" x14ac:dyDescent="0.3">
      <c r="A5" s="8">
        <v>50300</v>
      </c>
      <c r="B5" s="9" t="s">
        <v>79</v>
      </c>
      <c r="C5" t="s">
        <v>20</v>
      </c>
      <c r="E5" s="11" t="s">
        <v>58</v>
      </c>
      <c r="F5" t="s">
        <v>19</v>
      </c>
    </row>
    <row r="6" spans="1:6" x14ac:dyDescent="0.3">
      <c r="A6" s="16">
        <v>60000</v>
      </c>
      <c r="B6" s="16">
        <v>60060</v>
      </c>
      <c r="C6" t="s">
        <v>21</v>
      </c>
      <c r="E6" s="11" t="s">
        <v>8</v>
      </c>
      <c r="F6" t="s">
        <v>19</v>
      </c>
    </row>
    <row r="7" spans="1:6" x14ac:dyDescent="0.3">
      <c r="A7" s="16">
        <v>60400</v>
      </c>
      <c r="B7" s="16" t="s">
        <v>22</v>
      </c>
      <c r="C7" t="s">
        <v>23</v>
      </c>
      <c r="E7" s="11" t="s">
        <v>59</v>
      </c>
      <c r="F7" t="s">
        <v>19</v>
      </c>
    </row>
    <row r="8" spans="1:6" x14ac:dyDescent="0.3">
      <c r="A8" s="16">
        <v>30600</v>
      </c>
      <c r="B8" s="16">
        <v>30655</v>
      </c>
      <c r="C8" t="s">
        <v>91</v>
      </c>
      <c r="E8" s="11" t="s">
        <v>60</v>
      </c>
      <c r="F8" t="s">
        <v>24</v>
      </c>
    </row>
    <row r="9" spans="1:6" x14ac:dyDescent="0.3">
      <c r="A9" s="16">
        <v>30600</v>
      </c>
      <c r="B9" s="8" t="s">
        <v>25</v>
      </c>
      <c r="C9" t="s">
        <v>26</v>
      </c>
      <c r="E9" s="11" t="s">
        <v>61</v>
      </c>
      <c r="F9" t="s">
        <v>24</v>
      </c>
    </row>
    <row r="10" spans="1:6" x14ac:dyDescent="0.3">
      <c r="A10" s="16">
        <v>30900</v>
      </c>
      <c r="B10" s="8" t="s">
        <v>27</v>
      </c>
      <c r="C10" t="s">
        <v>28</v>
      </c>
      <c r="E10" s="11" t="s">
        <v>29</v>
      </c>
      <c r="F10" t="s">
        <v>29</v>
      </c>
    </row>
    <row r="11" spans="1:6" x14ac:dyDescent="0.3">
      <c r="A11" s="16">
        <v>31200</v>
      </c>
      <c r="B11" s="8">
        <v>31251</v>
      </c>
      <c r="C11" t="s">
        <v>30</v>
      </c>
      <c r="E11" s="11" t="s">
        <v>31</v>
      </c>
      <c r="F11" t="s">
        <v>31</v>
      </c>
    </row>
    <row r="12" spans="1:6" x14ac:dyDescent="0.3">
      <c r="A12" s="16">
        <v>40200</v>
      </c>
      <c r="B12" s="8" t="s">
        <v>32</v>
      </c>
      <c r="C12" t="s">
        <v>33</v>
      </c>
      <c r="E12" s="11" t="s">
        <v>34</v>
      </c>
      <c r="F12" t="s">
        <v>34</v>
      </c>
    </row>
    <row r="13" spans="1:6" x14ac:dyDescent="0.3">
      <c r="A13" s="16">
        <v>60600</v>
      </c>
      <c r="B13" s="16" t="s">
        <v>35</v>
      </c>
      <c r="C13" t="s">
        <v>68</v>
      </c>
      <c r="E13" s="11" t="s">
        <v>62</v>
      </c>
      <c r="F13" t="s">
        <v>62</v>
      </c>
    </row>
    <row r="14" spans="1:6" x14ac:dyDescent="0.3">
      <c r="A14" s="16">
        <v>60600</v>
      </c>
      <c r="B14" s="16" t="s">
        <v>35</v>
      </c>
      <c r="C14" t="s">
        <v>69</v>
      </c>
      <c r="E14" s="11" t="s">
        <v>63</v>
      </c>
      <c r="F14" t="s">
        <v>70</v>
      </c>
    </row>
    <row r="15" spans="1:6" x14ac:dyDescent="0.3">
      <c r="A15" s="16">
        <v>10600</v>
      </c>
      <c r="B15" s="16">
        <v>10602</v>
      </c>
      <c r="C15" t="s">
        <v>36</v>
      </c>
      <c r="E15" s="11" t="s">
        <v>10</v>
      </c>
      <c r="F15" t="s">
        <v>37</v>
      </c>
    </row>
    <row r="16" spans="1:6" x14ac:dyDescent="0.3">
      <c r="A16" s="16">
        <v>80200</v>
      </c>
      <c r="B16" s="16">
        <v>80261</v>
      </c>
      <c r="C16" t="s">
        <v>12</v>
      </c>
      <c r="E16" s="11" t="s">
        <v>12</v>
      </c>
      <c r="F16" t="s">
        <v>19</v>
      </c>
    </row>
    <row r="17" spans="1:6" x14ac:dyDescent="0.3">
      <c r="A17" s="16">
        <v>80200</v>
      </c>
      <c r="B17" s="16">
        <v>80262</v>
      </c>
      <c r="C17" t="s">
        <v>38</v>
      </c>
      <c r="E17" s="11" t="s">
        <v>38</v>
      </c>
      <c r="F17" t="s">
        <v>38</v>
      </c>
    </row>
    <row r="18" spans="1:6" x14ac:dyDescent="0.3">
      <c r="A18" s="16">
        <v>10700</v>
      </c>
      <c r="B18" s="16">
        <v>10702</v>
      </c>
      <c r="C18" t="s">
        <v>71</v>
      </c>
      <c r="E18" s="11" t="s">
        <v>64</v>
      </c>
      <c r="F18" t="s">
        <v>39</v>
      </c>
    </row>
    <row r="19" spans="1:6" x14ac:dyDescent="0.3">
      <c r="A19" s="16">
        <v>10700</v>
      </c>
      <c r="B19" s="16">
        <v>10703</v>
      </c>
      <c r="C19" t="s">
        <v>72</v>
      </c>
      <c r="E19" s="11" t="s">
        <v>65</v>
      </c>
      <c r="F19" t="s">
        <v>39</v>
      </c>
    </row>
    <row r="20" spans="1:6" x14ac:dyDescent="0.3">
      <c r="A20" s="8">
        <v>10400</v>
      </c>
      <c r="B20" s="16">
        <v>10402</v>
      </c>
      <c r="C20" t="s">
        <v>40</v>
      </c>
      <c r="E20" s="11" t="s">
        <v>41</v>
      </c>
      <c r="F20" t="s">
        <v>41</v>
      </c>
    </row>
    <row r="21" spans="1:6" x14ac:dyDescent="0.3">
      <c r="A21" s="8">
        <v>10200</v>
      </c>
      <c r="B21" s="8">
        <v>10203</v>
      </c>
      <c r="C21" t="s">
        <v>42</v>
      </c>
      <c r="E21" s="11" t="s">
        <v>66</v>
      </c>
      <c r="F21" t="s">
        <v>43</v>
      </c>
    </row>
    <row r="22" spans="1:6" x14ac:dyDescent="0.3">
      <c r="A22" s="8">
        <v>10200</v>
      </c>
      <c r="B22" s="8">
        <v>10204</v>
      </c>
      <c r="C22" t="s">
        <v>44</v>
      </c>
      <c r="E22" s="11" t="s">
        <v>67</v>
      </c>
      <c r="F22" t="s">
        <v>43</v>
      </c>
    </row>
    <row r="23" spans="1:6" x14ac:dyDescent="0.3">
      <c r="A23" s="8">
        <v>10300</v>
      </c>
      <c r="B23" s="8">
        <v>10302</v>
      </c>
      <c r="C23" t="s">
        <v>45</v>
      </c>
      <c r="E23" s="11" t="s">
        <v>9</v>
      </c>
      <c r="F23" t="s">
        <v>37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3A4C9-D244-4C4C-9B48-F05AD13D1C31}">
  <sheetPr codeName="Sheet3"/>
  <dimension ref="A1:F11"/>
  <sheetViews>
    <sheetView zoomScale="85" zoomScaleNormal="85" workbookViewId="0">
      <selection activeCell="E9" sqref="E9"/>
    </sheetView>
  </sheetViews>
  <sheetFormatPr defaultRowHeight="14.4" x14ac:dyDescent="0.3"/>
  <cols>
    <col min="1" max="1" width="12.109375" style="8" bestFit="1" customWidth="1"/>
    <col min="2" max="2" width="8.88671875" style="8"/>
    <col min="3" max="3" width="40.33203125" bestFit="1" customWidth="1"/>
    <col min="4" max="4" width="0.88671875" customWidth="1"/>
    <col min="5" max="5" width="19.44140625" bestFit="1" customWidth="1"/>
    <col min="6" max="6" width="38.33203125" bestFit="1" customWidth="1"/>
  </cols>
  <sheetData>
    <row r="1" spans="1:6" x14ac:dyDescent="0.3">
      <c r="A1" s="34" t="s">
        <v>2</v>
      </c>
      <c r="B1" s="34"/>
      <c r="C1" s="34"/>
      <c r="D1" s="34"/>
      <c r="E1" s="34"/>
      <c r="F1" s="34"/>
    </row>
    <row r="2" spans="1:6" s="7" customFormat="1" x14ac:dyDescent="0.3">
      <c r="A2" s="10" t="s">
        <v>1</v>
      </c>
      <c r="B2" s="10" t="s">
        <v>3</v>
      </c>
      <c r="C2" s="7" t="s">
        <v>4</v>
      </c>
      <c r="E2" s="7" t="s">
        <v>5</v>
      </c>
      <c r="F2" s="7" t="s">
        <v>88</v>
      </c>
    </row>
    <row r="3" spans="1:6" x14ac:dyDescent="0.3">
      <c r="A3" s="8">
        <v>31200</v>
      </c>
      <c r="B3" s="8">
        <v>31255</v>
      </c>
      <c r="C3" t="s">
        <v>46</v>
      </c>
      <c r="E3" t="s">
        <v>75</v>
      </c>
      <c r="F3" t="s">
        <v>80</v>
      </c>
    </row>
    <row r="4" spans="1:6" x14ac:dyDescent="0.3">
      <c r="A4" s="8">
        <v>31200</v>
      </c>
      <c r="B4" s="8">
        <v>31255</v>
      </c>
      <c r="C4" t="s">
        <v>46</v>
      </c>
      <c r="E4" t="s">
        <v>76</v>
      </c>
      <c r="F4" t="s">
        <v>81</v>
      </c>
    </row>
    <row r="5" spans="1:6" x14ac:dyDescent="0.3">
      <c r="A5" s="8">
        <v>50300</v>
      </c>
      <c r="B5" s="9">
        <v>50345</v>
      </c>
      <c r="C5" t="s">
        <v>47</v>
      </c>
      <c r="E5" t="s">
        <v>48</v>
      </c>
      <c r="F5" t="s">
        <v>82</v>
      </c>
    </row>
    <row r="6" spans="1:6" x14ac:dyDescent="0.3">
      <c r="A6" s="8">
        <v>60400</v>
      </c>
      <c r="B6" s="16">
        <v>60460</v>
      </c>
      <c r="C6" t="s">
        <v>49</v>
      </c>
      <c r="E6" t="s">
        <v>50</v>
      </c>
      <c r="F6" t="s">
        <v>83</v>
      </c>
    </row>
    <row r="7" spans="1:6" x14ac:dyDescent="0.3">
      <c r="A7" s="8">
        <v>30600</v>
      </c>
      <c r="B7" s="8">
        <v>30660</v>
      </c>
      <c r="C7" t="s">
        <v>51</v>
      </c>
      <c r="E7" t="s">
        <v>52</v>
      </c>
      <c r="F7" t="s">
        <v>84</v>
      </c>
    </row>
    <row r="8" spans="1:6" x14ac:dyDescent="0.3">
      <c r="A8" s="8">
        <v>30900</v>
      </c>
      <c r="B8" s="8">
        <v>30960</v>
      </c>
      <c r="C8" t="s">
        <v>53</v>
      </c>
      <c r="E8" t="s">
        <v>54</v>
      </c>
      <c r="F8" t="s">
        <v>86</v>
      </c>
    </row>
    <row r="9" spans="1:6" x14ac:dyDescent="0.3">
      <c r="A9" s="8">
        <v>40200</v>
      </c>
      <c r="B9" s="8">
        <v>40260</v>
      </c>
      <c r="C9" t="s">
        <v>55</v>
      </c>
      <c r="E9" t="s">
        <v>56</v>
      </c>
      <c r="F9" t="s">
        <v>87</v>
      </c>
    </row>
    <row r="10" spans="1:6" x14ac:dyDescent="0.3">
      <c r="A10" s="8">
        <v>60600</v>
      </c>
      <c r="B10" s="16">
        <v>60660</v>
      </c>
      <c r="C10" t="s">
        <v>57</v>
      </c>
      <c r="E10" t="s">
        <v>77</v>
      </c>
      <c r="F10" t="s">
        <v>85</v>
      </c>
    </row>
    <row r="11" spans="1:6" x14ac:dyDescent="0.3">
      <c r="A11" s="8">
        <v>60600</v>
      </c>
      <c r="B11" s="16">
        <v>60660</v>
      </c>
      <c r="C11" t="s">
        <v>57</v>
      </c>
      <c r="E11" t="s">
        <v>78</v>
      </c>
      <c r="F11" t="s">
        <v>85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</vt:lpstr>
      <vt:lpstr>WP</vt:lpstr>
      <vt:lpstr>Series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</dc:creator>
  <cp:lastModifiedBy>Jerina</cp:lastModifiedBy>
  <dcterms:created xsi:type="dcterms:W3CDTF">2015-06-05T18:17:20Z</dcterms:created>
  <dcterms:modified xsi:type="dcterms:W3CDTF">2020-11-04T07:08:51Z</dcterms:modified>
</cp:coreProperties>
</file>